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b62daa517ec483f/Mine/CRM Sales Analytics Dashboard BA Project/"/>
    </mc:Choice>
  </mc:AlternateContent>
  <xr:revisionPtr revIDLastSave="4" documentId="8_{C83A7961-C14C-48D1-B5FF-1AC4408C8EC7}" xr6:coauthVersionLast="47" xr6:coauthVersionMax="47" xr10:uidLastSave="{29261517-F311-4F1E-B558-E99EEF23AF7C}"/>
  <bookViews>
    <workbookView xWindow="-108" yWindow="-108" windowWidth="23256" windowHeight="12456" xr2:uid="{00000000-000D-0000-FFFF-FFFF00000000}"/>
  </bookViews>
  <sheets>
    <sheet name="CRM_Sales_Dataset" sheetId="1" r:id="rId1"/>
    <sheet name="Data_Dictionary" sheetId="2" r:id="rId2"/>
    <sheet name="Category_List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AC2001" i="1"/>
  <c r="AB2001" i="1"/>
  <c r="AA2001" i="1"/>
  <c r="Z2001" i="1"/>
  <c r="Y2001" i="1"/>
  <c r="W2001" i="1" s="1"/>
  <c r="X2001" i="1"/>
  <c r="U2001" i="1"/>
  <c r="AC2000" i="1"/>
  <c r="AB2000" i="1"/>
  <c r="AA2000" i="1"/>
  <c r="Z2000" i="1"/>
  <c r="Y2000" i="1"/>
  <c r="W2000" i="1" s="1"/>
  <c r="X2000" i="1"/>
  <c r="U2000" i="1"/>
  <c r="AC1999" i="1"/>
  <c r="AB1999" i="1"/>
  <c r="AA1999" i="1"/>
  <c r="Z1999" i="1"/>
  <c r="Y1999" i="1"/>
  <c r="W1999" i="1" s="1"/>
  <c r="X1999" i="1"/>
  <c r="U1999" i="1"/>
  <c r="AC1998" i="1"/>
  <c r="AB1998" i="1"/>
  <c r="AA1998" i="1"/>
  <c r="Z1998" i="1"/>
  <c r="Y1998" i="1"/>
  <c r="W1998" i="1" s="1"/>
  <c r="X1998" i="1"/>
  <c r="U1998" i="1"/>
  <c r="AC1997" i="1"/>
  <c r="AB1997" i="1"/>
  <c r="AA1997" i="1"/>
  <c r="Z1997" i="1"/>
  <c r="Y1997" i="1"/>
  <c r="W1997" i="1" s="1"/>
  <c r="X1997" i="1"/>
  <c r="U1997" i="1"/>
  <c r="AC1996" i="1"/>
  <c r="AB1996" i="1"/>
  <c r="AA1996" i="1"/>
  <c r="Z1996" i="1"/>
  <c r="Y1996" i="1"/>
  <c r="W1996" i="1" s="1"/>
  <c r="X1996" i="1"/>
  <c r="U1996" i="1"/>
  <c r="AC1995" i="1"/>
  <c r="AB1995" i="1"/>
  <c r="AA1995" i="1"/>
  <c r="Z1995" i="1"/>
  <c r="Y1995" i="1"/>
  <c r="W1995" i="1" s="1"/>
  <c r="X1995" i="1"/>
  <c r="U1995" i="1"/>
  <c r="AC1994" i="1"/>
  <c r="AB1994" i="1"/>
  <c r="AA1994" i="1"/>
  <c r="Z1994" i="1"/>
  <c r="Y1994" i="1"/>
  <c r="W1994" i="1" s="1"/>
  <c r="X1994" i="1"/>
  <c r="U1994" i="1"/>
  <c r="AC1993" i="1"/>
  <c r="AB1993" i="1"/>
  <c r="AA1993" i="1"/>
  <c r="Z1993" i="1"/>
  <c r="Y1993" i="1"/>
  <c r="W1993" i="1" s="1"/>
  <c r="X1993" i="1"/>
  <c r="U1993" i="1"/>
  <c r="AC1992" i="1"/>
  <c r="AB1992" i="1"/>
  <c r="AA1992" i="1"/>
  <c r="Z1992" i="1"/>
  <c r="Y1992" i="1"/>
  <c r="W1992" i="1" s="1"/>
  <c r="X1992" i="1"/>
  <c r="U1992" i="1"/>
  <c r="AC1991" i="1"/>
  <c r="AB1991" i="1"/>
  <c r="AA1991" i="1"/>
  <c r="Z1991" i="1"/>
  <c r="Y1991" i="1"/>
  <c r="W1991" i="1" s="1"/>
  <c r="X1991" i="1"/>
  <c r="U1991" i="1"/>
  <c r="AC1990" i="1"/>
  <c r="AB1990" i="1"/>
  <c r="AA1990" i="1"/>
  <c r="Z1990" i="1"/>
  <c r="Y1990" i="1"/>
  <c r="W1990" i="1" s="1"/>
  <c r="X1990" i="1"/>
  <c r="U1990" i="1"/>
  <c r="AC1989" i="1"/>
  <c r="AB1989" i="1"/>
  <c r="AA1989" i="1"/>
  <c r="Z1989" i="1"/>
  <c r="Y1989" i="1"/>
  <c r="W1989" i="1" s="1"/>
  <c r="X1989" i="1"/>
  <c r="U1989" i="1"/>
  <c r="AC1988" i="1"/>
  <c r="AB1988" i="1"/>
  <c r="AA1988" i="1"/>
  <c r="Z1988" i="1"/>
  <c r="Y1988" i="1"/>
  <c r="W1988" i="1" s="1"/>
  <c r="X1988" i="1"/>
  <c r="U1988" i="1"/>
  <c r="AC1987" i="1"/>
  <c r="AB1987" i="1"/>
  <c r="AA1987" i="1"/>
  <c r="Z1987" i="1"/>
  <c r="Y1987" i="1"/>
  <c r="W1987" i="1" s="1"/>
  <c r="X1987" i="1"/>
  <c r="U1987" i="1"/>
  <c r="AC1986" i="1"/>
  <c r="AB1986" i="1"/>
  <c r="AA1986" i="1"/>
  <c r="Z1986" i="1"/>
  <c r="Y1986" i="1"/>
  <c r="W1986" i="1" s="1"/>
  <c r="X1986" i="1"/>
  <c r="U1986" i="1"/>
  <c r="AC1985" i="1"/>
  <c r="AB1985" i="1"/>
  <c r="AA1985" i="1"/>
  <c r="Z1985" i="1"/>
  <c r="Y1985" i="1"/>
  <c r="W1985" i="1" s="1"/>
  <c r="X1985" i="1"/>
  <c r="U1985" i="1"/>
  <c r="AC1984" i="1"/>
  <c r="AB1984" i="1"/>
  <c r="AA1984" i="1"/>
  <c r="Z1984" i="1"/>
  <c r="Y1984" i="1"/>
  <c r="W1984" i="1" s="1"/>
  <c r="X1984" i="1"/>
  <c r="U1984" i="1"/>
  <c r="AC1983" i="1"/>
  <c r="AB1983" i="1"/>
  <c r="AA1983" i="1"/>
  <c r="Z1983" i="1"/>
  <c r="Y1983" i="1"/>
  <c r="W1983" i="1" s="1"/>
  <c r="X1983" i="1"/>
  <c r="U1983" i="1"/>
  <c r="AC1982" i="1"/>
  <c r="AB1982" i="1"/>
  <c r="AA1982" i="1"/>
  <c r="Z1982" i="1"/>
  <c r="Y1982" i="1"/>
  <c r="W1982" i="1" s="1"/>
  <c r="X1982" i="1"/>
  <c r="U1982" i="1"/>
  <c r="AC1981" i="1"/>
  <c r="AB1981" i="1"/>
  <c r="AA1981" i="1"/>
  <c r="Z1981" i="1"/>
  <c r="Y1981" i="1"/>
  <c r="W1981" i="1" s="1"/>
  <c r="X1981" i="1"/>
  <c r="U1981" i="1"/>
  <c r="AC1980" i="1"/>
  <c r="AB1980" i="1"/>
  <c r="AA1980" i="1"/>
  <c r="Z1980" i="1"/>
  <c r="Y1980" i="1"/>
  <c r="W1980" i="1" s="1"/>
  <c r="X1980" i="1"/>
  <c r="U1980" i="1"/>
  <c r="AC1979" i="1"/>
  <c r="AB1979" i="1"/>
  <c r="AA1979" i="1"/>
  <c r="Z1979" i="1"/>
  <c r="Y1979" i="1"/>
  <c r="W1979" i="1" s="1"/>
  <c r="X1979" i="1"/>
  <c r="U1979" i="1"/>
  <c r="AC1978" i="1"/>
  <c r="AB1978" i="1"/>
  <c r="AA1978" i="1"/>
  <c r="Z1978" i="1"/>
  <c r="Y1978" i="1"/>
  <c r="W1978" i="1" s="1"/>
  <c r="X1978" i="1"/>
  <c r="U1978" i="1"/>
  <c r="AC1977" i="1"/>
  <c r="AB1977" i="1"/>
  <c r="AA1977" i="1"/>
  <c r="Z1977" i="1"/>
  <c r="Y1977" i="1"/>
  <c r="W1977" i="1" s="1"/>
  <c r="X1977" i="1"/>
  <c r="U1977" i="1"/>
  <c r="AC1976" i="1"/>
  <c r="AB1976" i="1"/>
  <c r="AA1976" i="1"/>
  <c r="Z1976" i="1"/>
  <c r="Y1976" i="1"/>
  <c r="W1976" i="1" s="1"/>
  <c r="X1976" i="1"/>
  <c r="U1976" i="1"/>
  <c r="AC1975" i="1"/>
  <c r="AB1975" i="1"/>
  <c r="AA1975" i="1"/>
  <c r="Z1975" i="1"/>
  <c r="Y1975" i="1"/>
  <c r="W1975" i="1" s="1"/>
  <c r="X1975" i="1"/>
  <c r="U1975" i="1"/>
  <c r="AC1974" i="1"/>
  <c r="AB1974" i="1"/>
  <c r="AA1974" i="1"/>
  <c r="Z1974" i="1"/>
  <c r="Y1974" i="1"/>
  <c r="W1974" i="1" s="1"/>
  <c r="X1974" i="1"/>
  <c r="U1974" i="1"/>
  <c r="AC1973" i="1"/>
  <c r="AB1973" i="1"/>
  <c r="AA1973" i="1"/>
  <c r="Z1973" i="1"/>
  <c r="Y1973" i="1"/>
  <c r="W1973" i="1" s="1"/>
  <c r="X1973" i="1"/>
  <c r="U1973" i="1"/>
  <c r="AC1972" i="1"/>
  <c r="AB1972" i="1"/>
  <c r="AA1972" i="1"/>
  <c r="Z1972" i="1"/>
  <c r="Y1972" i="1"/>
  <c r="W1972" i="1" s="1"/>
  <c r="X1972" i="1"/>
  <c r="U1972" i="1"/>
  <c r="AC1971" i="1"/>
  <c r="AB1971" i="1"/>
  <c r="AA1971" i="1"/>
  <c r="Z1971" i="1"/>
  <c r="Y1971" i="1"/>
  <c r="W1971" i="1" s="1"/>
  <c r="X1971" i="1"/>
  <c r="U1971" i="1"/>
  <c r="AC1970" i="1"/>
  <c r="AB1970" i="1"/>
  <c r="AA1970" i="1"/>
  <c r="Z1970" i="1"/>
  <c r="Y1970" i="1"/>
  <c r="W1970" i="1" s="1"/>
  <c r="X1970" i="1"/>
  <c r="U1970" i="1"/>
  <c r="AC1969" i="1"/>
  <c r="AB1969" i="1"/>
  <c r="AA1969" i="1"/>
  <c r="Z1969" i="1"/>
  <c r="Y1969" i="1"/>
  <c r="W1969" i="1" s="1"/>
  <c r="X1969" i="1"/>
  <c r="U1969" i="1"/>
  <c r="AC1968" i="1"/>
  <c r="AB1968" i="1"/>
  <c r="AA1968" i="1"/>
  <c r="Z1968" i="1"/>
  <c r="Y1968" i="1"/>
  <c r="W1968" i="1" s="1"/>
  <c r="X1968" i="1"/>
  <c r="U1968" i="1"/>
  <c r="AC1967" i="1"/>
  <c r="AB1967" i="1"/>
  <c r="AA1967" i="1"/>
  <c r="Z1967" i="1"/>
  <c r="Y1967" i="1"/>
  <c r="W1967" i="1" s="1"/>
  <c r="X1967" i="1"/>
  <c r="U1967" i="1"/>
  <c r="AC1966" i="1"/>
  <c r="AB1966" i="1"/>
  <c r="AA1966" i="1"/>
  <c r="Z1966" i="1"/>
  <c r="Y1966" i="1"/>
  <c r="W1966" i="1" s="1"/>
  <c r="X1966" i="1"/>
  <c r="U1966" i="1"/>
  <c r="AC1965" i="1"/>
  <c r="AB1965" i="1"/>
  <c r="AA1965" i="1"/>
  <c r="Z1965" i="1"/>
  <c r="Y1965" i="1"/>
  <c r="W1965" i="1" s="1"/>
  <c r="X1965" i="1"/>
  <c r="U1965" i="1"/>
  <c r="AC1964" i="1"/>
  <c r="AB1964" i="1"/>
  <c r="AA1964" i="1"/>
  <c r="Z1964" i="1"/>
  <c r="Y1964" i="1"/>
  <c r="W1964" i="1" s="1"/>
  <c r="X1964" i="1"/>
  <c r="U1964" i="1"/>
  <c r="AC1963" i="1"/>
  <c r="AB1963" i="1"/>
  <c r="AA1963" i="1"/>
  <c r="Z1963" i="1"/>
  <c r="Y1963" i="1"/>
  <c r="W1963" i="1" s="1"/>
  <c r="X1963" i="1"/>
  <c r="U1963" i="1"/>
  <c r="AC1962" i="1"/>
  <c r="AB1962" i="1"/>
  <c r="AA1962" i="1"/>
  <c r="Z1962" i="1"/>
  <c r="Y1962" i="1"/>
  <c r="W1962" i="1" s="1"/>
  <c r="X1962" i="1"/>
  <c r="U1962" i="1"/>
  <c r="AC1961" i="1"/>
  <c r="AB1961" i="1"/>
  <c r="AA1961" i="1"/>
  <c r="Z1961" i="1"/>
  <c r="Y1961" i="1"/>
  <c r="W1961" i="1" s="1"/>
  <c r="X1961" i="1"/>
  <c r="U1961" i="1"/>
  <c r="AC1960" i="1"/>
  <c r="AB1960" i="1"/>
  <c r="AA1960" i="1"/>
  <c r="Z1960" i="1"/>
  <c r="Y1960" i="1"/>
  <c r="W1960" i="1" s="1"/>
  <c r="X1960" i="1"/>
  <c r="U1960" i="1"/>
  <c r="AC1959" i="1"/>
  <c r="AB1959" i="1"/>
  <c r="AA1959" i="1"/>
  <c r="Z1959" i="1"/>
  <c r="Y1959" i="1"/>
  <c r="W1959" i="1" s="1"/>
  <c r="X1959" i="1"/>
  <c r="U1959" i="1"/>
  <c r="AC1958" i="1"/>
  <c r="AB1958" i="1"/>
  <c r="AA1958" i="1"/>
  <c r="Z1958" i="1"/>
  <c r="Y1958" i="1"/>
  <c r="W1958" i="1" s="1"/>
  <c r="X1958" i="1"/>
  <c r="U1958" i="1"/>
  <c r="AC1957" i="1"/>
  <c r="AB1957" i="1"/>
  <c r="AA1957" i="1"/>
  <c r="Z1957" i="1"/>
  <c r="Y1957" i="1"/>
  <c r="W1957" i="1" s="1"/>
  <c r="X1957" i="1"/>
  <c r="U1957" i="1"/>
  <c r="AC1956" i="1"/>
  <c r="AB1956" i="1"/>
  <c r="AA1956" i="1"/>
  <c r="Z1956" i="1"/>
  <c r="Y1956" i="1"/>
  <c r="W1956" i="1" s="1"/>
  <c r="X1956" i="1"/>
  <c r="U1956" i="1"/>
  <c r="AC1955" i="1"/>
  <c r="AB1955" i="1"/>
  <c r="AA1955" i="1"/>
  <c r="Z1955" i="1"/>
  <c r="Y1955" i="1"/>
  <c r="W1955" i="1" s="1"/>
  <c r="X1955" i="1"/>
  <c r="U1955" i="1"/>
  <c r="AC1954" i="1"/>
  <c r="AB1954" i="1"/>
  <c r="AA1954" i="1"/>
  <c r="Z1954" i="1"/>
  <c r="Y1954" i="1"/>
  <c r="W1954" i="1" s="1"/>
  <c r="X1954" i="1"/>
  <c r="U1954" i="1"/>
  <c r="AC1953" i="1"/>
  <c r="AB1953" i="1"/>
  <c r="AA1953" i="1"/>
  <c r="Z1953" i="1"/>
  <c r="Y1953" i="1"/>
  <c r="W1953" i="1" s="1"/>
  <c r="X1953" i="1"/>
  <c r="U1953" i="1"/>
  <c r="AC1952" i="1"/>
  <c r="AB1952" i="1"/>
  <c r="AA1952" i="1"/>
  <c r="Z1952" i="1"/>
  <c r="Y1952" i="1"/>
  <c r="W1952" i="1" s="1"/>
  <c r="X1952" i="1"/>
  <c r="U1952" i="1"/>
  <c r="AC1951" i="1"/>
  <c r="AB1951" i="1"/>
  <c r="AA1951" i="1"/>
  <c r="Z1951" i="1"/>
  <c r="Y1951" i="1"/>
  <c r="W1951" i="1" s="1"/>
  <c r="X1951" i="1"/>
  <c r="U1951" i="1"/>
  <c r="AC1950" i="1"/>
  <c r="AB1950" i="1"/>
  <c r="AA1950" i="1"/>
  <c r="Z1950" i="1"/>
  <c r="Y1950" i="1"/>
  <c r="W1950" i="1" s="1"/>
  <c r="X1950" i="1"/>
  <c r="U1950" i="1"/>
  <c r="AC1949" i="1"/>
  <c r="AB1949" i="1"/>
  <c r="AA1949" i="1"/>
  <c r="Z1949" i="1"/>
  <c r="Y1949" i="1"/>
  <c r="W1949" i="1" s="1"/>
  <c r="X1949" i="1"/>
  <c r="U1949" i="1"/>
  <c r="AC1948" i="1"/>
  <c r="AB1948" i="1"/>
  <c r="AA1948" i="1"/>
  <c r="Z1948" i="1"/>
  <c r="Y1948" i="1"/>
  <c r="W1948" i="1" s="1"/>
  <c r="X1948" i="1"/>
  <c r="U1948" i="1"/>
  <c r="AC1947" i="1"/>
  <c r="AB1947" i="1"/>
  <c r="AA1947" i="1"/>
  <c r="Z1947" i="1"/>
  <c r="Y1947" i="1"/>
  <c r="W1947" i="1" s="1"/>
  <c r="X1947" i="1"/>
  <c r="U1947" i="1"/>
  <c r="AC1946" i="1"/>
  <c r="AB1946" i="1"/>
  <c r="AA1946" i="1"/>
  <c r="Z1946" i="1"/>
  <c r="Y1946" i="1"/>
  <c r="W1946" i="1" s="1"/>
  <c r="X1946" i="1"/>
  <c r="U1946" i="1"/>
  <c r="AC1945" i="1"/>
  <c r="AB1945" i="1"/>
  <c r="AA1945" i="1"/>
  <c r="Z1945" i="1"/>
  <c r="Y1945" i="1"/>
  <c r="W1945" i="1" s="1"/>
  <c r="X1945" i="1"/>
  <c r="U1945" i="1"/>
  <c r="AC1944" i="1"/>
  <c r="AB1944" i="1"/>
  <c r="AA1944" i="1"/>
  <c r="Z1944" i="1"/>
  <c r="Y1944" i="1"/>
  <c r="W1944" i="1" s="1"/>
  <c r="X1944" i="1"/>
  <c r="U1944" i="1"/>
  <c r="AC1943" i="1"/>
  <c r="AB1943" i="1"/>
  <c r="AA1943" i="1"/>
  <c r="Z1943" i="1"/>
  <c r="Y1943" i="1"/>
  <c r="W1943" i="1" s="1"/>
  <c r="X1943" i="1"/>
  <c r="U1943" i="1"/>
  <c r="AC1942" i="1"/>
  <c r="AB1942" i="1"/>
  <c r="AA1942" i="1"/>
  <c r="Z1942" i="1"/>
  <c r="Y1942" i="1"/>
  <c r="W1942" i="1" s="1"/>
  <c r="X1942" i="1"/>
  <c r="U1942" i="1"/>
  <c r="AC1941" i="1"/>
  <c r="AB1941" i="1"/>
  <c r="AA1941" i="1"/>
  <c r="Z1941" i="1"/>
  <c r="Y1941" i="1"/>
  <c r="W1941" i="1" s="1"/>
  <c r="X1941" i="1"/>
  <c r="U1941" i="1"/>
  <c r="AC1940" i="1"/>
  <c r="AB1940" i="1"/>
  <c r="AA1940" i="1"/>
  <c r="Z1940" i="1"/>
  <c r="Y1940" i="1"/>
  <c r="W1940" i="1" s="1"/>
  <c r="X1940" i="1"/>
  <c r="U1940" i="1"/>
  <c r="AC1939" i="1"/>
  <c r="AB1939" i="1"/>
  <c r="AA1939" i="1"/>
  <c r="Z1939" i="1"/>
  <c r="Y1939" i="1"/>
  <c r="W1939" i="1" s="1"/>
  <c r="X1939" i="1"/>
  <c r="U1939" i="1"/>
  <c r="AC1938" i="1"/>
  <c r="AB1938" i="1"/>
  <c r="AA1938" i="1"/>
  <c r="Z1938" i="1"/>
  <c r="Y1938" i="1"/>
  <c r="W1938" i="1" s="1"/>
  <c r="X1938" i="1"/>
  <c r="U1938" i="1"/>
  <c r="AC1937" i="1"/>
  <c r="AB1937" i="1"/>
  <c r="AA1937" i="1"/>
  <c r="Z1937" i="1"/>
  <c r="Y1937" i="1"/>
  <c r="W1937" i="1" s="1"/>
  <c r="X1937" i="1"/>
  <c r="U1937" i="1"/>
  <c r="AC1936" i="1"/>
  <c r="AB1936" i="1"/>
  <c r="AA1936" i="1"/>
  <c r="Z1936" i="1"/>
  <c r="Y1936" i="1"/>
  <c r="W1936" i="1" s="1"/>
  <c r="X1936" i="1"/>
  <c r="U1936" i="1"/>
  <c r="AC1935" i="1"/>
  <c r="AB1935" i="1"/>
  <c r="AA1935" i="1"/>
  <c r="Z1935" i="1"/>
  <c r="Y1935" i="1"/>
  <c r="W1935" i="1" s="1"/>
  <c r="X1935" i="1"/>
  <c r="U1935" i="1"/>
  <c r="AC1934" i="1"/>
  <c r="AB1934" i="1"/>
  <c r="AA1934" i="1"/>
  <c r="Z1934" i="1"/>
  <c r="Y1934" i="1"/>
  <c r="W1934" i="1" s="1"/>
  <c r="X1934" i="1"/>
  <c r="U1934" i="1"/>
  <c r="AC1933" i="1"/>
  <c r="AB1933" i="1"/>
  <c r="AA1933" i="1"/>
  <c r="Z1933" i="1"/>
  <c r="Y1933" i="1"/>
  <c r="W1933" i="1" s="1"/>
  <c r="X1933" i="1"/>
  <c r="U1933" i="1"/>
  <c r="AC1932" i="1"/>
  <c r="AB1932" i="1"/>
  <c r="AA1932" i="1"/>
  <c r="Z1932" i="1"/>
  <c r="Y1932" i="1"/>
  <c r="W1932" i="1" s="1"/>
  <c r="X1932" i="1"/>
  <c r="U1932" i="1"/>
  <c r="AC1931" i="1"/>
  <c r="AB1931" i="1"/>
  <c r="AA1931" i="1"/>
  <c r="Z1931" i="1"/>
  <c r="Y1931" i="1"/>
  <c r="W1931" i="1" s="1"/>
  <c r="X1931" i="1"/>
  <c r="U1931" i="1"/>
  <c r="AC1930" i="1"/>
  <c r="AB1930" i="1"/>
  <c r="AA1930" i="1"/>
  <c r="Z1930" i="1"/>
  <c r="Y1930" i="1"/>
  <c r="W1930" i="1" s="1"/>
  <c r="X1930" i="1"/>
  <c r="U1930" i="1"/>
  <c r="AC1929" i="1"/>
  <c r="AB1929" i="1"/>
  <c r="AA1929" i="1"/>
  <c r="Z1929" i="1"/>
  <c r="Y1929" i="1"/>
  <c r="W1929" i="1" s="1"/>
  <c r="X1929" i="1"/>
  <c r="U1929" i="1"/>
  <c r="AC1928" i="1"/>
  <c r="AB1928" i="1"/>
  <c r="AA1928" i="1"/>
  <c r="Z1928" i="1"/>
  <c r="Y1928" i="1"/>
  <c r="W1928" i="1" s="1"/>
  <c r="X1928" i="1"/>
  <c r="U1928" i="1"/>
  <c r="AC1927" i="1"/>
  <c r="AB1927" i="1"/>
  <c r="AA1927" i="1"/>
  <c r="Z1927" i="1"/>
  <c r="Y1927" i="1"/>
  <c r="W1927" i="1" s="1"/>
  <c r="X1927" i="1"/>
  <c r="U1927" i="1"/>
  <c r="AC1926" i="1"/>
  <c r="AB1926" i="1"/>
  <c r="AA1926" i="1"/>
  <c r="Z1926" i="1"/>
  <c r="Y1926" i="1"/>
  <c r="W1926" i="1" s="1"/>
  <c r="X1926" i="1"/>
  <c r="U1926" i="1"/>
  <c r="AC1925" i="1"/>
  <c r="AB1925" i="1"/>
  <c r="AA1925" i="1"/>
  <c r="Z1925" i="1"/>
  <c r="Y1925" i="1"/>
  <c r="W1925" i="1" s="1"/>
  <c r="X1925" i="1"/>
  <c r="U1925" i="1"/>
  <c r="AC1924" i="1"/>
  <c r="AB1924" i="1"/>
  <c r="AA1924" i="1"/>
  <c r="Z1924" i="1"/>
  <c r="Y1924" i="1"/>
  <c r="W1924" i="1" s="1"/>
  <c r="X1924" i="1"/>
  <c r="U1924" i="1"/>
  <c r="AC1923" i="1"/>
  <c r="AB1923" i="1"/>
  <c r="AA1923" i="1"/>
  <c r="Z1923" i="1"/>
  <c r="Y1923" i="1"/>
  <c r="W1923" i="1" s="1"/>
  <c r="X1923" i="1"/>
  <c r="U1923" i="1"/>
  <c r="AC1922" i="1"/>
  <c r="AB1922" i="1"/>
  <c r="AA1922" i="1"/>
  <c r="Z1922" i="1"/>
  <c r="Y1922" i="1"/>
  <c r="W1922" i="1" s="1"/>
  <c r="X1922" i="1"/>
  <c r="U1922" i="1"/>
  <c r="AC1921" i="1"/>
  <c r="AB1921" i="1"/>
  <c r="AA1921" i="1"/>
  <c r="Z1921" i="1"/>
  <c r="Y1921" i="1"/>
  <c r="W1921" i="1" s="1"/>
  <c r="X1921" i="1"/>
  <c r="U1921" i="1"/>
  <c r="AC1920" i="1"/>
  <c r="AB1920" i="1"/>
  <c r="AA1920" i="1"/>
  <c r="Z1920" i="1"/>
  <c r="Y1920" i="1"/>
  <c r="W1920" i="1" s="1"/>
  <c r="X1920" i="1"/>
  <c r="U1920" i="1"/>
  <c r="AC1919" i="1"/>
  <c r="AB1919" i="1"/>
  <c r="AA1919" i="1"/>
  <c r="Z1919" i="1"/>
  <c r="Y1919" i="1"/>
  <c r="W1919" i="1" s="1"/>
  <c r="X1919" i="1"/>
  <c r="U1919" i="1"/>
  <c r="AC1918" i="1"/>
  <c r="AB1918" i="1"/>
  <c r="AA1918" i="1"/>
  <c r="Z1918" i="1"/>
  <c r="Y1918" i="1"/>
  <c r="W1918" i="1" s="1"/>
  <c r="X1918" i="1"/>
  <c r="U1918" i="1"/>
  <c r="AC1917" i="1"/>
  <c r="AB1917" i="1"/>
  <c r="AA1917" i="1"/>
  <c r="Z1917" i="1"/>
  <c r="Y1917" i="1"/>
  <c r="W1917" i="1" s="1"/>
  <c r="X1917" i="1"/>
  <c r="U1917" i="1"/>
  <c r="AC1916" i="1"/>
  <c r="AB1916" i="1"/>
  <c r="AA1916" i="1"/>
  <c r="Z1916" i="1"/>
  <c r="Y1916" i="1"/>
  <c r="W1916" i="1" s="1"/>
  <c r="X1916" i="1"/>
  <c r="U1916" i="1"/>
  <c r="AC1915" i="1"/>
  <c r="AB1915" i="1"/>
  <c r="AA1915" i="1"/>
  <c r="Z1915" i="1"/>
  <c r="Y1915" i="1"/>
  <c r="W1915" i="1" s="1"/>
  <c r="X1915" i="1"/>
  <c r="U1915" i="1"/>
  <c r="AC1914" i="1"/>
  <c r="AB1914" i="1"/>
  <c r="AA1914" i="1"/>
  <c r="Z1914" i="1"/>
  <c r="Y1914" i="1"/>
  <c r="W1914" i="1" s="1"/>
  <c r="X1914" i="1"/>
  <c r="U1914" i="1"/>
  <c r="AC1913" i="1"/>
  <c r="AB1913" i="1"/>
  <c r="AA1913" i="1"/>
  <c r="Z1913" i="1"/>
  <c r="Y1913" i="1"/>
  <c r="W1913" i="1" s="1"/>
  <c r="X1913" i="1"/>
  <c r="U1913" i="1"/>
  <c r="AC1912" i="1"/>
  <c r="AB1912" i="1"/>
  <c r="AA1912" i="1"/>
  <c r="Z1912" i="1"/>
  <c r="Y1912" i="1"/>
  <c r="W1912" i="1" s="1"/>
  <c r="X1912" i="1"/>
  <c r="U1912" i="1"/>
  <c r="AC1911" i="1"/>
  <c r="AB1911" i="1"/>
  <c r="AA1911" i="1"/>
  <c r="Z1911" i="1"/>
  <c r="Y1911" i="1"/>
  <c r="W1911" i="1" s="1"/>
  <c r="X1911" i="1"/>
  <c r="U1911" i="1"/>
  <c r="AC1910" i="1"/>
  <c r="AB1910" i="1"/>
  <c r="AA1910" i="1"/>
  <c r="Z1910" i="1"/>
  <c r="Y1910" i="1"/>
  <c r="W1910" i="1" s="1"/>
  <c r="X1910" i="1"/>
  <c r="U1910" i="1"/>
  <c r="AC1909" i="1"/>
  <c r="AB1909" i="1"/>
  <c r="AA1909" i="1"/>
  <c r="Z1909" i="1"/>
  <c r="Y1909" i="1"/>
  <c r="W1909" i="1" s="1"/>
  <c r="X1909" i="1"/>
  <c r="U1909" i="1"/>
  <c r="AC1908" i="1"/>
  <c r="AB1908" i="1"/>
  <c r="AA1908" i="1"/>
  <c r="Z1908" i="1"/>
  <c r="Y1908" i="1"/>
  <c r="W1908" i="1" s="1"/>
  <c r="X1908" i="1"/>
  <c r="U1908" i="1"/>
  <c r="AC1907" i="1"/>
  <c r="AB1907" i="1"/>
  <c r="AA1907" i="1"/>
  <c r="Z1907" i="1"/>
  <c r="Y1907" i="1"/>
  <c r="W1907" i="1" s="1"/>
  <c r="X1907" i="1"/>
  <c r="U1907" i="1"/>
  <c r="AC1906" i="1"/>
  <c r="AB1906" i="1"/>
  <c r="AA1906" i="1"/>
  <c r="Z1906" i="1"/>
  <c r="Y1906" i="1"/>
  <c r="W1906" i="1" s="1"/>
  <c r="X1906" i="1"/>
  <c r="U1906" i="1"/>
  <c r="AC1905" i="1"/>
  <c r="AB1905" i="1"/>
  <c r="AA1905" i="1"/>
  <c r="Z1905" i="1"/>
  <c r="Y1905" i="1"/>
  <c r="W1905" i="1" s="1"/>
  <c r="X1905" i="1"/>
  <c r="U1905" i="1"/>
  <c r="AC1904" i="1"/>
  <c r="AB1904" i="1"/>
  <c r="AA1904" i="1"/>
  <c r="Z1904" i="1"/>
  <c r="Y1904" i="1"/>
  <c r="W1904" i="1" s="1"/>
  <c r="X1904" i="1"/>
  <c r="U1904" i="1"/>
  <c r="AC1903" i="1"/>
  <c r="AB1903" i="1"/>
  <c r="AA1903" i="1"/>
  <c r="Z1903" i="1"/>
  <c r="Y1903" i="1"/>
  <c r="W1903" i="1" s="1"/>
  <c r="X1903" i="1"/>
  <c r="U1903" i="1"/>
  <c r="AC1902" i="1"/>
  <c r="AB1902" i="1"/>
  <c r="AA1902" i="1"/>
  <c r="Z1902" i="1"/>
  <c r="Y1902" i="1"/>
  <c r="W1902" i="1" s="1"/>
  <c r="X1902" i="1"/>
  <c r="U1902" i="1"/>
  <c r="AC1901" i="1"/>
  <c r="AB1901" i="1"/>
  <c r="AA1901" i="1"/>
  <c r="Z1901" i="1"/>
  <c r="Y1901" i="1"/>
  <c r="W1901" i="1" s="1"/>
  <c r="X1901" i="1"/>
  <c r="U1901" i="1"/>
  <c r="AC1900" i="1"/>
  <c r="AB1900" i="1"/>
  <c r="AA1900" i="1"/>
  <c r="Z1900" i="1"/>
  <c r="Y1900" i="1"/>
  <c r="W1900" i="1" s="1"/>
  <c r="X1900" i="1"/>
  <c r="U1900" i="1"/>
  <c r="AC1899" i="1"/>
  <c r="AB1899" i="1"/>
  <c r="AA1899" i="1"/>
  <c r="Z1899" i="1"/>
  <c r="Y1899" i="1"/>
  <c r="W1899" i="1" s="1"/>
  <c r="X1899" i="1"/>
  <c r="U1899" i="1"/>
  <c r="AC1898" i="1"/>
  <c r="AB1898" i="1"/>
  <c r="AA1898" i="1"/>
  <c r="Z1898" i="1"/>
  <c r="Y1898" i="1"/>
  <c r="W1898" i="1" s="1"/>
  <c r="X1898" i="1"/>
  <c r="U1898" i="1"/>
  <c r="AC1897" i="1"/>
  <c r="AB1897" i="1"/>
  <c r="AA1897" i="1"/>
  <c r="Z1897" i="1"/>
  <c r="Y1897" i="1"/>
  <c r="W1897" i="1" s="1"/>
  <c r="X1897" i="1"/>
  <c r="U1897" i="1"/>
  <c r="AC1896" i="1"/>
  <c r="AB1896" i="1"/>
  <c r="AA1896" i="1"/>
  <c r="Z1896" i="1"/>
  <c r="Y1896" i="1"/>
  <c r="W1896" i="1" s="1"/>
  <c r="X1896" i="1"/>
  <c r="U1896" i="1"/>
  <c r="AC1895" i="1"/>
  <c r="AB1895" i="1"/>
  <c r="AA1895" i="1"/>
  <c r="Z1895" i="1"/>
  <c r="Y1895" i="1"/>
  <c r="W1895" i="1" s="1"/>
  <c r="X1895" i="1"/>
  <c r="U1895" i="1"/>
  <c r="AC1894" i="1"/>
  <c r="AB1894" i="1"/>
  <c r="AA1894" i="1"/>
  <c r="Z1894" i="1"/>
  <c r="Y1894" i="1"/>
  <c r="W1894" i="1" s="1"/>
  <c r="X1894" i="1"/>
  <c r="U1894" i="1"/>
  <c r="AC1893" i="1"/>
  <c r="AB1893" i="1"/>
  <c r="AA1893" i="1"/>
  <c r="Z1893" i="1"/>
  <c r="Y1893" i="1"/>
  <c r="W1893" i="1" s="1"/>
  <c r="X1893" i="1"/>
  <c r="U1893" i="1"/>
  <c r="AC1892" i="1"/>
  <c r="AB1892" i="1"/>
  <c r="AA1892" i="1"/>
  <c r="Z1892" i="1"/>
  <c r="Y1892" i="1"/>
  <c r="W1892" i="1" s="1"/>
  <c r="X1892" i="1"/>
  <c r="U1892" i="1"/>
  <c r="AC1891" i="1"/>
  <c r="AB1891" i="1"/>
  <c r="AA1891" i="1"/>
  <c r="Z1891" i="1"/>
  <c r="Y1891" i="1"/>
  <c r="W1891" i="1" s="1"/>
  <c r="X1891" i="1"/>
  <c r="U1891" i="1"/>
  <c r="AC1890" i="1"/>
  <c r="AB1890" i="1"/>
  <c r="AA1890" i="1"/>
  <c r="Z1890" i="1"/>
  <c r="Y1890" i="1"/>
  <c r="W1890" i="1" s="1"/>
  <c r="X1890" i="1"/>
  <c r="U1890" i="1"/>
  <c r="AC1889" i="1"/>
  <c r="AB1889" i="1"/>
  <c r="AA1889" i="1"/>
  <c r="Z1889" i="1"/>
  <c r="Y1889" i="1"/>
  <c r="W1889" i="1" s="1"/>
  <c r="X1889" i="1"/>
  <c r="U1889" i="1"/>
  <c r="AC1888" i="1"/>
  <c r="AB1888" i="1"/>
  <c r="AA1888" i="1"/>
  <c r="Z1888" i="1"/>
  <c r="Y1888" i="1"/>
  <c r="W1888" i="1" s="1"/>
  <c r="X1888" i="1"/>
  <c r="U1888" i="1"/>
  <c r="AC1887" i="1"/>
  <c r="AB1887" i="1"/>
  <c r="AA1887" i="1"/>
  <c r="Z1887" i="1"/>
  <c r="Y1887" i="1"/>
  <c r="W1887" i="1" s="1"/>
  <c r="X1887" i="1"/>
  <c r="U1887" i="1"/>
  <c r="AC1886" i="1"/>
  <c r="AB1886" i="1"/>
  <c r="AA1886" i="1"/>
  <c r="Z1886" i="1"/>
  <c r="Y1886" i="1"/>
  <c r="W1886" i="1" s="1"/>
  <c r="X1886" i="1"/>
  <c r="U1886" i="1"/>
  <c r="AC1885" i="1"/>
  <c r="AB1885" i="1"/>
  <c r="AA1885" i="1"/>
  <c r="Z1885" i="1"/>
  <c r="Y1885" i="1"/>
  <c r="W1885" i="1" s="1"/>
  <c r="X1885" i="1"/>
  <c r="U1885" i="1"/>
  <c r="AC1884" i="1"/>
  <c r="AB1884" i="1"/>
  <c r="AA1884" i="1"/>
  <c r="Z1884" i="1"/>
  <c r="Y1884" i="1"/>
  <c r="W1884" i="1" s="1"/>
  <c r="X1884" i="1"/>
  <c r="U1884" i="1"/>
  <c r="AC1883" i="1"/>
  <c r="AB1883" i="1"/>
  <c r="AA1883" i="1"/>
  <c r="Z1883" i="1"/>
  <c r="Y1883" i="1"/>
  <c r="W1883" i="1" s="1"/>
  <c r="X1883" i="1"/>
  <c r="U1883" i="1"/>
  <c r="AC1882" i="1"/>
  <c r="AB1882" i="1"/>
  <c r="AA1882" i="1"/>
  <c r="Z1882" i="1"/>
  <c r="Y1882" i="1"/>
  <c r="W1882" i="1" s="1"/>
  <c r="X1882" i="1"/>
  <c r="U1882" i="1"/>
  <c r="AC1881" i="1"/>
  <c r="AB1881" i="1"/>
  <c r="AA1881" i="1"/>
  <c r="Z1881" i="1"/>
  <c r="Y1881" i="1"/>
  <c r="W1881" i="1" s="1"/>
  <c r="X1881" i="1"/>
  <c r="U1881" i="1"/>
  <c r="AC1880" i="1"/>
  <c r="AB1880" i="1"/>
  <c r="AA1880" i="1"/>
  <c r="Z1880" i="1"/>
  <c r="Y1880" i="1"/>
  <c r="W1880" i="1" s="1"/>
  <c r="X1880" i="1"/>
  <c r="U1880" i="1"/>
  <c r="AC1879" i="1"/>
  <c r="AB1879" i="1"/>
  <c r="AA1879" i="1"/>
  <c r="Z1879" i="1"/>
  <c r="Y1879" i="1"/>
  <c r="W1879" i="1" s="1"/>
  <c r="X1879" i="1"/>
  <c r="U1879" i="1"/>
  <c r="AC1878" i="1"/>
  <c r="AB1878" i="1"/>
  <c r="AA1878" i="1"/>
  <c r="Z1878" i="1"/>
  <c r="Y1878" i="1"/>
  <c r="W1878" i="1" s="1"/>
  <c r="X1878" i="1"/>
  <c r="U1878" i="1"/>
  <c r="AC1877" i="1"/>
  <c r="AB1877" i="1"/>
  <c r="AA1877" i="1"/>
  <c r="Z1877" i="1"/>
  <c r="Y1877" i="1"/>
  <c r="W1877" i="1" s="1"/>
  <c r="X1877" i="1"/>
  <c r="U1877" i="1"/>
  <c r="AC1876" i="1"/>
  <c r="AB1876" i="1"/>
  <c r="AA1876" i="1"/>
  <c r="Z1876" i="1"/>
  <c r="Y1876" i="1"/>
  <c r="W1876" i="1" s="1"/>
  <c r="X1876" i="1"/>
  <c r="U1876" i="1"/>
  <c r="AC1875" i="1"/>
  <c r="AB1875" i="1"/>
  <c r="AA1875" i="1"/>
  <c r="Z1875" i="1"/>
  <c r="Y1875" i="1"/>
  <c r="W1875" i="1" s="1"/>
  <c r="X1875" i="1"/>
  <c r="U1875" i="1"/>
  <c r="AC1874" i="1"/>
  <c r="AB1874" i="1"/>
  <c r="AA1874" i="1"/>
  <c r="Z1874" i="1"/>
  <c r="Y1874" i="1"/>
  <c r="W1874" i="1" s="1"/>
  <c r="X1874" i="1"/>
  <c r="U1874" i="1"/>
  <c r="AC1873" i="1"/>
  <c r="AB1873" i="1"/>
  <c r="AA1873" i="1"/>
  <c r="Z1873" i="1"/>
  <c r="Y1873" i="1"/>
  <c r="W1873" i="1" s="1"/>
  <c r="X1873" i="1"/>
  <c r="U1873" i="1"/>
  <c r="AC1872" i="1"/>
  <c r="AB1872" i="1"/>
  <c r="AA1872" i="1"/>
  <c r="Z1872" i="1"/>
  <c r="Y1872" i="1"/>
  <c r="W1872" i="1" s="1"/>
  <c r="X1872" i="1"/>
  <c r="U1872" i="1"/>
  <c r="AC1871" i="1"/>
  <c r="AB1871" i="1"/>
  <c r="AA1871" i="1"/>
  <c r="Z1871" i="1"/>
  <c r="Y1871" i="1"/>
  <c r="W1871" i="1" s="1"/>
  <c r="X1871" i="1"/>
  <c r="U1871" i="1"/>
  <c r="AC1870" i="1"/>
  <c r="AB1870" i="1"/>
  <c r="AA1870" i="1"/>
  <c r="Z1870" i="1"/>
  <c r="Y1870" i="1"/>
  <c r="W1870" i="1" s="1"/>
  <c r="X1870" i="1"/>
  <c r="U1870" i="1"/>
  <c r="AC1869" i="1"/>
  <c r="AB1869" i="1"/>
  <c r="AA1869" i="1"/>
  <c r="Z1869" i="1"/>
  <c r="Y1869" i="1"/>
  <c r="W1869" i="1" s="1"/>
  <c r="X1869" i="1"/>
  <c r="U1869" i="1"/>
  <c r="AC1868" i="1"/>
  <c r="AB1868" i="1"/>
  <c r="AA1868" i="1"/>
  <c r="Z1868" i="1"/>
  <c r="Y1868" i="1"/>
  <c r="W1868" i="1" s="1"/>
  <c r="X1868" i="1"/>
  <c r="U1868" i="1"/>
  <c r="AC1867" i="1"/>
  <c r="AB1867" i="1"/>
  <c r="AA1867" i="1"/>
  <c r="Z1867" i="1"/>
  <c r="Y1867" i="1"/>
  <c r="W1867" i="1" s="1"/>
  <c r="X1867" i="1"/>
  <c r="U1867" i="1"/>
  <c r="AC1866" i="1"/>
  <c r="AB1866" i="1"/>
  <c r="AA1866" i="1"/>
  <c r="Z1866" i="1"/>
  <c r="Y1866" i="1"/>
  <c r="W1866" i="1" s="1"/>
  <c r="X1866" i="1"/>
  <c r="U1866" i="1"/>
  <c r="AC1865" i="1"/>
  <c r="AB1865" i="1"/>
  <c r="AA1865" i="1"/>
  <c r="Z1865" i="1"/>
  <c r="Y1865" i="1"/>
  <c r="W1865" i="1" s="1"/>
  <c r="X1865" i="1"/>
  <c r="U1865" i="1"/>
  <c r="AC1864" i="1"/>
  <c r="AB1864" i="1"/>
  <c r="AA1864" i="1"/>
  <c r="Z1864" i="1"/>
  <c r="Y1864" i="1"/>
  <c r="W1864" i="1" s="1"/>
  <c r="X1864" i="1"/>
  <c r="U1864" i="1"/>
  <c r="AC1863" i="1"/>
  <c r="AB1863" i="1"/>
  <c r="AA1863" i="1"/>
  <c r="Z1863" i="1"/>
  <c r="Y1863" i="1"/>
  <c r="W1863" i="1" s="1"/>
  <c r="X1863" i="1"/>
  <c r="U1863" i="1"/>
  <c r="AC1862" i="1"/>
  <c r="AB1862" i="1"/>
  <c r="AA1862" i="1"/>
  <c r="Z1862" i="1"/>
  <c r="Y1862" i="1"/>
  <c r="W1862" i="1" s="1"/>
  <c r="X1862" i="1"/>
  <c r="U1862" i="1"/>
  <c r="AC1861" i="1"/>
  <c r="AB1861" i="1"/>
  <c r="AA1861" i="1"/>
  <c r="Z1861" i="1"/>
  <c r="Y1861" i="1"/>
  <c r="W1861" i="1" s="1"/>
  <c r="X1861" i="1"/>
  <c r="U1861" i="1"/>
  <c r="AC1860" i="1"/>
  <c r="AB1860" i="1"/>
  <c r="AA1860" i="1"/>
  <c r="Z1860" i="1"/>
  <c r="Y1860" i="1"/>
  <c r="W1860" i="1" s="1"/>
  <c r="X1860" i="1"/>
  <c r="U1860" i="1"/>
  <c r="AC1859" i="1"/>
  <c r="AB1859" i="1"/>
  <c r="AA1859" i="1"/>
  <c r="Z1859" i="1"/>
  <c r="Y1859" i="1"/>
  <c r="W1859" i="1" s="1"/>
  <c r="X1859" i="1"/>
  <c r="U1859" i="1"/>
  <c r="AC1858" i="1"/>
  <c r="AB1858" i="1"/>
  <c r="AA1858" i="1"/>
  <c r="Z1858" i="1"/>
  <c r="Y1858" i="1"/>
  <c r="W1858" i="1" s="1"/>
  <c r="X1858" i="1"/>
  <c r="U1858" i="1"/>
  <c r="AC1857" i="1"/>
  <c r="AB1857" i="1"/>
  <c r="AA1857" i="1"/>
  <c r="Z1857" i="1"/>
  <c r="Y1857" i="1"/>
  <c r="W1857" i="1" s="1"/>
  <c r="X1857" i="1"/>
  <c r="U1857" i="1"/>
  <c r="AC1856" i="1"/>
  <c r="AB1856" i="1"/>
  <c r="AA1856" i="1"/>
  <c r="Z1856" i="1"/>
  <c r="Y1856" i="1"/>
  <c r="W1856" i="1" s="1"/>
  <c r="X1856" i="1"/>
  <c r="U1856" i="1"/>
  <c r="AC1855" i="1"/>
  <c r="AB1855" i="1"/>
  <c r="AA1855" i="1"/>
  <c r="Z1855" i="1"/>
  <c r="Y1855" i="1"/>
  <c r="W1855" i="1" s="1"/>
  <c r="X1855" i="1"/>
  <c r="U1855" i="1"/>
  <c r="AC1854" i="1"/>
  <c r="AB1854" i="1"/>
  <c r="AA1854" i="1"/>
  <c r="Z1854" i="1"/>
  <c r="Y1854" i="1"/>
  <c r="W1854" i="1" s="1"/>
  <c r="X1854" i="1"/>
  <c r="U1854" i="1"/>
  <c r="AC1853" i="1"/>
  <c r="AB1853" i="1"/>
  <c r="AA1853" i="1"/>
  <c r="Z1853" i="1"/>
  <c r="Y1853" i="1"/>
  <c r="W1853" i="1" s="1"/>
  <c r="X1853" i="1"/>
  <c r="U1853" i="1"/>
  <c r="AC1852" i="1"/>
  <c r="AB1852" i="1"/>
  <c r="AA1852" i="1"/>
  <c r="Z1852" i="1"/>
  <c r="Y1852" i="1"/>
  <c r="W1852" i="1" s="1"/>
  <c r="X1852" i="1"/>
  <c r="U1852" i="1"/>
  <c r="AC1851" i="1"/>
  <c r="AB1851" i="1"/>
  <c r="AA1851" i="1"/>
  <c r="Z1851" i="1"/>
  <c r="Y1851" i="1"/>
  <c r="W1851" i="1" s="1"/>
  <c r="X1851" i="1"/>
  <c r="U1851" i="1"/>
  <c r="AC1850" i="1"/>
  <c r="AB1850" i="1"/>
  <c r="AA1850" i="1"/>
  <c r="Z1850" i="1"/>
  <c r="Y1850" i="1"/>
  <c r="W1850" i="1" s="1"/>
  <c r="X1850" i="1"/>
  <c r="U1850" i="1"/>
  <c r="AC1849" i="1"/>
  <c r="AB1849" i="1"/>
  <c r="AA1849" i="1"/>
  <c r="Z1849" i="1"/>
  <c r="Y1849" i="1"/>
  <c r="W1849" i="1" s="1"/>
  <c r="X1849" i="1"/>
  <c r="U1849" i="1"/>
  <c r="AC1848" i="1"/>
  <c r="AB1848" i="1"/>
  <c r="AA1848" i="1"/>
  <c r="Z1848" i="1"/>
  <c r="Y1848" i="1"/>
  <c r="W1848" i="1" s="1"/>
  <c r="X1848" i="1"/>
  <c r="U1848" i="1"/>
  <c r="AC1847" i="1"/>
  <c r="AB1847" i="1"/>
  <c r="AA1847" i="1"/>
  <c r="Z1847" i="1"/>
  <c r="Y1847" i="1"/>
  <c r="W1847" i="1" s="1"/>
  <c r="X1847" i="1"/>
  <c r="U1847" i="1"/>
  <c r="AC1846" i="1"/>
  <c r="AB1846" i="1"/>
  <c r="AA1846" i="1"/>
  <c r="Z1846" i="1"/>
  <c r="Y1846" i="1"/>
  <c r="W1846" i="1" s="1"/>
  <c r="X1846" i="1"/>
  <c r="U1846" i="1"/>
  <c r="AC1845" i="1"/>
  <c r="AB1845" i="1"/>
  <c r="AA1845" i="1"/>
  <c r="Z1845" i="1"/>
  <c r="Y1845" i="1"/>
  <c r="W1845" i="1" s="1"/>
  <c r="X1845" i="1"/>
  <c r="U1845" i="1"/>
  <c r="AC1844" i="1"/>
  <c r="AB1844" i="1"/>
  <c r="AA1844" i="1"/>
  <c r="Z1844" i="1"/>
  <c r="Y1844" i="1"/>
  <c r="W1844" i="1" s="1"/>
  <c r="X1844" i="1"/>
  <c r="U1844" i="1"/>
  <c r="AC1843" i="1"/>
  <c r="AB1843" i="1"/>
  <c r="AA1843" i="1"/>
  <c r="Z1843" i="1"/>
  <c r="Y1843" i="1"/>
  <c r="W1843" i="1" s="1"/>
  <c r="X1843" i="1"/>
  <c r="U1843" i="1"/>
  <c r="AC1842" i="1"/>
  <c r="AB1842" i="1"/>
  <c r="AA1842" i="1"/>
  <c r="Z1842" i="1"/>
  <c r="Y1842" i="1"/>
  <c r="W1842" i="1" s="1"/>
  <c r="X1842" i="1"/>
  <c r="U1842" i="1"/>
  <c r="AC1841" i="1"/>
  <c r="AB1841" i="1"/>
  <c r="AA1841" i="1"/>
  <c r="Z1841" i="1"/>
  <c r="Y1841" i="1"/>
  <c r="W1841" i="1" s="1"/>
  <c r="X1841" i="1"/>
  <c r="U1841" i="1"/>
  <c r="AC1840" i="1"/>
  <c r="AB1840" i="1"/>
  <c r="AA1840" i="1"/>
  <c r="Z1840" i="1"/>
  <c r="Y1840" i="1"/>
  <c r="W1840" i="1" s="1"/>
  <c r="X1840" i="1"/>
  <c r="U1840" i="1"/>
  <c r="AC1839" i="1"/>
  <c r="AB1839" i="1"/>
  <c r="AA1839" i="1"/>
  <c r="Z1839" i="1"/>
  <c r="Y1839" i="1"/>
  <c r="W1839" i="1" s="1"/>
  <c r="X1839" i="1"/>
  <c r="U1839" i="1"/>
  <c r="AC1838" i="1"/>
  <c r="AB1838" i="1"/>
  <c r="AA1838" i="1"/>
  <c r="Z1838" i="1"/>
  <c r="Y1838" i="1"/>
  <c r="W1838" i="1" s="1"/>
  <c r="X1838" i="1"/>
  <c r="U1838" i="1"/>
  <c r="AC1837" i="1"/>
  <c r="AB1837" i="1"/>
  <c r="AA1837" i="1"/>
  <c r="Z1837" i="1"/>
  <c r="Y1837" i="1"/>
  <c r="W1837" i="1" s="1"/>
  <c r="X1837" i="1"/>
  <c r="U1837" i="1"/>
  <c r="AC1836" i="1"/>
  <c r="AB1836" i="1"/>
  <c r="AA1836" i="1"/>
  <c r="Z1836" i="1"/>
  <c r="Y1836" i="1"/>
  <c r="W1836" i="1" s="1"/>
  <c r="X1836" i="1"/>
  <c r="U1836" i="1"/>
  <c r="AC1835" i="1"/>
  <c r="AB1835" i="1"/>
  <c r="AA1835" i="1"/>
  <c r="Z1835" i="1"/>
  <c r="Y1835" i="1"/>
  <c r="W1835" i="1" s="1"/>
  <c r="X1835" i="1"/>
  <c r="U1835" i="1"/>
  <c r="AC1834" i="1"/>
  <c r="AB1834" i="1"/>
  <c r="AA1834" i="1"/>
  <c r="Z1834" i="1"/>
  <c r="Y1834" i="1"/>
  <c r="W1834" i="1" s="1"/>
  <c r="X1834" i="1"/>
  <c r="U1834" i="1"/>
  <c r="AC1833" i="1"/>
  <c r="AB1833" i="1"/>
  <c r="AA1833" i="1"/>
  <c r="Z1833" i="1"/>
  <c r="Y1833" i="1"/>
  <c r="W1833" i="1" s="1"/>
  <c r="X1833" i="1"/>
  <c r="U1833" i="1"/>
  <c r="AC1832" i="1"/>
  <c r="AB1832" i="1"/>
  <c r="AA1832" i="1"/>
  <c r="Z1832" i="1"/>
  <c r="Y1832" i="1"/>
  <c r="W1832" i="1" s="1"/>
  <c r="X1832" i="1"/>
  <c r="U1832" i="1"/>
  <c r="AC1831" i="1"/>
  <c r="AB1831" i="1"/>
  <c r="AA1831" i="1"/>
  <c r="Z1831" i="1"/>
  <c r="Y1831" i="1"/>
  <c r="W1831" i="1" s="1"/>
  <c r="X1831" i="1"/>
  <c r="U1831" i="1"/>
  <c r="AC1830" i="1"/>
  <c r="AB1830" i="1"/>
  <c r="AA1830" i="1"/>
  <c r="Z1830" i="1"/>
  <c r="Y1830" i="1"/>
  <c r="W1830" i="1" s="1"/>
  <c r="X1830" i="1"/>
  <c r="U1830" i="1"/>
  <c r="AC1829" i="1"/>
  <c r="AB1829" i="1"/>
  <c r="AA1829" i="1"/>
  <c r="Z1829" i="1"/>
  <c r="Y1829" i="1"/>
  <c r="W1829" i="1" s="1"/>
  <c r="X1829" i="1"/>
  <c r="U1829" i="1"/>
  <c r="AC1828" i="1"/>
  <c r="AB1828" i="1"/>
  <c r="AA1828" i="1"/>
  <c r="Z1828" i="1"/>
  <c r="Y1828" i="1"/>
  <c r="W1828" i="1" s="1"/>
  <c r="X1828" i="1"/>
  <c r="U1828" i="1"/>
  <c r="AC1827" i="1"/>
  <c r="AB1827" i="1"/>
  <c r="AA1827" i="1"/>
  <c r="Z1827" i="1"/>
  <c r="Y1827" i="1"/>
  <c r="W1827" i="1" s="1"/>
  <c r="X1827" i="1"/>
  <c r="U1827" i="1"/>
  <c r="AC1826" i="1"/>
  <c r="AB1826" i="1"/>
  <c r="AA1826" i="1"/>
  <c r="Z1826" i="1"/>
  <c r="Y1826" i="1"/>
  <c r="W1826" i="1" s="1"/>
  <c r="X1826" i="1"/>
  <c r="U1826" i="1"/>
  <c r="AC1825" i="1"/>
  <c r="AB1825" i="1"/>
  <c r="AA1825" i="1"/>
  <c r="Z1825" i="1"/>
  <c r="Y1825" i="1"/>
  <c r="W1825" i="1" s="1"/>
  <c r="X1825" i="1"/>
  <c r="U1825" i="1"/>
  <c r="AC1824" i="1"/>
  <c r="AB1824" i="1"/>
  <c r="AA1824" i="1"/>
  <c r="Z1824" i="1"/>
  <c r="Y1824" i="1"/>
  <c r="W1824" i="1" s="1"/>
  <c r="X1824" i="1"/>
  <c r="U1824" i="1"/>
  <c r="AC1823" i="1"/>
  <c r="AB1823" i="1"/>
  <c r="AA1823" i="1"/>
  <c r="Z1823" i="1"/>
  <c r="Y1823" i="1"/>
  <c r="W1823" i="1" s="1"/>
  <c r="X1823" i="1"/>
  <c r="U1823" i="1"/>
  <c r="AC1822" i="1"/>
  <c r="AB1822" i="1"/>
  <c r="AA1822" i="1"/>
  <c r="Z1822" i="1"/>
  <c r="Y1822" i="1"/>
  <c r="W1822" i="1" s="1"/>
  <c r="X1822" i="1"/>
  <c r="U1822" i="1"/>
  <c r="AC1821" i="1"/>
  <c r="AB1821" i="1"/>
  <c r="AA1821" i="1"/>
  <c r="Z1821" i="1"/>
  <c r="Y1821" i="1"/>
  <c r="W1821" i="1" s="1"/>
  <c r="X1821" i="1"/>
  <c r="U1821" i="1"/>
  <c r="AC1820" i="1"/>
  <c r="AB1820" i="1"/>
  <c r="AA1820" i="1"/>
  <c r="Z1820" i="1"/>
  <c r="Y1820" i="1"/>
  <c r="W1820" i="1" s="1"/>
  <c r="X1820" i="1"/>
  <c r="U1820" i="1"/>
  <c r="AC1819" i="1"/>
  <c r="AB1819" i="1"/>
  <c r="AA1819" i="1"/>
  <c r="Z1819" i="1"/>
  <c r="Y1819" i="1"/>
  <c r="W1819" i="1" s="1"/>
  <c r="X1819" i="1"/>
  <c r="U1819" i="1"/>
  <c r="AC1818" i="1"/>
  <c r="AB1818" i="1"/>
  <c r="AA1818" i="1"/>
  <c r="Z1818" i="1"/>
  <c r="Y1818" i="1"/>
  <c r="W1818" i="1" s="1"/>
  <c r="X1818" i="1"/>
  <c r="U1818" i="1"/>
  <c r="AC1817" i="1"/>
  <c r="AB1817" i="1"/>
  <c r="AA1817" i="1"/>
  <c r="Z1817" i="1"/>
  <c r="Y1817" i="1"/>
  <c r="W1817" i="1" s="1"/>
  <c r="X1817" i="1"/>
  <c r="U1817" i="1"/>
  <c r="AC1816" i="1"/>
  <c r="AB1816" i="1"/>
  <c r="AA1816" i="1"/>
  <c r="Z1816" i="1"/>
  <c r="Y1816" i="1"/>
  <c r="W1816" i="1" s="1"/>
  <c r="X1816" i="1"/>
  <c r="U1816" i="1"/>
  <c r="AC1815" i="1"/>
  <c r="AB1815" i="1"/>
  <c r="AA1815" i="1"/>
  <c r="Z1815" i="1"/>
  <c r="Y1815" i="1"/>
  <c r="W1815" i="1" s="1"/>
  <c r="X1815" i="1"/>
  <c r="U1815" i="1"/>
  <c r="AC1814" i="1"/>
  <c r="AB1814" i="1"/>
  <c r="AA1814" i="1"/>
  <c r="Z1814" i="1"/>
  <c r="Y1814" i="1"/>
  <c r="W1814" i="1" s="1"/>
  <c r="X1814" i="1"/>
  <c r="U1814" i="1"/>
  <c r="AC1813" i="1"/>
  <c r="AB1813" i="1"/>
  <c r="AA1813" i="1"/>
  <c r="Z1813" i="1"/>
  <c r="Y1813" i="1"/>
  <c r="W1813" i="1" s="1"/>
  <c r="X1813" i="1"/>
  <c r="U1813" i="1"/>
  <c r="AC1812" i="1"/>
  <c r="AB1812" i="1"/>
  <c r="AA1812" i="1"/>
  <c r="Z1812" i="1"/>
  <c r="Y1812" i="1"/>
  <c r="W1812" i="1" s="1"/>
  <c r="X1812" i="1"/>
  <c r="U1812" i="1"/>
  <c r="AC1811" i="1"/>
  <c r="AB1811" i="1"/>
  <c r="AA1811" i="1"/>
  <c r="Z1811" i="1"/>
  <c r="Y1811" i="1"/>
  <c r="W1811" i="1" s="1"/>
  <c r="X1811" i="1"/>
  <c r="U1811" i="1"/>
  <c r="AC1810" i="1"/>
  <c r="AB1810" i="1"/>
  <c r="AA1810" i="1"/>
  <c r="Z1810" i="1"/>
  <c r="Y1810" i="1"/>
  <c r="W1810" i="1" s="1"/>
  <c r="X1810" i="1"/>
  <c r="U1810" i="1"/>
  <c r="AC1809" i="1"/>
  <c r="AB1809" i="1"/>
  <c r="AA1809" i="1"/>
  <c r="Z1809" i="1"/>
  <c r="Y1809" i="1"/>
  <c r="W1809" i="1" s="1"/>
  <c r="X1809" i="1"/>
  <c r="U1809" i="1"/>
  <c r="AC1808" i="1"/>
  <c r="AB1808" i="1"/>
  <c r="AA1808" i="1"/>
  <c r="Z1808" i="1"/>
  <c r="Y1808" i="1"/>
  <c r="W1808" i="1" s="1"/>
  <c r="X1808" i="1"/>
  <c r="U1808" i="1"/>
  <c r="AC1807" i="1"/>
  <c r="AB1807" i="1"/>
  <c r="AA1807" i="1"/>
  <c r="Z1807" i="1"/>
  <c r="Y1807" i="1"/>
  <c r="W1807" i="1" s="1"/>
  <c r="X1807" i="1"/>
  <c r="U1807" i="1"/>
  <c r="AC1806" i="1"/>
  <c r="AB1806" i="1"/>
  <c r="AA1806" i="1"/>
  <c r="Z1806" i="1"/>
  <c r="Y1806" i="1"/>
  <c r="W1806" i="1" s="1"/>
  <c r="X1806" i="1"/>
  <c r="U1806" i="1"/>
  <c r="AC1805" i="1"/>
  <c r="AB1805" i="1"/>
  <c r="AA1805" i="1"/>
  <c r="Z1805" i="1"/>
  <c r="Y1805" i="1"/>
  <c r="W1805" i="1" s="1"/>
  <c r="X1805" i="1"/>
  <c r="U1805" i="1"/>
  <c r="AC1804" i="1"/>
  <c r="AB1804" i="1"/>
  <c r="AA1804" i="1"/>
  <c r="Z1804" i="1"/>
  <c r="Y1804" i="1"/>
  <c r="W1804" i="1" s="1"/>
  <c r="X1804" i="1"/>
  <c r="U1804" i="1"/>
  <c r="AC1803" i="1"/>
  <c r="AB1803" i="1"/>
  <c r="AA1803" i="1"/>
  <c r="Z1803" i="1"/>
  <c r="Y1803" i="1"/>
  <c r="W1803" i="1" s="1"/>
  <c r="X1803" i="1"/>
  <c r="U1803" i="1"/>
  <c r="AC1802" i="1"/>
  <c r="AB1802" i="1"/>
  <c r="AA1802" i="1"/>
  <c r="Z1802" i="1"/>
  <c r="Y1802" i="1"/>
  <c r="W1802" i="1" s="1"/>
  <c r="X1802" i="1"/>
  <c r="U1802" i="1"/>
  <c r="AC1801" i="1"/>
  <c r="AB1801" i="1"/>
  <c r="AA1801" i="1"/>
  <c r="Z1801" i="1"/>
  <c r="Y1801" i="1"/>
  <c r="W1801" i="1" s="1"/>
  <c r="X1801" i="1"/>
  <c r="U1801" i="1"/>
  <c r="AC1800" i="1"/>
  <c r="AB1800" i="1"/>
  <c r="AA1800" i="1"/>
  <c r="Z1800" i="1"/>
  <c r="Y1800" i="1"/>
  <c r="W1800" i="1" s="1"/>
  <c r="X1800" i="1"/>
  <c r="U1800" i="1"/>
  <c r="AC1799" i="1"/>
  <c r="AB1799" i="1"/>
  <c r="AA1799" i="1"/>
  <c r="Z1799" i="1"/>
  <c r="Y1799" i="1"/>
  <c r="W1799" i="1" s="1"/>
  <c r="X1799" i="1"/>
  <c r="U1799" i="1"/>
  <c r="AC1798" i="1"/>
  <c r="AB1798" i="1"/>
  <c r="AA1798" i="1"/>
  <c r="Z1798" i="1"/>
  <c r="Y1798" i="1"/>
  <c r="W1798" i="1" s="1"/>
  <c r="X1798" i="1"/>
  <c r="U1798" i="1"/>
  <c r="AC1797" i="1"/>
  <c r="AB1797" i="1"/>
  <c r="AA1797" i="1"/>
  <c r="Z1797" i="1"/>
  <c r="Y1797" i="1"/>
  <c r="W1797" i="1" s="1"/>
  <c r="X1797" i="1"/>
  <c r="U1797" i="1"/>
  <c r="AC1796" i="1"/>
  <c r="AB1796" i="1"/>
  <c r="AA1796" i="1"/>
  <c r="Z1796" i="1"/>
  <c r="Y1796" i="1"/>
  <c r="W1796" i="1" s="1"/>
  <c r="X1796" i="1"/>
  <c r="U1796" i="1"/>
  <c r="AC1795" i="1"/>
  <c r="AB1795" i="1"/>
  <c r="AA1795" i="1"/>
  <c r="Z1795" i="1"/>
  <c r="Y1795" i="1"/>
  <c r="W1795" i="1" s="1"/>
  <c r="X1795" i="1"/>
  <c r="U1795" i="1"/>
  <c r="AC1794" i="1"/>
  <c r="AB1794" i="1"/>
  <c r="AA1794" i="1"/>
  <c r="Z1794" i="1"/>
  <c r="Y1794" i="1"/>
  <c r="W1794" i="1" s="1"/>
  <c r="X1794" i="1"/>
  <c r="U1794" i="1"/>
  <c r="AC1793" i="1"/>
  <c r="AB1793" i="1"/>
  <c r="AA1793" i="1"/>
  <c r="Z1793" i="1"/>
  <c r="Y1793" i="1"/>
  <c r="W1793" i="1" s="1"/>
  <c r="X1793" i="1"/>
  <c r="U1793" i="1"/>
  <c r="AC1792" i="1"/>
  <c r="AB1792" i="1"/>
  <c r="AA1792" i="1"/>
  <c r="Z1792" i="1"/>
  <c r="Y1792" i="1"/>
  <c r="W1792" i="1" s="1"/>
  <c r="X1792" i="1"/>
  <c r="U1792" i="1"/>
  <c r="AC1791" i="1"/>
  <c r="AB1791" i="1"/>
  <c r="AA1791" i="1"/>
  <c r="Z1791" i="1"/>
  <c r="Y1791" i="1"/>
  <c r="W1791" i="1" s="1"/>
  <c r="X1791" i="1"/>
  <c r="U1791" i="1"/>
  <c r="AC1790" i="1"/>
  <c r="AB1790" i="1"/>
  <c r="AA1790" i="1"/>
  <c r="Z1790" i="1"/>
  <c r="Y1790" i="1"/>
  <c r="W1790" i="1" s="1"/>
  <c r="X1790" i="1"/>
  <c r="U1790" i="1"/>
  <c r="AC1789" i="1"/>
  <c r="AB1789" i="1"/>
  <c r="AA1789" i="1"/>
  <c r="Z1789" i="1"/>
  <c r="Y1789" i="1"/>
  <c r="W1789" i="1" s="1"/>
  <c r="X1789" i="1"/>
  <c r="U1789" i="1"/>
  <c r="AC1788" i="1"/>
  <c r="AB1788" i="1"/>
  <c r="AA1788" i="1"/>
  <c r="Z1788" i="1"/>
  <c r="Y1788" i="1"/>
  <c r="W1788" i="1" s="1"/>
  <c r="X1788" i="1"/>
  <c r="U1788" i="1"/>
  <c r="AC1787" i="1"/>
  <c r="AB1787" i="1"/>
  <c r="AA1787" i="1"/>
  <c r="Z1787" i="1"/>
  <c r="Y1787" i="1"/>
  <c r="W1787" i="1" s="1"/>
  <c r="X1787" i="1"/>
  <c r="U1787" i="1"/>
  <c r="AC1786" i="1"/>
  <c r="AB1786" i="1"/>
  <c r="AA1786" i="1"/>
  <c r="Z1786" i="1"/>
  <c r="Y1786" i="1"/>
  <c r="W1786" i="1" s="1"/>
  <c r="X1786" i="1"/>
  <c r="U1786" i="1"/>
  <c r="AC1785" i="1"/>
  <c r="AB1785" i="1"/>
  <c r="AA1785" i="1"/>
  <c r="Z1785" i="1"/>
  <c r="Y1785" i="1"/>
  <c r="W1785" i="1" s="1"/>
  <c r="X1785" i="1"/>
  <c r="U1785" i="1"/>
  <c r="AC1784" i="1"/>
  <c r="AB1784" i="1"/>
  <c r="AA1784" i="1"/>
  <c r="Z1784" i="1"/>
  <c r="Y1784" i="1"/>
  <c r="W1784" i="1" s="1"/>
  <c r="X1784" i="1"/>
  <c r="U1784" i="1"/>
  <c r="AC1783" i="1"/>
  <c r="AB1783" i="1"/>
  <c r="AA1783" i="1"/>
  <c r="Z1783" i="1"/>
  <c r="Y1783" i="1"/>
  <c r="W1783" i="1" s="1"/>
  <c r="X1783" i="1"/>
  <c r="U1783" i="1"/>
  <c r="AC1782" i="1"/>
  <c r="AB1782" i="1"/>
  <c r="AA1782" i="1"/>
  <c r="Z1782" i="1"/>
  <c r="Y1782" i="1"/>
  <c r="W1782" i="1" s="1"/>
  <c r="X1782" i="1"/>
  <c r="U1782" i="1"/>
  <c r="AC1781" i="1"/>
  <c r="AB1781" i="1"/>
  <c r="AA1781" i="1"/>
  <c r="Z1781" i="1"/>
  <c r="Y1781" i="1"/>
  <c r="W1781" i="1" s="1"/>
  <c r="X1781" i="1"/>
  <c r="U1781" i="1"/>
  <c r="AC1780" i="1"/>
  <c r="AB1780" i="1"/>
  <c r="AA1780" i="1"/>
  <c r="Z1780" i="1"/>
  <c r="Y1780" i="1"/>
  <c r="W1780" i="1" s="1"/>
  <c r="X1780" i="1"/>
  <c r="U1780" i="1"/>
  <c r="AC1779" i="1"/>
  <c r="AB1779" i="1"/>
  <c r="AA1779" i="1"/>
  <c r="Z1779" i="1"/>
  <c r="Y1779" i="1"/>
  <c r="W1779" i="1" s="1"/>
  <c r="X1779" i="1"/>
  <c r="U1779" i="1"/>
  <c r="AC1778" i="1"/>
  <c r="AB1778" i="1"/>
  <c r="AA1778" i="1"/>
  <c r="Z1778" i="1"/>
  <c r="Y1778" i="1"/>
  <c r="W1778" i="1" s="1"/>
  <c r="X1778" i="1"/>
  <c r="U1778" i="1"/>
  <c r="AC1777" i="1"/>
  <c r="AB1777" i="1"/>
  <c r="AA1777" i="1"/>
  <c r="Z1777" i="1"/>
  <c r="Y1777" i="1"/>
  <c r="W1777" i="1" s="1"/>
  <c r="X1777" i="1"/>
  <c r="U1777" i="1"/>
  <c r="AC1776" i="1"/>
  <c r="AB1776" i="1"/>
  <c r="AA1776" i="1"/>
  <c r="Z1776" i="1"/>
  <c r="Y1776" i="1"/>
  <c r="W1776" i="1" s="1"/>
  <c r="X1776" i="1"/>
  <c r="U1776" i="1"/>
  <c r="AC1775" i="1"/>
  <c r="AB1775" i="1"/>
  <c r="AA1775" i="1"/>
  <c r="Z1775" i="1"/>
  <c r="Y1775" i="1"/>
  <c r="W1775" i="1" s="1"/>
  <c r="X1775" i="1"/>
  <c r="U1775" i="1"/>
  <c r="AC1774" i="1"/>
  <c r="AB1774" i="1"/>
  <c r="AA1774" i="1"/>
  <c r="Z1774" i="1"/>
  <c r="Y1774" i="1"/>
  <c r="W1774" i="1" s="1"/>
  <c r="X1774" i="1"/>
  <c r="U1774" i="1"/>
  <c r="AC1773" i="1"/>
  <c r="AB1773" i="1"/>
  <c r="AA1773" i="1"/>
  <c r="Z1773" i="1"/>
  <c r="Y1773" i="1"/>
  <c r="W1773" i="1" s="1"/>
  <c r="X1773" i="1"/>
  <c r="U1773" i="1"/>
  <c r="AC1772" i="1"/>
  <c r="AB1772" i="1"/>
  <c r="AA1772" i="1"/>
  <c r="Z1772" i="1"/>
  <c r="Y1772" i="1"/>
  <c r="W1772" i="1" s="1"/>
  <c r="X1772" i="1"/>
  <c r="U1772" i="1"/>
  <c r="AC1771" i="1"/>
  <c r="AB1771" i="1"/>
  <c r="AA1771" i="1"/>
  <c r="Z1771" i="1"/>
  <c r="Y1771" i="1"/>
  <c r="W1771" i="1" s="1"/>
  <c r="X1771" i="1"/>
  <c r="U1771" i="1"/>
  <c r="AC1770" i="1"/>
  <c r="AB1770" i="1"/>
  <c r="AA1770" i="1"/>
  <c r="Z1770" i="1"/>
  <c r="Y1770" i="1"/>
  <c r="W1770" i="1" s="1"/>
  <c r="X1770" i="1"/>
  <c r="U1770" i="1"/>
  <c r="AC1769" i="1"/>
  <c r="AB1769" i="1"/>
  <c r="AA1769" i="1"/>
  <c r="Z1769" i="1"/>
  <c r="Y1769" i="1"/>
  <c r="W1769" i="1" s="1"/>
  <c r="X1769" i="1"/>
  <c r="U1769" i="1"/>
  <c r="AC1768" i="1"/>
  <c r="AB1768" i="1"/>
  <c r="AA1768" i="1"/>
  <c r="Z1768" i="1"/>
  <c r="Y1768" i="1"/>
  <c r="W1768" i="1" s="1"/>
  <c r="X1768" i="1"/>
  <c r="U1768" i="1"/>
  <c r="AC1767" i="1"/>
  <c r="AB1767" i="1"/>
  <c r="AA1767" i="1"/>
  <c r="Z1767" i="1"/>
  <c r="Y1767" i="1"/>
  <c r="W1767" i="1" s="1"/>
  <c r="X1767" i="1"/>
  <c r="U1767" i="1"/>
  <c r="AC1766" i="1"/>
  <c r="AB1766" i="1"/>
  <c r="AA1766" i="1"/>
  <c r="Z1766" i="1"/>
  <c r="Y1766" i="1"/>
  <c r="W1766" i="1" s="1"/>
  <c r="X1766" i="1"/>
  <c r="U1766" i="1"/>
  <c r="AC1765" i="1"/>
  <c r="AB1765" i="1"/>
  <c r="AA1765" i="1"/>
  <c r="Z1765" i="1"/>
  <c r="Y1765" i="1"/>
  <c r="W1765" i="1" s="1"/>
  <c r="X1765" i="1"/>
  <c r="U1765" i="1"/>
  <c r="AC1764" i="1"/>
  <c r="AB1764" i="1"/>
  <c r="AA1764" i="1"/>
  <c r="Z1764" i="1"/>
  <c r="Y1764" i="1"/>
  <c r="W1764" i="1" s="1"/>
  <c r="X1764" i="1"/>
  <c r="U1764" i="1"/>
  <c r="AC1763" i="1"/>
  <c r="AB1763" i="1"/>
  <c r="AA1763" i="1"/>
  <c r="Z1763" i="1"/>
  <c r="Y1763" i="1"/>
  <c r="W1763" i="1" s="1"/>
  <c r="X1763" i="1"/>
  <c r="U1763" i="1"/>
  <c r="AC1762" i="1"/>
  <c r="AB1762" i="1"/>
  <c r="AA1762" i="1"/>
  <c r="Z1762" i="1"/>
  <c r="Y1762" i="1"/>
  <c r="W1762" i="1" s="1"/>
  <c r="X1762" i="1"/>
  <c r="U1762" i="1"/>
  <c r="AC1761" i="1"/>
  <c r="AB1761" i="1"/>
  <c r="AA1761" i="1"/>
  <c r="Z1761" i="1"/>
  <c r="Y1761" i="1"/>
  <c r="W1761" i="1" s="1"/>
  <c r="X1761" i="1"/>
  <c r="U1761" i="1"/>
  <c r="AC1760" i="1"/>
  <c r="AB1760" i="1"/>
  <c r="AA1760" i="1"/>
  <c r="Z1760" i="1"/>
  <c r="Y1760" i="1"/>
  <c r="W1760" i="1" s="1"/>
  <c r="X1760" i="1"/>
  <c r="U1760" i="1"/>
  <c r="AC1759" i="1"/>
  <c r="AB1759" i="1"/>
  <c r="AA1759" i="1"/>
  <c r="Z1759" i="1"/>
  <c r="Y1759" i="1"/>
  <c r="W1759" i="1" s="1"/>
  <c r="X1759" i="1"/>
  <c r="U1759" i="1"/>
  <c r="AC1758" i="1"/>
  <c r="AB1758" i="1"/>
  <c r="AA1758" i="1"/>
  <c r="Z1758" i="1"/>
  <c r="Y1758" i="1"/>
  <c r="W1758" i="1" s="1"/>
  <c r="X1758" i="1"/>
  <c r="U1758" i="1"/>
  <c r="AC1757" i="1"/>
  <c r="AB1757" i="1"/>
  <c r="AA1757" i="1"/>
  <c r="Z1757" i="1"/>
  <c r="Y1757" i="1"/>
  <c r="W1757" i="1" s="1"/>
  <c r="X1757" i="1"/>
  <c r="U1757" i="1"/>
  <c r="AC1756" i="1"/>
  <c r="AB1756" i="1"/>
  <c r="AA1756" i="1"/>
  <c r="Z1756" i="1"/>
  <c r="Y1756" i="1"/>
  <c r="W1756" i="1" s="1"/>
  <c r="X1756" i="1"/>
  <c r="U1756" i="1"/>
  <c r="AC1755" i="1"/>
  <c r="AB1755" i="1"/>
  <c r="AA1755" i="1"/>
  <c r="Z1755" i="1"/>
  <c r="Y1755" i="1"/>
  <c r="W1755" i="1" s="1"/>
  <c r="X1755" i="1"/>
  <c r="U1755" i="1"/>
  <c r="AC1754" i="1"/>
  <c r="AB1754" i="1"/>
  <c r="AA1754" i="1"/>
  <c r="Z1754" i="1"/>
  <c r="Y1754" i="1"/>
  <c r="W1754" i="1" s="1"/>
  <c r="X1754" i="1"/>
  <c r="U1754" i="1"/>
  <c r="AC1753" i="1"/>
  <c r="AB1753" i="1"/>
  <c r="AA1753" i="1"/>
  <c r="Z1753" i="1"/>
  <c r="Y1753" i="1"/>
  <c r="W1753" i="1" s="1"/>
  <c r="X1753" i="1"/>
  <c r="U1753" i="1"/>
  <c r="AC1752" i="1"/>
  <c r="AB1752" i="1"/>
  <c r="AA1752" i="1"/>
  <c r="Z1752" i="1"/>
  <c r="Y1752" i="1"/>
  <c r="W1752" i="1" s="1"/>
  <c r="X1752" i="1"/>
  <c r="U1752" i="1"/>
  <c r="AC1751" i="1"/>
  <c r="AB1751" i="1"/>
  <c r="AA1751" i="1"/>
  <c r="Z1751" i="1"/>
  <c r="Y1751" i="1"/>
  <c r="W1751" i="1" s="1"/>
  <c r="X1751" i="1"/>
  <c r="U1751" i="1"/>
  <c r="AC1750" i="1"/>
  <c r="AB1750" i="1"/>
  <c r="AA1750" i="1"/>
  <c r="Z1750" i="1"/>
  <c r="Y1750" i="1"/>
  <c r="W1750" i="1" s="1"/>
  <c r="X1750" i="1"/>
  <c r="U1750" i="1"/>
  <c r="AC1749" i="1"/>
  <c r="AB1749" i="1"/>
  <c r="AA1749" i="1"/>
  <c r="Z1749" i="1"/>
  <c r="Y1749" i="1"/>
  <c r="W1749" i="1" s="1"/>
  <c r="X1749" i="1"/>
  <c r="U1749" i="1"/>
  <c r="AC1748" i="1"/>
  <c r="AB1748" i="1"/>
  <c r="AA1748" i="1"/>
  <c r="Z1748" i="1"/>
  <c r="Y1748" i="1"/>
  <c r="W1748" i="1" s="1"/>
  <c r="X1748" i="1"/>
  <c r="U1748" i="1"/>
  <c r="AC1747" i="1"/>
  <c r="AB1747" i="1"/>
  <c r="AA1747" i="1"/>
  <c r="Z1747" i="1"/>
  <c r="Y1747" i="1"/>
  <c r="W1747" i="1" s="1"/>
  <c r="X1747" i="1"/>
  <c r="U1747" i="1"/>
  <c r="AC1746" i="1"/>
  <c r="AB1746" i="1"/>
  <c r="AA1746" i="1"/>
  <c r="Z1746" i="1"/>
  <c r="Y1746" i="1"/>
  <c r="W1746" i="1" s="1"/>
  <c r="X1746" i="1"/>
  <c r="U1746" i="1"/>
  <c r="AC1745" i="1"/>
  <c r="AB1745" i="1"/>
  <c r="AA1745" i="1"/>
  <c r="Z1745" i="1"/>
  <c r="Y1745" i="1"/>
  <c r="W1745" i="1" s="1"/>
  <c r="X1745" i="1"/>
  <c r="U1745" i="1"/>
  <c r="AC1744" i="1"/>
  <c r="AB1744" i="1"/>
  <c r="AA1744" i="1"/>
  <c r="Z1744" i="1"/>
  <c r="Y1744" i="1"/>
  <c r="W1744" i="1" s="1"/>
  <c r="X1744" i="1"/>
  <c r="U1744" i="1"/>
  <c r="AC1743" i="1"/>
  <c r="AB1743" i="1"/>
  <c r="AA1743" i="1"/>
  <c r="Z1743" i="1"/>
  <c r="Y1743" i="1"/>
  <c r="W1743" i="1" s="1"/>
  <c r="X1743" i="1"/>
  <c r="U1743" i="1"/>
  <c r="AC1742" i="1"/>
  <c r="AB1742" i="1"/>
  <c r="AA1742" i="1"/>
  <c r="Z1742" i="1"/>
  <c r="Y1742" i="1"/>
  <c r="W1742" i="1" s="1"/>
  <c r="X1742" i="1"/>
  <c r="U1742" i="1"/>
  <c r="AC1741" i="1"/>
  <c r="AB1741" i="1"/>
  <c r="AA1741" i="1"/>
  <c r="Z1741" i="1"/>
  <c r="Y1741" i="1"/>
  <c r="W1741" i="1" s="1"/>
  <c r="X1741" i="1"/>
  <c r="U1741" i="1"/>
  <c r="AC1740" i="1"/>
  <c r="AB1740" i="1"/>
  <c r="AA1740" i="1"/>
  <c r="Z1740" i="1"/>
  <c r="Y1740" i="1"/>
  <c r="W1740" i="1" s="1"/>
  <c r="X1740" i="1"/>
  <c r="U1740" i="1"/>
  <c r="AC1739" i="1"/>
  <c r="AB1739" i="1"/>
  <c r="AA1739" i="1"/>
  <c r="Z1739" i="1"/>
  <c r="Y1739" i="1"/>
  <c r="W1739" i="1" s="1"/>
  <c r="X1739" i="1"/>
  <c r="U1739" i="1"/>
  <c r="AC1738" i="1"/>
  <c r="AB1738" i="1"/>
  <c r="AA1738" i="1"/>
  <c r="Z1738" i="1"/>
  <c r="Y1738" i="1"/>
  <c r="W1738" i="1" s="1"/>
  <c r="X1738" i="1"/>
  <c r="U1738" i="1"/>
  <c r="AC1737" i="1"/>
  <c r="AB1737" i="1"/>
  <c r="AA1737" i="1"/>
  <c r="Z1737" i="1"/>
  <c r="Y1737" i="1"/>
  <c r="W1737" i="1" s="1"/>
  <c r="X1737" i="1"/>
  <c r="U1737" i="1"/>
  <c r="AC1736" i="1"/>
  <c r="AB1736" i="1"/>
  <c r="AA1736" i="1"/>
  <c r="Z1736" i="1"/>
  <c r="Y1736" i="1"/>
  <c r="W1736" i="1" s="1"/>
  <c r="X1736" i="1"/>
  <c r="U1736" i="1"/>
  <c r="AC1735" i="1"/>
  <c r="AB1735" i="1"/>
  <c r="AA1735" i="1"/>
  <c r="Z1735" i="1"/>
  <c r="Y1735" i="1"/>
  <c r="W1735" i="1" s="1"/>
  <c r="X1735" i="1"/>
  <c r="U1735" i="1"/>
  <c r="AC1734" i="1"/>
  <c r="AB1734" i="1"/>
  <c r="AA1734" i="1"/>
  <c r="Z1734" i="1"/>
  <c r="Y1734" i="1"/>
  <c r="W1734" i="1" s="1"/>
  <c r="X1734" i="1"/>
  <c r="U1734" i="1"/>
  <c r="AC1733" i="1"/>
  <c r="AB1733" i="1"/>
  <c r="AA1733" i="1"/>
  <c r="Z1733" i="1"/>
  <c r="Y1733" i="1"/>
  <c r="W1733" i="1" s="1"/>
  <c r="X1733" i="1"/>
  <c r="U1733" i="1"/>
  <c r="AC1732" i="1"/>
  <c r="AB1732" i="1"/>
  <c r="AA1732" i="1"/>
  <c r="Z1732" i="1"/>
  <c r="Y1732" i="1"/>
  <c r="W1732" i="1" s="1"/>
  <c r="X1732" i="1"/>
  <c r="U1732" i="1"/>
  <c r="AC1731" i="1"/>
  <c r="AB1731" i="1"/>
  <c r="AA1731" i="1"/>
  <c r="Z1731" i="1"/>
  <c r="Y1731" i="1"/>
  <c r="W1731" i="1" s="1"/>
  <c r="X1731" i="1"/>
  <c r="U1731" i="1"/>
  <c r="AC1730" i="1"/>
  <c r="AB1730" i="1"/>
  <c r="AA1730" i="1"/>
  <c r="Z1730" i="1"/>
  <c r="Y1730" i="1"/>
  <c r="W1730" i="1" s="1"/>
  <c r="X1730" i="1"/>
  <c r="U1730" i="1"/>
  <c r="AC1729" i="1"/>
  <c r="AB1729" i="1"/>
  <c r="AA1729" i="1"/>
  <c r="Z1729" i="1"/>
  <c r="Y1729" i="1"/>
  <c r="W1729" i="1" s="1"/>
  <c r="X1729" i="1"/>
  <c r="U1729" i="1"/>
  <c r="AC1728" i="1"/>
  <c r="AB1728" i="1"/>
  <c r="AA1728" i="1"/>
  <c r="Z1728" i="1"/>
  <c r="Y1728" i="1"/>
  <c r="W1728" i="1" s="1"/>
  <c r="X1728" i="1"/>
  <c r="U1728" i="1"/>
  <c r="AC1727" i="1"/>
  <c r="AB1727" i="1"/>
  <c r="AA1727" i="1"/>
  <c r="Z1727" i="1"/>
  <c r="Y1727" i="1"/>
  <c r="W1727" i="1" s="1"/>
  <c r="X1727" i="1"/>
  <c r="U1727" i="1"/>
  <c r="AC1726" i="1"/>
  <c r="AB1726" i="1"/>
  <c r="AA1726" i="1"/>
  <c r="Z1726" i="1"/>
  <c r="Y1726" i="1"/>
  <c r="W1726" i="1" s="1"/>
  <c r="X1726" i="1"/>
  <c r="U1726" i="1"/>
  <c r="AC1725" i="1"/>
  <c r="AB1725" i="1"/>
  <c r="AA1725" i="1"/>
  <c r="Z1725" i="1"/>
  <c r="Y1725" i="1"/>
  <c r="W1725" i="1" s="1"/>
  <c r="X1725" i="1"/>
  <c r="U1725" i="1"/>
  <c r="AC1724" i="1"/>
  <c r="AB1724" i="1"/>
  <c r="AA1724" i="1"/>
  <c r="Z1724" i="1"/>
  <c r="Y1724" i="1"/>
  <c r="W1724" i="1" s="1"/>
  <c r="X1724" i="1"/>
  <c r="U1724" i="1"/>
  <c r="AC1723" i="1"/>
  <c r="AB1723" i="1"/>
  <c r="AA1723" i="1"/>
  <c r="Z1723" i="1"/>
  <c r="Y1723" i="1"/>
  <c r="W1723" i="1" s="1"/>
  <c r="X1723" i="1"/>
  <c r="U1723" i="1"/>
  <c r="AC1722" i="1"/>
  <c r="AB1722" i="1"/>
  <c r="AA1722" i="1"/>
  <c r="Z1722" i="1"/>
  <c r="Y1722" i="1"/>
  <c r="W1722" i="1" s="1"/>
  <c r="X1722" i="1"/>
  <c r="U1722" i="1"/>
  <c r="AC1721" i="1"/>
  <c r="AB1721" i="1"/>
  <c r="AA1721" i="1"/>
  <c r="Z1721" i="1"/>
  <c r="Y1721" i="1"/>
  <c r="W1721" i="1" s="1"/>
  <c r="X1721" i="1"/>
  <c r="U1721" i="1"/>
  <c r="AC1720" i="1"/>
  <c r="AB1720" i="1"/>
  <c r="AA1720" i="1"/>
  <c r="Z1720" i="1"/>
  <c r="Y1720" i="1"/>
  <c r="W1720" i="1" s="1"/>
  <c r="X1720" i="1"/>
  <c r="U1720" i="1"/>
  <c r="AC1719" i="1"/>
  <c r="AB1719" i="1"/>
  <c r="AA1719" i="1"/>
  <c r="Z1719" i="1"/>
  <c r="Y1719" i="1"/>
  <c r="W1719" i="1" s="1"/>
  <c r="X1719" i="1"/>
  <c r="U1719" i="1"/>
  <c r="AC1718" i="1"/>
  <c r="AB1718" i="1"/>
  <c r="AA1718" i="1"/>
  <c r="Z1718" i="1"/>
  <c r="Y1718" i="1"/>
  <c r="W1718" i="1" s="1"/>
  <c r="X1718" i="1"/>
  <c r="U1718" i="1"/>
  <c r="AC1717" i="1"/>
  <c r="AB1717" i="1"/>
  <c r="AA1717" i="1"/>
  <c r="Z1717" i="1"/>
  <c r="Y1717" i="1"/>
  <c r="W1717" i="1" s="1"/>
  <c r="X1717" i="1"/>
  <c r="U1717" i="1"/>
  <c r="AC1716" i="1"/>
  <c r="AB1716" i="1"/>
  <c r="AA1716" i="1"/>
  <c r="Z1716" i="1"/>
  <c r="Y1716" i="1"/>
  <c r="W1716" i="1" s="1"/>
  <c r="X1716" i="1"/>
  <c r="U1716" i="1"/>
  <c r="AC1715" i="1"/>
  <c r="AB1715" i="1"/>
  <c r="AA1715" i="1"/>
  <c r="Z1715" i="1"/>
  <c r="Y1715" i="1"/>
  <c r="W1715" i="1" s="1"/>
  <c r="X1715" i="1"/>
  <c r="U1715" i="1"/>
  <c r="AC1714" i="1"/>
  <c r="AB1714" i="1"/>
  <c r="AA1714" i="1"/>
  <c r="Z1714" i="1"/>
  <c r="Y1714" i="1"/>
  <c r="W1714" i="1" s="1"/>
  <c r="X1714" i="1"/>
  <c r="U1714" i="1"/>
  <c r="AC1713" i="1"/>
  <c r="AB1713" i="1"/>
  <c r="AA1713" i="1"/>
  <c r="Z1713" i="1"/>
  <c r="Y1713" i="1"/>
  <c r="W1713" i="1" s="1"/>
  <c r="X1713" i="1"/>
  <c r="U1713" i="1"/>
  <c r="AC1712" i="1"/>
  <c r="AB1712" i="1"/>
  <c r="AA1712" i="1"/>
  <c r="Z1712" i="1"/>
  <c r="Y1712" i="1"/>
  <c r="W1712" i="1" s="1"/>
  <c r="X1712" i="1"/>
  <c r="U1712" i="1"/>
  <c r="AC1711" i="1"/>
  <c r="AB1711" i="1"/>
  <c r="AA1711" i="1"/>
  <c r="Z1711" i="1"/>
  <c r="Y1711" i="1"/>
  <c r="W1711" i="1" s="1"/>
  <c r="X1711" i="1"/>
  <c r="U1711" i="1"/>
  <c r="AC1710" i="1"/>
  <c r="AB1710" i="1"/>
  <c r="AA1710" i="1"/>
  <c r="Z1710" i="1"/>
  <c r="Y1710" i="1"/>
  <c r="W1710" i="1" s="1"/>
  <c r="X1710" i="1"/>
  <c r="U1710" i="1"/>
  <c r="AC1709" i="1"/>
  <c r="AB1709" i="1"/>
  <c r="AA1709" i="1"/>
  <c r="Z1709" i="1"/>
  <c r="Y1709" i="1"/>
  <c r="W1709" i="1" s="1"/>
  <c r="X1709" i="1"/>
  <c r="U1709" i="1"/>
  <c r="AC1708" i="1"/>
  <c r="AB1708" i="1"/>
  <c r="AA1708" i="1"/>
  <c r="Z1708" i="1"/>
  <c r="Y1708" i="1"/>
  <c r="W1708" i="1" s="1"/>
  <c r="X1708" i="1"/>
  <c r="U1708" i="1"/>
  <c r="AC1707" i="1"/>
  <c r="AB1707" i="1"/>
  <c r="AA1707" i="1"/>
  <c r="Z1707" i="1"/>
  <c r="Y1707" i="1"/>
  <c r="W1707" i="1" s="1"/>
  <c r="X1707" i="1"/>
  <c r="U1707" i="1"/>
  <c r="AC1706" i="1"/>
  <c r="AB1706" i="1"/>
  <c r="AA1706" i="1"/>
  <c r="Z1706" i="1"/>
  <c r="Y1706" i="1"/>
  <c r="W1706" i="1" s="1"/>
  <c r="X1706" i="1"/>
  <c r="U1706" i="1"/>
  <c r="AC1705" i="1"/>
  <c r="AB1705" i="1"/>
  <c r="AA1705" i="1"/>
  <c r="Z1705" i="1"/>
  <c r="Y1705" i="1"/>
  <c r="W1705" i="1" s="1"/>
  <c r="X1705" i="1"/>
  <c r="U1705" i="1"/>
  <c r="AC1704" i="1"/>
  <c r="AB1704" i="1"/>
  <c r="AA1704" i="1"/>
  <c r="Z1704" i="1"/>
  <c r="Y1704" i="1"/>
  <c r="W1704" i="1" s="1"/>
  <c r="X1704" i="1"/>
  <c r="U1704" i="1"/>
  <c r="AC1703" i="1"/>
  <c r="AB1703" i="1"/>
  <c r="AA1703" i="1"/>
  <c r="Z1703" i="1"/>
  <c r="Y1703" i="1"/>
  <c r="W1703" i="1" s="1"/>
  <c r="X1703" i="1"/>
  <c r="U1703" i="1"/>
  <c r="AC1702" i="1"/>
  <c r="AB1702" i="1"/>
  <c r="AA1702" i="1"/>
  <c r="Z1702" i="1"/>
  <c r="Y1702" i="1"/>
  <c r="W1702" i="1" s="1"/>
  <c r="X1702" i="1"/>
  <c r="U1702" i="1"/>
  <c r="AC1701" i="1"/>
  <c r="AB1701" i="1"/>
  <c r="AA1701" i="1"/>
  <c r="Z1701" i="1"/>
  <c r="Y1701" i="1"/>
  <c r="W1701" i="1" s="1"/>
  <c r="X1701" i="1"/>
  <c r="U1701" i="1"/>
  <c r="AC1700" i="1"/>
  <c r="AB1700" i="1"/>
  <c r="AA1700" i="1"/>
  <c r="Z1700" i="1"/>
  <c r="Y1700" i="1"/>
  <c r="W1700" i="1" s="1"/>
  <c r="X1700" i="1"/>
  <c r="U1700" i="1"/>
  <c r="AC1699" i="1"/>
  <c r="AB1699" i="1"/>
  <c r="AA1699" i="1"/>
  <c r="Z1699" i="1"/>
  <c r="Y1699" i="1"/>
  <c r="W1699" i="1" s="1"/>
  <c r="X1699" i="1"/>
  <c r="U1699" i="1"/>
  <c r="AC1698" i="1"/>
  <c r="AB1698" i="1"/>
  <c r="AA1698" i="1"/>
  <c r="Z1698" i="1"/>
  <c r="Y1698" i="1"/>
  <c r="W1698" i="1" s="1"/>
  <c r="X1698" i="1"/>
  <c r="U1698" i="1"/>
  <c r="AC1697" i="1"/>
  <c r="AB1697" i="1"/>
  <c r="AA1697" i="1"/>
  <c r="Z1697" i="1"/>
  <c r="Y1697" i="1"/>
  <c r="W1697" i="1" s="1"/>
  <c r="X1697" i="1"/>
  <c r="U1697" i="1"/>
  <c r="AC1696" i="1"/>
  <c r="AB1696" i="1"/>
  <c r="AA1696" i="1"/>
  <c r="Z1696" i="1"/>
  <c r="Y1696" i="1"/>
  <c r="W1696" i="1" s="1"/>
  <c r="X1696" i="1"/>
  <c r="U1696" i="1"/>
  <c r="AC1695" i="1"/>
  <c r="AB1695" i="1"/>
  <c r="AA1695" i="1"/>
  <c r="Z1695" i="1"/>
  <c r="Y1695" i="1"/>
  <c r="W1695" i="1" s="1"/>
  <c r="X1695" i="1"/>
  <c r="U1695" i="1"/>
  <c r="AC1694" i="1"/>
  <c r="AB1694" i="1"/>
  <c r="AA1694" i="1"/>
  <c r="Z1694" i="1"/>
  <c r="Y1694" i="1"/>
  <c r="W1694" i="1" s="1"/>
  <c r="X1694" i="1"/>
  <c r="U1694" i="1"/>
  <c r="AC1693" i="1"/>
  <c r="AB1693" i="1"/>
  <c r="AA1693" i="1"/>
  <c r="Z1693" i="1"/>
  <c r="Y1693" i="1"/>
  <c r="W1693" i="1" s="1"/>
  <c r="X1693" i="1"/>
  <c r="U1693" i="1"/>
  <c r="AC1692" i="1"/>
  <c r="AB1692" i="1"/>
  <c r="AA1692" i="1"/>
  <c r="Z1692" i="1"/>
  <c r="Y1692" i="1"/>
  <c r="W1692" i="1" s="1"/>
  <c r="X1692" i="1"/>
  <c r="U1692" i="1"/>
  <c r="AC1691" i="1"/>
  <c r="AB1691" i="1"/>
  <c r="AA1691" i="1"/>
  <c r="Z1691" i="1"/>
  <c r="Y1691" i="1"/>
  <c r="W1691" i="1" s="1"/>
  <c r="X1691" i="1"/>
  <c r="U1691" i="1"/>
  <c r="AC1690" i="1"/>
  <c r="AB1690" i="1"/>
  <c r="AA1690" i="1"/>
  <c r="Z1690" i="1"/>
  <c r="Y1690" i="1"/>
  <c r="W1690" i="1" s="1"/>
  <c r="X1690" i="1"/>
  <c r="U1690" i="1"/>
  <c r="AC1689" i="1"/>
  <c r="AB1689" i="1"/>
  <c r="AA1689" i="1"/>
  <c r="Z1689" i="1"/>
  <c r="Y1689" i="1"/>
  <c r="W1689" i="1" s="1"/>
  <c r="X1689" i="1"/>
  <c r="U1689" i="1"/>
  <c r="AC1688" i="1"/>
  <c r="AB1688" i="1"/>
  <c r="AA1688" i="1"/>
  <c r="Z1688" i="1"/>
  <c r="Y1688" i="1"/>
  <c r="W1688" i="1" s="1"/>
  <c r="X1688" i="1"/>
  <c r="U1688" i="1"/>
  <c r="AC1687" i="1"/>
  <c r="AB1687" i="1"/>
  <c r="AA1687" i="1"/>
  <c r="Z1687" i="1"/>
  <c r="Y1687" i="1"/>
  <c r="W1687" i="1" s="1"/>
  <c r="X1687" i="1"/>
  <c r="U1687" i="1"/>
  <c r="AC1686" i="1"/>
  <c r="AB1686" i="1"/>
  <c r="AA1686" i="1"/>
  <c r="Z1686" i="1"/>
  <c r="Y1686" i="1"/>
  <c r="W1686" i="1" s="1"/>
  <c r="X1686" i="1"/>
  <c r="U1686" i="1"/>
  <c r="AC1685" i="1"/>
  <c r="AB1685" i="1"/>
  <c r="AA1685" i="1"/>
  <c r="Z1685" i="1"/>
  <c r="Y1685" i="1"/>
  <c r="W1685" i="1" s="1"/>
  <c r="X1685" i="1"/>
  <c r="U1685" i="1"/>
  <c r="AC1684" i="1"/>
  <c r="AB1684" i="1"/>
  <c r="AA1684" i="1"/>
  <c r="Z1684" i="1"/>
  <c r="Y1684" i="1"/>
  <c r="W1684" i="1" s="1"/>
  <c r="X1684" i="1"/>
  <c r="U1684" i="1"/>
  <c r="AC1683" i="1"/>
  <c r="AB1683" i="1"/>
  <c r="AA1683" i="1"/>
  <c r="Z1683" i="1"/>
  <c r="Y1683" i="1"/>
  <c r="W1683" i="1" s="1"/>
  <c r="X1683" i="1"/>
  <c r="U1683" i="1"/>
  <c r="AC1682" i="1"/>
  <c r="AB1682" i="1"/>
  <c r="AA1682" i="1"/>
  <c r="Z1682" i="1"/>
  <c r="Y1682" i="1"/>
  <c r="W1682" i="1" s="1"/>
  <c r="X1682" i="1"/>
  <c r="U1682" i="1"/>
  <c r="AC1681" i="1"/>
  <c r="AB1681" i="1"/>
  <c r="AA1681" i="1"/>
  <c r="Z1681" i="1"/>
  <c r="Y1681" i="1"/>
  <c r="W1681" i="1" s="1"/>
  <c r="X1681" i="1"/>
  <c r="U1681" i="1"/>
  <c r="AC1680" i="1"/>
  <c r="AB1680" i="1"/>
  <c r="AA1680" i="1"/>
  <c r="Z1680" i="1"/>
  <c r="Y1680" i="1"/>
  <c r="W1680" i="1" s="1"/>
  <c r="X1680" i="1"/>
  <c r="U1680" i="1"/>
  <c r="AC1679" i="1"/>
  <c r="AB1679" i="1"/>
  <c r="AA1679" i="1"/>
  <c r="Z1679" i="1"/>
  <c r="Y1679" i="1"/>
  <c r="W1679" i="1" s="1"/>
  <c r="X1679" i="1"/>
  <c r="U1679" i="1"/>
  <c r="AC1678" i="1"/>
  <c r="AB1678" i="1"/>
  <c r="AA1678" i="1"/>
  <c r="Z1678" i="1"/>
  <c r="Y1678" i="1"/>
  <c r="W1678" i="1" s="1"/>
  <c r="X1678" i="1"/>
  <c r="U1678" i="1"/>
  <c r="AC1677" i="1"/>
  <c r="AB1677" i="1"/>
  <c r="AA1677" i="1"/>
  <c r="Z1677" i="1"/>
  <c r="Y1677" i="1"/>
  <c r="W1677" i="1" s="1"/>
  <c r="X1677" i="1"/>
  <c r="U1677" i="1"/>
  <c r="AC1676" i="1"/>
  <c r="AB1676" i="1"/>
  <c r="AA1676" i="1"/>
  <c r="Z1676" i="1"/>
  <c r="Y1676" i="1"/>
  <c r="W1676" i="1" s="1"/>
  <c r="X1676" i="1"/>
  <c r="U1676" i="1"/>
  <c r="AC1675" i="1"/>
  <c r="AB1675" i="1"/>
  <c r="AA1675" i="1"/>
  <c r="Z1675" i="1"/>
  <c r="Y1675" i="1"/>
  <c r="W1675" i="1" s="1"/>
  <c r="X1675" i="1"/>
  <c r="U1675" i="1"/>
  <c r="AC1674" i="1"/>
  <c r="AB1674" i="1"/>
  <c r="AA1674" i="1"/>
  <c r="Z1674" i="1"/>
  <c r="Y1674" i="1"/>
  <c r="W1674" i="1" s="1"/>
  <c r="X1674" i="1"/>
  <c r="U1674" i="1"/>
  <c r="AC1673" i="1"/>
  <c r="AB1673" i="1"/>
  <c r="AA1673" i="1"/>
  <c r="Z1673" i="1"/>
  <c r="Y1673" i="1"/>
  <c r="W1673" i="1" s="1"/>
  <c r="X1673" i="1"/>
  <c r="U1673" i="1"/>
  <c r="AC1672" i="1"/>
  <c r="AB1672" i="1"/>
  <c r="AA1672" i="1"/>
  <c r="Z1672" i="1"/>
  <c r="Y1672" i="1"/>
  <c r="W1672" i="1" s="1"/>
  <c r="X1672" i="1"/>
  <c r="U1672" i="1"/>
  <c r="AC1671" i="1"/>
  <c r="AB1671" i="1"/>
  <c r="AA1671" i="1"/>
  <c r="Z1671" i="1"/>
  <c r="Y1671" i="1"/>
  <c r="W1671" i="1" s="1"/>
  <c r="X1671" i="1"/>
  <c r="U1671" i="1"/>
  <c r="AC1670" i="1"/>
  <c r="AB1670" i="1"/>
  <c r="AA1670" i="1"/>
  <c r="Z1670" i="1"/>
  <c r="Y1670" i="1"/>
  <c r="W1670" i="1" s="1"/>
  <c r="X1670" i="1"/>
  <c r="U1670" i="1"/>
  <c r="AC1669" i="1"/>
  <c r="AB1669" i="1"/>
  <c r="AA1669" i="1"/>
  <c r="Z1669" i="1"/>
  <c r="Y1669" i="1"/>
  <c r="W1669" i="1" s="1"/>
  <c r="X1669" i="1"/>
  <c r="U1669" i="1"/>
  <c r="AC1668" i="1"/>
  <c r="AB1668" i="1"/>
  <c r="AA1668" i="1"/>
  <c r="Z1668" i="1"/>
  <c r="Y1668" i="1"/>
  <c r="W1668" i="1" s="1"/>
  <c r="X1668" i="1"/>
  <c r="U1668" i="1"/>
  <c r="AC1667" i="1"/>
  <c r="AB1667" i="1"/>
  <c r="AA1667" i="1"/>
  <c r="Z1667" i="1"/>
  <c r="Y1667" i="1"/>
  <c r="W1667" i="1" s="1"/>
  <c r="X1667" i="1"/>
  <c r="U1667" i="1"/>
  <c r="AC1666" i="1"/>
  <c r="AB1666" i="1"/>
  <c r="AA1666" i="1"/>
  <c r="Z1666" i="1"/>
  <c r="Y1666" i="1"/>
  <c r="W1666" i="1" s="1"/>
  <c r="X1666" i="1"/>
  <c r="U1666" i="1"/>
  <c r="AC1665" i="1"/>
  <c r="AB1665" i="1"/>
  <c r="AA1665" i="1"/>
  <c r="Z1665" i="1"/>
  <c r="Y1665" i="1"/>
  <c r="W1665" i="1" s="1"/>
  <c r="X1665" i="1"/>
  <c r="U1665" i="1"/>
  <c r="AC1664" i="1"/>
  <c r="AB1664" i="1"/>
  <c r="AA1664" i="1"/>
  <c r="Z1664" i="1"/>
  <c r="Y1664" i="1"/>
  <c r="W1664" i="1" s="1"/>
  <c r="X1664" i="1"/>
  <c r="U1664" i="1"/>
  <c r="AC1663" i="1"/>
  <c r="AB1663" i="1"/>
  <c r="AA1663" i="1"/>
  <c r="Z1663" i="1"/>
  <c r="Y1663" i="1"/>
  <c r="W1663" i="1" s="1"/>
  <c r="X1663" i="1"/>
  <c r="U1663" i="1"/>
  <c r="AC1662" i="1"/>
  <c r="AB1662" i="1"/>
  <c r="AA1662" i="1"/>
  <c r="Z1662" i="1"/>
  <c r="Y1662" i="1"/>
  <c r="W1662" i="1" s="1"/>
  <c r="X1662" i="1"/>
  <c r="U1662" i="1"/>
  <c r="AC1661" i="1"/>
  <c r="AB1661" i="1"/>
  <c r="AA1661" i="1"/>
  <c r="Z1661" i="1"/>
  <c r="Y1661" i="1"/>
  <c r="W1661" i="1" s="1"/>
  <c r="X1661" i="1"/>
  <c r="U1661" i="1"/>
  <c r="AC1660" i="1"/>
  <c r="AB1660" i="1"/>
  <c r="AA1660" i="1"/>
  <c r="Z1660" i="1"/>
  <c r="Y1660" i="1"/>
  <c r="W1660" i="1" s="1"/>
  <c r="X1660" i="1"/>
  <c r="U1660" i="1"/>
  <c r="AC1659" i="1"/>
  <c r="AB1659" i="1"/>
  <c r="AA1659" i="1"/>
  <c r="Z1659" i="1"/>
  <c r="Y1659" i="1"/>
  <c r="W1659" i="1" s="1"/>
  <c r="X1659" i="1"/>
  <c r="U1659" i="1"/>
  <c r="AC1658" i="1"/>
  <c r="AB1658" i="1"/>
  <c r="AA1658" i="1"/>
  <c r="Z1658" i="1"/>
  <c r="Y1658" i="1"/>
  <c r="W1658" i="1" s="1"/>
  <c r="X1658" i="1"/>
  <c r="U1658" i="1"/>
  <c r="AC1657" i="1"/>
  <c r="AB1657" i="1"/>
  <c r="AA1657" i="1"/>
  <c r="Z1657" i="1"/>
  <c r="Y1657" i="1"/>
  <c r="W1657" i="1" s="1"/>
  <c r="X1657" i="1"/>
  <c r="U1657" i="1"/>
  <c r="AC1656" i="1"/>
  <c r="AB1656" i="1"/>
  <c r="AA1656" i="1"/>
  <c r="Z1656" i="1"/>
  <c r="Y1656" i="1"/>
  <c r="W1656" i="1" s="1"/>
  <c r="X1656" i="1"/>
  <c r="U1656" i="1"/>
  <c r="AC1655" i="1"/>
  <c r="AB1655" i="1"/>
  <c r="AA1655" i="1"/>
  <c r="Z1655" i="1"/>
  <c r="Y1655" i="1"/>
  <c r="W1655" i="1" s="1"/>
  <c r="X1655" i="1"/>
  <c r="U1655" i="1"/>
  <c r="AC1654" i="1"/>
  <c r="AB1654" i="1"/>
  <c r="AA1654" i="1"/>
  <c r="Z1654" i="1"/>
  <c r="Y1654" i="1"/>
  <c r="W1654" i="1" s="1"/>
  <c r="X1654" i="1"/>
  <c r="U1654" i="1"/>
  <c r="AC1653" i="1"/>
  <c r="AB1653" i="1"/>
  <c r="AA1653" i="1"/>
  <c r="Z1653" i="1"/>
  <c r="Y1653" i="1"/>
  <c r="W1653" i="1" s="1"/>
  <c r="X1653" i="1"/>
  <c r="U1653" i="1"/>
  <c r="AC1652" i="1"/>
  <c r="AB1652" i="1"/>
  <c r="AA1652" i="1"/>
  <c r="Z1652" i="1"/>
  <c r="Y1652" i="1"/>
  <c r="W1652" i="1" s="1"/>
  <c r="X1652" i="1"/>
  <c r="U1652" i="1"/>
  <c r="AC1651" i="1"/>
  <c r="AB1651" i="1"/>
  <c r="AA1651" i="1"/>
  <c r="Z1651" i="1"/>
  <c r="Y1651" i="1"/>
  <c r="W1651" i="1" s="1"/>
  <c r="X1651" i="1"/>
  <c r="U1651" i="1"/>
  <c r="AC1650" i="1"/>
  <c r="AB1650" i="1"/>
  <c r="AA1650" i="1"/>
  <c r="Z1650" i="1"/>
  <c r="Y1650" i="1"/>
  <c r="W1650" i="1" s="1"/>
  <c r="X1650" i="1"/>
  <c r="U1650" i="1"/>
  <c r="AC1649" i="1"/>
  <c r="AB1649" i="1"/>
  <c r="AA1649" i="1"/>
  <c r="Z1649" i="1"/>
  <c r="Y1649" i="1"/>
  <c r="W1649" i="1" s="1"/>
  <c r="X1649" i="1"/>
  <c r="U1649" i="1"/>
  <c r="AC1648" i="1"/>
  <c r="AB1648" i="1"/>
  <c r="AA1648" i="1"/>
  <c r="Z1648" i="1"/>
  <c r="Y1648" i="1"/>
  <c r="W1648" i="1" s="1"/>
  <c r="X1648" i="1"/>
  <c r="U1648" i="1"/>
  <c r="AC1647" i="1"/>
  <c r="AB1647" i="1"/>
  <c r="AA1647" i="1"/>
  <c r="Z1647" i="1"/>
  <c r="Y1647" i="1"/>
  <c r="W1647" i="1" s="1"/>
  <c r="X1647" i="1"/>
  <c r="U1647" i="1"/>
  <c r="AC1646" i="1"/>
  <c r="AB1646" i="1"/>
  <c r="AA1646" i="1"/>
  <c r="Z1646" i="1"/>
  <c r="Y1646" i="1"/>
  <c r="W1646" i="1" s="1"/>
  <c r="X1646" i="1"/>
  <c r="U1646" i="1"/>
  <c r="AC1645" i="1"/>
  <c r="AB1645" i="1"/>
  <c r="AA1645" i="1"/>
  <c r="Z1645" i="1"/>
  <c r="Y1645" i="1"/>
  <c r="W1645" i="1" s="1"/>
  <c r="X1645" i="1"/>
  <c r="U1645" i="1"/>
  <c r="AC1644" i="1"/>
  <c r="AB1644" i="1"/>
  <c r="AA1644" i="1"/>
  <c r="Z1644" i="1"/>
  <c r="Y1644" i="1"/>
  <c r="W1644" i="1" s="1"/>
  <c r="X1644" i="1"/>
  <c r="U1644" i="1"/>
  <c r="AC1643" i="1"/>
  <c r="AB1643" i="1"/>
  <c r="AA1643" i="1"/>
  <c r="Z1643" i="1"/>
  <c r="Y1643" i="1"/>
  <c r="W1643" i="1" s="1"/>
  <c r="X1643" i="1"/>
  <c r="U1643" i="1"/>
  <c r="AC1642" i="1"/>
  <c r="AB1642" i="1"/>
  <c r="AA1642" i="1"/>
  <c r="Z1642" i="1"/>
  <c r="Y1642" i="1"/>
  <c r="W1642" i="1" s="1"/>
  <c r="X1642" i="1"/>
  <c r="U1642" i="1"/>
  <c r="AC1641" i="1"/>
  <c r="AB1641" i="1"/>
  <c r="AA1641" i="1"/>
  <c r="Z1641" i="1"/>
  <c r="Y1641" i="1"/>
  <c r="W1641" i="1" s="1"/>
  <c r="X1641" i="1"/>
  <c r="U1641" i="1"/>
  <c r="AC1640" i="1"/>
  <c r="AB1640" i="1"/>
  <c r="AA1640" i="1"/>
  <c r="Z1640" i="1"/>
  <c r="Y1640" i="1"/>
  <c r="W1640" i="1" s="1"/>
  <c r="X1640" i="1"/>
  <c r="U1640" i="1"/>
  <c r="AC1639" i="1"/>
  <c r="AB1639" i="1"/>
  <c r="AA1639" i="1"/>
  <c r="Z1639" i="1"/>
  <c r="Y1639" i="1"/>
  <c r="W1639" i="1" s="1"/>
  <c r="X1639" i="1"/>
  <c r="U1639" i="1"/>
  <c r="AC1638" i="1"/>
  <c r="AB1638" i="1"/>
  <c r="AA1638" i="1"/>
  <c r="Z1638" i="1"/>
  <c r="Y1638" i="1"/>
  <c r="W1638" i="1" s="1"/>
  <c r="X1638" i="1"/>
  <c r="U1638" i="1"/>
  <c r="AC1637" i="1"/>
  <c r="AB1637" i="1"/>
  <c r="AA1637" i="1"/>
  <c r="Z1637" i="1"/>
  <c r="Y1637" i="1"/>
  <c r="W1637" i="1" s="1"/>
  <c r="X1637" i="1"/>
  <c r="U1637" i="1"/>
  <c r="AC1636" i="1"/>
  <c r="AB1636" i="1"/>
  <c r="AA1636" i="1"/>
  <c r="Z1636" i="1"/>
  <c r="Y1636" i="1"/>
  <c r="W1636" i="1" s="1"/>
  <c r="X1636" i="1"/>
  <c r="U1636" i="1"/>
  <c r="AC1635" i="1"/>
  <c r="AB1635" i="1"/>
  <c r="AA1635" i="1"/>
  <c r="Z1635" i="1"/>
  <c r="Y1635" i="1"/>
  <c r="W1635" i="1" s="1"/>
  <c r="X1635" i="1"/>
  <c r="U1635" i="1"/>
  <c r="AC1634" i="1"/>
  <c r="AB1634" i="1"/>
  <c r="AA1634" i="1"/>
  <c r="Z1634" i="1"/>
  <c r="Y1634" i="1"/>
  <c r="W1634" i="1" s="1"/>
  <c r="X1634" i="1"/>
  <c r="U1634" i="1"/>
  <c r="AC1633" i="1"/>
  <c r="AB1633" i="1"/>
  <c r="AA1633" i="1"/>
  <c r="Z1633" i="1"/>
  <c r="Y1633" i="1"/>
  <c r="W1633" i="1" s="1"/>
  <c r="X1633" i="1"/>
  <c r="U1633" i="1"/>
  <c r="AC1632" i="1"/>
  <c r="AB1632" i="1"/>
  <c r="AA1632" i="1"/>
  <c r="Z1632" i="1"/>
  <c r="Y1632" i="1"/>
  <c r="W1632" i="1" s="1"/>
  <c r="X1632" i="1"/>
  <c r="U1632" i="1"/>
  <c r="AC1631" i="1"/>
  <c r="AB1631" i="1"/>
  <c r="AA1631" i="1"/>
  <c r="Z1631" i="1"/>
  <c r="Y1631" i="1"/>
  <c r="W1631" i="1" s="1"/>
  <c r="X1631" i="1"/>
  <c r="U1631" i="1"/>
  <c r="AC1630" i="1"/>
  <c r="AB1630" i="1"/>
  <c r="AA1630" i="1"/>
  <c r="Z1630" i="1"/>
  <c r="Y1630" i="1"/>
  <c r="W1630" i="1" s="1"/>
  <c r="X1630" i="1"/>
  <c r="U1630" i="1"/>
  <c r="AC1629" i="1"/>
  <c r="AB1629" i="1"/>
  <c r="AA1629" i="1"/>
  <c r="Z1629" i="1"/>
  <c r="Y1629" i="1"/>
  <c r="W1629" i="1" s="1"/>
  <c r="X1629" i="1"/>
  <c r="U1629" i="1"/>
  <c r="AC1628" i="1"/>
  <c r="AB1628" i="1"/>
  <c r="AA1628" i="1"/>
  <c r="Z1628" i="1"/>
  <c r="Y1628" i="1"/>
  <c r="W1628" i="1" s="1"/>
  <c r="X1628" i="1"/>
  <c r="U1628" i="1"/>
  <c r="AC1627" i="1"/>
  <c r="AB1627" i="1"/>
  <c r="AA1627" i="1"/>
  <c r="Z1627" i="1"/>
  <c r="Y1627" i="1"/>
  <c r="W1627" i="1" s="1"/>
  <c r="X1627" i="1"/>
  <c r="U1627" i="1"/>
  <c r="AC1626" i="1"/>
  <c r="AB1626" i="1"/>
  <c r="AA1626" i="1"/>
  <c r="Z1626" i="1"/>
  <c r="Y1626" i="1"/>
  <c r="W1626" i="1" s="1"/>
  <c r="X1626" i="1"/>
  <c r="U1626" i="1"/>
  <c r="AC1625" i="1"/>
  <c r="AB1625" i="1"/>
  <c r="AA1625" i="1"/>
  <c r="Z1625" i="1"/>
  <c r="Y1625" i="1"/>
  <c r="W1625" i="1" s="1"/>
  <c r="X1625" i="1"/>
  <c r="U1625" i="1"/>
  <c r="AC1624" i="1"/>
  <c r="AB1624" i="1"/>
  <c r="AA1624" i="1"/>
  <c r="Z1624" i="1"/>
  <c r="Y1624" i="1"/>
  <c r="W1624" i="1" s="1"/>
  <c r="X1624" i="1"/>
  <c r="U1624" i="1"/>
  <c r="AC1623" i="1"/>
  <c r="AB1623" i="1"/>
  <c r="AA1623" i="1"/>
  <c r="Z1623" i="1"/>
  <c r="Y1623" i="1"/>
  <c r="W1623" i="1" s="1"/>
  <c r="X1623" i="1"/>
  <c r="U1623" i="1"/>
  <c r="AC1622" i="1"/>
  <c r="AB1622" i="1"/>
  <c r="AA1622" i="1"/>
  <c r="Z1622" i="1"/>
  <c r="Y1622" i="1"/>
  <c r="W1622" i="1" s="1"/>
  <c r="X1622" i="1"/>
  <c r="U1622" i="1"/>
  <c r="AC1621" i="1"/>
  <c r="AB1621" i="1"/>
  <c r="AA1621" i="1"/>
  <c r="Z1621" i="1"/>
  <c r="Y1621" i="1"/>
  <c r="W1621" i="1" s="1"/>
  <c r="X1621" i="1"/>
  <c r="U1621" i="1"/>
  <c r="AC1620" i="1"/>
  <c r="AB1620" i="1"/>
  <c r="AA1620" i="1"/>
  <c r="Z1620" i="1"/>
  <c r="Y1620" i="1"/>
  <c r="W1620" i="1" s="1"/>
  <c r="X1620" i="1"/>
  <c r="U1620" i="1"/>
  <c r="AC1619" i="1"/>
  <c r="AB1619" i="1"/>
  <c r="AA1619" i="1"/>
  <c r="Z1619" i="1"/>
  <c r="Y1619" i="1"/>
  <c r="W1619" i="1" s="1"/>
  <c r="X1619" i="1"/>
  <c r="U1619" i="1"/>
  <c r="AC1618" i="1"/>
  <c r="AB1618" i="1"/>
  <c r="AA1618" i="1"/>
  <c r="Z1618" i="1"/>
  <c r="Y1618" i="1"/>
  <c r="W1618" i="1" s="1"/>
  <c r="X1618" i="1"/>
  <c r="U1618" i="1"/>
  <c r="AC1617" i="1"/>
  <c r="AB1617" i="1"/>
  <c r="AA1617" i="1"/>
  <c r="Z1617" i="1"/>
  <c r="Y1617" i="1"/>
  <c r="W1617" i="1" s="1"/>
  <c r="X1617" i="1"/>
  <c r="U1617" i="1"/>
  <c r="AC1616" i="1"/>
  <c r="AB1616" i="1"/>
  <c r="AA1616" i="1"/>
  <c r="Z1616" i="1"/>
  <c r="Y1616" i="1"/>
  <c r="W1616" i="1" s="1"/>
  <c r="X1616" i="1"/>
  <c r="U1616" i="1"/>
  <c r="AC1615" i="1"/>
  <c r="AB1615" i="1"/>
  <c r="AA1615" i="1"/>
  <c r="Z1615" i="1"/>
  <c r="Y1615" i="1"/>
  <c r="W1615" i="1" s="1"/>
  <c r="X1615" i="1"/>
  <c r="U1615" i="1"/>
  <c r="AC1614" i="1"/>
  <c r="AB1614" i="1"/>
  <c r="AA1614" i="1"/>
  <c r="Z1614" i="1"/>
  <c r="Y1614" i="1"/>
  <c r="W1614" i="1" s="1"/>
  <c r="X1614" i="1"/>
  <c r="U1614" i="1"/>
  <c r="AC1613" i="1"/>
  <c r="AB1613" i="1"/>
  <c r="AA1613" i="1"/>
  <c r="Z1613" i="1"/>
  <c r="Y1613" i="1"/>
  <c r="W1613" i="1" s="1"/>
  <c r="X1613" i="1"/>
  <c r="U1613" i="1"/>
  <c r="AC1612" i="1"/>
  <c r="AB1612" i="1"/>
  <c r="AA1612" i="1"/>
  <c r="Z1612" i="1"/>
  <c r="Y1612" i="1"/>
  <c r="W1612" i="1" s="1"/>
  <c r="X1612" i="1"/>
  <c r="U1612" i="1"/>
  <c r="AC1611" i="1"/>
  <c r="AB1611" i="1"/>
  <c r="AA1611" i="1"/>
  <c r="Z1611" i="1"/>
  <c r="Y1611" i="1"/>
  <c r="W1611" i="1" s="1"/>
  <c r="X1611" i="1"/>
  <c r="U1611" i="1"/>
  <c r="AC1610" i="1"/>
  <c r="AB1610" i="1"/>
  <c r="AA1610" i="1"/>
  <c r="Z1610" i="1"/>
  <c r="Y1610" i="1"/>
  <c r="W1610" i="1" s="1"/>
  <c r="X1610" i="1"/>
  <c r="U1610" i="1"/>
  <c r="AC1609" i="1"/>
  <c r="AB1609" i="1"/>
  <c r="AA1609" i="1"/>
  <c r="Z1609" i="1"/>
  <c r="Y1609" i="1"/>
  <c r="W1609" i="1" s="1"/>
  <c r="X1609" i="1"/>
  <c r="U1609" i="1"/>
  <c r="AC1608" i="1"/>
  <c r="AB1608" i="1"/>
  <c r="AA1608" i="1"/>
  <c r="Z1608" i="1"/>
  <c r="Y1608" i="1"/>
  <c r="W1608" i="1" s="1"/>
  <c r="X1608" i="1"/>
  <c r="U1608" i="1"/>
  <c r="AC1607" i="1"/>
  <c r="AB1607" i="1"/>
  <c r="AA1607" i="1"/>
  <c r="Z1607" i="1"/>
  <c r="Y1607" i="1"/>
  <c r="W1607" i="1" s="1"/>
  <c r="X1607" i="1"/>
  <c r="U1607" i="1"/>
  <c r="AC1606" i="1"/>
  <c r="AB1606" i="1"/>
  <c r="AA1606" i="1"/>
  <c r="Z1606" i="1"/>
  <c r="Y1606" i="1"/>
  <c r="W1606" i="1" s="1"/>
  <c r="X1606" i="1"/>
  <c r="U1606" i="1"/>
  <c r="AC1605" i="1"/>
  <c r="AB1605" i="1"/>
  <c r="AA1605" i="1"/>
  <c r="Z1605" i="1"/>
  <c r="Y1605" i="1"/>
  <c r="W1605" i="1" s="1"/>
  <c r="X1605" i="1"/>
  <c r="U1605" i="1"/>
  <c r="AC1604" i="1"/>
  <c r="AB1604" i="1"/>
  <c r="AA1604" i="1"/>
  <c r="Z1604" i="1"/>
  <c r="Y1604" i="1"/>
  <c r="W1604" i="1" s="1"/>
  <c r="X1604" i="1"/>
  <c r="U1604" i="1"/>
  <c r="AC1603" i="1"/>
  <c r="AB1603" i="1"/>
  <c r="AA1603" i="1"/>
  <c r="Z1603" i="1"/>
  <c r="Y1603" i="1"/>
  <c r="W1603" i="1" s="1"/>
  <c r="X1603" i="1"/>
  <c r="U1603" i="1"/>
  <c r="AC1602" i="1"/>
  <c r="AB1602" i="1"/>
  <c r="AA1602" i="1"/>
  <c r="Z1602" i="1"/>
  <c r="Y1602" i="1"/>
  <c r="W1602" i="1" s="1"/>
  <c r="X1602" i="1"/>
  <c r="U1602" i="1"/>
  <c r="AC1601" i="1"/>
  <c r="AB1601" i="1"/>
  <c r="AA1601" i="1"/>
  <c r="Z1601" i="1"/>
  <c r="Y1601" i="1"/>
  <c r="W1601" i="1" s="1"/>
  <c r="X1601" i="1"/>
  <c r="U1601" i="1"/>
  <c r="AC1600" i="1"/>
  <c r="AB1600" i="1"/>
  <c r="AA1600" i="1"/>
  <c r="Z1600" i="1"/>
  <c r="Y1600" i="1"/>
  <c r="W1600" i="1" s="1"/>
  <c r="X1600" i="1"/>
  <c r="U1600" i="1"/>
  <c r="AC1599" i="1"/>
  <c r="AB1599" i="1"/>
  <c r="AA1599" i="1"/>
  <c r="Z1599" i="1"/>
  <c r="Y1599" i="1"/>
  <c r="W1599" i="1" s="1"/>
  <c r="X1599" i="1"/>
  <c r="U1599" i="1"/>
  <c r="AC1598" i="1"/>
  <c r="AB1598" i="1"/>
  <c r="AA1598" i="1"/>
  <c r="Z1598" i="1"/>
  <c r="Y1598" i="1"/>
  <c r="W1598" i="1" s="1"/>
  <c r="X1598" i="1"/>
  <c r="U1598" i="1"/>
  <c r="AC1597" i="1"/>
  <c r="AB1597" i="1"/>
  <c r="AA1597" i="1"/>
  <c r="Z1597" i="1"/>
  <c r="Y1597" i="1"/>
  <c r="W1597" i="1" s="1"/>
  <c r="X1597" i="1"/>
  <c r="U1597" i="1"/>
  <c r="AC1596" i="1"/>
  <c r="AB1596" i="1"/>
  <c r="AA1596" i="1"/>
  <c r="Z1596" i="1"/>
  <c r="Y1596" i="1"/>
  <c r="W1596" i="1" s="1"/>
  <c r="X1596" i="1"/>
  <c r="U1596" i="1"/>
  <c r="AC1595" i="1"/>
  <c r="AB1595" i="1"/>
  <c r="AA1595" i="1"/>
  <c r="Z1595" i="1"/>
  <c r="Y1595" i="1"/>
  <c r="W1595" i="1" s="1"/>
  <c r="X1595" i="1"/>
  <c r="U1595" i="1"/>
  <c r="AC1594" i="1"/>
  <c r="AB1594" i="1"/>
  <c r="AA1594" i="1"/>
  <c r="Z1594" i="1"/>
  <c r="Y1594" i="1"/>
  <c r="W1594" i="1" s="1"/>
  <c r="X1594" i="1"/>
  <c r="U1594" i="1"/>
  <c r="AC1593" i="1"/>
  <c r="AB1593" i="1"/>
  <c r="AA1593" i="1"/>
  <c r="Z1593" i="1"/>
  <c r="Y1593" i="1"/>
  <c r="W1593" i="1" s="1"/>
  <c r="X1593" i="1"/>
  <c r="U1593" i="1"/>
  <c r="AC1592" i="1"/>
  <c r="AB1592" i="1"/>
  <c r="AA1592" i="1"/>
  <c r="Z1592" i="1"/>
  <c r="Y1592" i="1"/>
  <c r="W1592" i="1" s="1"/>
  <c r="X1592" i="1"/>
  <c r="U1592" i="1"/>
  <c r="AC1591" i="1"/>
  <c r="AB1591" i="1"/>
  <c r="AA1591" i="1"/>
  <c r="Z1591" i="1"/>
  <c r="Y1591" i="1"/>
  <c r="W1591" i="1" s="1"/>
  <c r="X1591" i="1"/>
  <c r="U1591" i="1"/>
  <c r="AC1590" i="1"/>
  <c r="AB1590" i="1"/>
  <c r="AA1590" i="1"/>
  <c r="Z1590" i="1"/>
  <c r="Y1590" i="1"/>
  <c r="W1590" i="1" s="1"/>
  <c r="X1590" i="1"/>
  <c r="U1590" i="1"/>
  <c r="AC1589" i="1"/>
  <c r="AB1589" i="1"/>
  <c r="AA1589" i="1"/>
  <c r="Z1589" i="1"/>
  <c r="Y1589" i="1"/>
  <c r="W1589" i="1" s="1"/>
  <c r="X1589" i="1"/>
  <c r="U1589" i="1"/>
  <c r="AC1588" i="1"/>
  <c r="AB1588" i="1"/>
  <c r="AA1588" i="1"/>
  <c r="Z1588" i="1"/>
  <c r="Y1588" i="1"/>
  <c r="W1588" i="1" s="1"/>
  <c r="X1588" i="1"/>
  <c r="U1588" i="1"/>
  <c r="AC1587" i="1"/>
  <c r="AB1587" i="1"/>
  <c r="AA1587" i="1"/>
  <c r="Z1587" i="1"/>
  <c r="Y1587" i="1"/>
  <c r="W1587" i="1" s="1"/>
  <c r="X1587" i="1"/>
  <c r="U1587" i="1"/>
  <c r="AC1586" i="1"/>
  <c r="AB1586" i="1"/>
  <c r="AA1586" i="1"/>
  <c r="Z1586" i="1"/>
  <c r="Y1586" i="1"/>
  <c r="W1586" i="1" s="1"/>
  <c r="X1586" i="1"/>
  <c r="U1586" i="1"/>
  <c r="AC1585" i="1"/>
  <c r="AB1585" i="1"/>
  <c r="AA1585" i="1"/>
  <c r="Z1585" i="1"/>
  <c r="Y1585" i="1"/>
  <c r="W1585" i="1" s="1"/>
  <c r="X1585" i="1"/>
  <c r="U1585" i="1"/>
  <c r="AC1584" i="1"/>
  <c r="AB1584" i="1"/>
  <c r="AA1584" i="1"/>
  <c r="Z1584" i="1"/>
  <c r="Y1584" i="1"/>
  <c r="W1584" i="1" s="1"/>
  <c r="X1584" i="1"/>
  <c r="U1584" i="1"/>
  <c r="AC1583" i="1"/>
  <c r="AB1583" i="1"/>
  <c r="AA1583" i="1"/>
  <c r="Z1583" i="1"/>
  <c r="Y1583" i="1"/>
  <c r="W1583" i="1" s="1"/>
  <c r="X1583" i="1"/>
  <c r="U1583" i="1"/>
  <c r="AC1582" i="1"/>
  <c r="AB1582" i="1"/>
  <c r="AA1582" i="1"/>
  <c r="Z1582" i="1"/>
  <c r="Y1582" i="1"/>
  <c r="W1582" i="1" s="1"/>
  <c r="X1582" i="1"/>
  <c r="U1582" i="1"/>
  <c r="AC1581" i="1"/>
  <c r="AB1581" i="1"/>
  <c r="AA1581" i="1"/>
  <c r="Z1581" i="1"/>
  <c r="Y1581" i="1"/>
  <c r="W1581" i="1" s="1"/>
  <c r="X1581" i="1"/>
  <c r="U1581" i="1"/>
  <c r="AC1580" i="1"/>
  <c r="AB1580" i="1"/>
  <c r="AA1580" i="1"/>
  <c r="Z1580" i="1"/>
  <c r="Y1580" i="1"/>
  <c r="W1580" i="1" s="1"/>
  <c r="X1580" i="1"/>
  <c r="U1580" i="1"/>
  <c r="AC1579" i="1"/>
  <c r="AB1579" i="1"/>
  <c r="AA1579" i="1"/>
  <c r="Z1579" i="1"/>
  <c r="Y1579" i="1"/>
  <c r="W1579" i="1" s="1"/>
  <c r="X1579" i="1"/>
  <c r="U1579" i="1"/>
  <c r="AC1578" i="1"/>
  <c r="AB1578" i="1"/>
  <c r="AA1578" i="1"/>
  <c r="Z1578" i="1"/>
  <c r="Y1578" i="1"/>
  <c r="W1578" i="1" s="1"/>
  <c r="X1578" i="1"/>
  <c r="U1578" i="1"/>
  <c r="AC1577" i="1"/>
  <c r="AB1577" i="1"/>
  <c r="AA1577" i="1"/>
  <c r="Z1577" i="1"/>
  <c r="Y1577" i="1"/>
  <c r="W1577" i="1" s="1"/>
  <c r="X1577" i="1"/>
  <c r="U1577" i="1"/>
  <c r="AC1576" i="1"/>
  <c r="AB1576" i="1"/>
  <c r="AA1576" i="1"/>
  <c r="Z1576" i="1"/>
  <c r="Y1576" i="1"/>
  <c r="W1576" i="1" s="1"/>
  <c r="X1576" i="1"/>
  <c r="U1576" i="1"/>
  <c r="AC1575" i="1"/>
  <c r="AB1575" i="1"/>
  <c r="AA1575" i="1"/>
  <c r="Z1575" i="1"/>
  <c r="Y1575" i="1"/>
  <c r="W1575" i="1" s="1"/>
  <c r="X1575" i="1"/>
  <c r="U1575" i="1"/>
  <c r="AC1574" i="1"/>
  <c r="AB1574" i="1"/>
  <c r="AA1574" i="1"/>
  <c r="Z1574" i="1"/>
  <c r="Y1574" i="1"/>
  <c r="W1574" i="1" s="1"/>
  <c r="X1574" i="1"/>
  <c r="U1574" i="1"/>
  <c r="AC1573" i="1"/>
  <c r="AB1573" i="1"/>
  <c r="AA1573" i="1"/>
  <c r="Z1573" i="1"/>
  <c r="Y1573" i="1"/>
  <c r="W1573" i="1" s="1"/>
  <c r="X1573" i="1"/>
  <c r="U1573" i="1"/>
  <c r="AC1572" i="1"/>
  <c r="AB1572" i="1"/>
  <c r="AA1572" i="1"/>
  <c r="Z1572" i="1"/>
  <c r="Y1572" i="1"/>
  <c r="W1572" i="1" s="1"/>
  <c r="X1572" i="1"/>
  <c r="U1572" i="1"/>
  <c r="AC1571" i="1"/>
  <c r="AB1571" i="1"/>
  <c r="AA1571" i="1"/>
  <c r="Z1571" i="1"/>
  <c r="Y1571" i="1"/>
  <c r="W1571" i="1" s="1"/>
  <c r="X1571" i="1"/>
  <c r="U1571" i="1"/>
  <c r="AC1570" i="1"/>
  <c r="AB1570" i="1"/>
  <c r="AA1570" i="1"/>
  <c r="Z1570" i="1"/>
  <c r="Y1570" i="1"/>
  <c r="W1570" i="1" s="1"/>
  <c r="X1570" i="1"/>
  <c r="U1570" i="1"/>
  <c r="AC1569" i="1"/>
  <c r="AB1569" i="1"/>
  <c r="AA1569" i="1"/>
  <c r="Z1569" i="1"/>
  <c r="Y1569" i="1"/>
  <c r="W1569" i="1" s="1"/>
  <c r="X1569" i="1"/>
  <c r="U1569" i="1"/>
  <c r="AC1568" i="1"/>
  <c r="AB1568" i="1"/>
  <c r="AA1568" i="1"/>
  <c r="Z1568" i="1"/>
  <c r="Y1568" i="1"/>
  <c r="W1568" i="1" s="1"/>
  <c r="X1568" i="1"/>
  <c r="U1568" i="1"/>
  <c r="AC1567" i="1"/>
  <c r="AB1567" i="1"/>
  <c r="AA1567" i="1"/>
  <c r="Z1567" i="1"/>
  <c r="Y1567" i="1"/>
  <c r="W1567" i="1" s="1"/>
  <c r="X1567" i="1"/>
  <c r="U1567" i="1"/>
  <c r="AC1566" i="1"/>
  <c r="AB1566" i="1"/>
  <c r="AA1566" i="1"/>
  <c r="Z1566" i="1"/>
  <c r="Y1566" i="1"/>
  <c r="W1566" i="1" s="1"/>
  <c r="X1566" i="1"/>
  <c r="U1566" i="1"/>
  <c r="AC1565" i="1"/>
  <c r="AB1565" i="1"/>
  <c r="AA1565" i="1"/>
  <c r="Z1565" i="1"/>
  <c r="Y1565" i="1"/>
  <c r="W1565" i="1" s="1"/>
  <c r="X1565" i="1"/>
  <c r="U1565" i="1"/>
  <c r="AC1564" i="1"/>
  <c r="AB1564" i="1"/>
  <c r="AA1564" i="1"/>
  <c r="Z1564" i="1"/>
  <c r="Y1564" i="1"/>
  <c r="W1564" i="1" s="1"/>
  <c r="X1564" i="1"/>
  <c r="U1564" i="1"/>
  <c r="AC1563" i="1"/>
  <c r="AB1563" i="1"/>
  <c r="AA1563" i="1"/>
  <c r="Z1563" i="1"/>
  <c r="Y1563" i="1"/>
  <c r="W1563" i="1" s="1"/>
  <c r="X1563" i="1"/>
  <c r="U1563" i="1"/>
  <c r="AC1562" i="1"/>
  <c r="AB1562" i="1"/>
  <c r="AA1562" i="1"/>
  <c r="Z1562" i="1"/>
  <c r="Y1562" i="1"/>
  <c r="W1562" i="1" s="1"/>
  <c r="X1562" i="1"/>
  <c r="U1562" i="1"/>
  <c r="AC1561" i="1"/>
  <c r="AB1561" i="1"/>
  <c r="AA1561" i="1"/>
  <c r="Z1561" i="1"/>
  <c r="Y1561" i="1"/>
  <c r="W1561" i="1" s="1"/>
  <c r="X1561" i="1"/>
  <c r="U1561" i="1"/>
  <c r="AC1560" i="1"/>
  <c r="AB1560" i="1"/>
  <c r="AA1560" i="1"/>
  <c r="Z1560" i="1"/>
  <c r="Y1560" i="1"/>
  <c r="W1560" i="1" s="1"/>
  <c r="X1560" i="1"/>
  <c r="U1560" i="1"/>
  <c r="AC1559" i="1"/>
  <c r="AB1559" i="1"/>
  <c r="AA1559" i="1"/>
  <c r="Z1559" i="1"/>
  <c r="Y1559" i="1"/>
  <c r="W1559" i="1" s="1"/>
  <c r="X1559" i="1"/>
  <c r="U1559" i="1"/>
  <c r="AC1558" i="1"/>
  <c r="AB1558" i="1"/>
  <c r="AA1558" i="1"/>
  <c r="Z1558" i="1"/>
  <c r="Y1558" i="1"/>
  <c r="W1558" i="1" s="1"/>
  <c r="X1558" i="1"/>
  <c r="U1558" i="1"/>
  <c r="AC1557" i="1"/>
  <c r="AB1557" i="1"/>
  <c r="AA1557" i="1"/>
  <c r="Z1557" i="1"/>
  <c r="Y1557" i="1"/>
  <c r="W1557" i="1" s="1"/>
  <c r="X1557" i="1"/>
  <c r="U1557" i="1"/>
  <c r="AC1556" i="1"/>
  <c r="AB1556" i="1"/>
  <c r="AA1556" i="1"/>
  <c r="Z1556" i="1"/>
  <c r="Y1556" i="1"/>
  <c r="W1556" i="1" s="1"/>
  <c r="X1556" i="1"/>
  <c r="U1556" i="1"/>
  <c r="AC1555" i="1"/>
  <c r="AB1555" i="1"/>
  <c r="AA1555" i="1"/>
  <c r="Z1555" i="1"/>
  <c r="Y1555" i="1"/>
  <c r="W1555" i="1" s="1"/>
  <c r="X1555" i="1"/>
  <c r="U1555" i="1"/>
  <c r="AC1554" i="1"/>
  <c r="AB1554" i="1"/>
  <c r="AA1554" i="1"/>
  <c r="Z1554" i="1"/>
  <c r="Y1554" i="1"/>
  <c r="W1554" i="1" s="1"/>
  <c r="X1554" i="1"/>
  <c r="U1554" i="1"/>
  <c r="AC1553" i="1"/>
  <c r="AB1553" i="1"/>
  <c r="AA1553" i="1"/>
  <c r="Z1553" i="1"/>
  <c r="Y1553" i="1"/>
  <c r="W1553" i="1" s="1"/>
  <c r="X1553" i="1"/>
  <c r="U1553" i="1"/>
  <c r="AC1552" i="1"/>
  <c r="AB1552" i="1"/>
  <c r="AA1552" i="1"/>
  <c r="Z1552" i="1"/>
  <c r="Y1552" i="1"/>
  <c r="W1552" i="1" s="1"/>
  <c r="X1552" i="1"/>
  <c r="U1552" i="1"/>
  <c r="AC1551" i="1"/>
  <c r="AB1551" i="1"/>
  <c r="AA1551" i="1"/>
  <c r="Z1551" i="1"/>
  <c r="Y1551" i="1"/>
  <c r="W1551" i="1" s="1"/>
  <c r="X1551" i="1"/>
  <c r="U1551" i="1"/>
  <c r="AC1550" i="1"/>
  <c r="AB1550" i="1"/>
  <c r="AA1550" i="1"/>
  <c r="Z1550" i="1"/>
  <c r="Y1550" i="1"/>
  <c r="W1550" i="1" s="1"/>
  <c r="X1550" i="1"/>
  <c r="U1550" i="1"/>
  <c r="AC1549" i="1"/>
  <c r="AB1549" i="1"/>
  <c r="AA1549" i="1"/>
  <c r="Z1549" i="1"/>
  <c r="Y1549" i="1"/>
  <c r="W1549" i="1" s="1"/>
  <c r="X1549" i="1"/>
  <c r="U1549" i="1"/>
  <c r="AC1548" i="1"/>
  <c r="AB1548" i="1"/>
  <c r="AA1548" i="1"/>
  <c r="Z1548" i="1"/>
  <c r="Y1548" i="1"/>
  <c r="W1548" i="1" s="1"/>
  <c r="X1548" i="1"/>
  <c r="U1548" i="1"/>
  <c r="AC1547" i="1"/>
  <c r="AB1547" i="1"/>
  <c r="AA1547" i="1"/>
  <c r="Z1547" i="1"/>
  <c r="Y1547" i="1"/>
  <c r="W1547" i="1" s="1"/>
  <c r="X1547" i="1"/>
  <c r="U1547" i="1"/>
  <c r="AC1546" i="1"/>
  <c r="AB1546" i="1"/>
  <c r="AA1546" i="1"/>
  <c r="Z1546" i="1"/>
  <c r="Y1546" i="1"/>
  <c r="W1546" i="1" s="1"/>
  <c r="X1546" i="1"/>
  <c r="U1546" i="1"/>
  <c r="AC1545" i="1"/>
  <c r="AB1545" i="1"/>
  <c r="AA1545" i="1"/>
  <c r="Z1545" i="1"/>
  <c r="Y1545" i="1"/>
  <c r="W1545" i="1" s="1"/>
  <c r="X1545" i="1"/>
  <c r="U1545" i="1"/>
  <c r="AC1544" i="1"/>
  <c r="AB1544" i="1"/>
  <c r="AA1544" i="1"/>
  <c r="Z1544" i="1"/>
  <c r="Y1544" i="1"/>
  <c r="W1544" i="1" s="1"/>
  <c r="X1544" i="1"/>
  <c r="U1544" i="1"/>
  <c r="AC1543" i="1"/>
  <c r="AB1543" i="1"/>
  <c r="AA1543" i="1"/>
  <c r="Z1543" i="1"/>
  <c r="Y1543" i="1"/>
  <c r="W1543" i="1" s="1"/>
  <c r="X1543" i="1"/>
  <c r="U1543" i="1"/>
  <c r="AC1542" i="1"/>
  <c r="AB1542" i="1"/>
  <c r="AA1542" i="1"/>
  <c r="Z1542" i="1"/>
  <c r="Y1542" i="1"/>
  <c r="W1542" i="1" s="1"/>
  <c r="X1542" i="1"/>
  <c r="U1542" i="1"/>
  <c r="AC1541" i="1"/>
  <c r="AB1541" i="1"/>
  <c r="AA1541" i="1"/>
  <c r="Z1541" i="1"/>
  <c r="Y1541" i="1"/>
  <c r="W1541" i="1" s="1"/>
  <c r="X1541" i="1"/>
  <c r="U1541" i="1"/>
  <c r="AC1540" i="1"/>
  <c r="AB1540" i="1"/>
  <c r="AA1540" i="1"/>
  <c r="Z1540" i="1"/>
  <c r="Y1540" i="1"/>
  <c r="W1540" i="1" s="1"/>
  <c r="X1540" i="1"/>
  <c r="U1540" i="1"/>
  <c r="AC1539" i="1"/>
  <c r="AB1539" i="1"/>
  <c r="AA1539" i="1"/>
  <c r="Z1539" i="1"/>
  <c r="Y1539" i="1"/>
  <c r="W1539" i="1" s="1"/>
  <c r="X1539" i="1"/>
  <c r="U1539" i="1"/>
  <c r="AC1538" i="1"/>
  <c r="AB1538" i="1"/>
  <c r="AA1538" i="1"/>
  <c r="Z1538" i="1"/>
  <c r="Y1538" i="1"/>
  <c r="W1538" i="1" s="1"/>
  <c r="X1538" i="1"/>
  <c r="U1538" i="1"/>
  <c r="AC1537" i="1"/>
  <c r="AB1537" i="1"/>
  <c r="AA1537" i="1"/>
  <c r="Z1537" i="1"/>
  <c r="Y1537" i="1"/>
  <c r="W1537" i="1" s="1"/>
  <c r="X1537" i="1"/>
  <c r="U1537" i="1"/>
  <c r="AC1536" i="1"/>
  <c r="AB1536" i="1"/>
  <c r="AA1536" i="1"/>
  <c r="Z1536" i="1"/>
  <c r="Y1536" i="1"/>
  <c r="W1536" i="1" s="1"/>
  <c r="X1536" i="1"/>
  <c r="U1536" i="1"/>
  <c r="AC1535" i="1"/>
  <c r="AB1535" i="1"/>
  <c r="AA1535" i="1"/>
  <c r="Z1535" i="1"/>
  <c r="Y1535" i="1"/>
  <c r="W1535" i="1" s="1"/>
  <c r="X1535" i="1"/>
  <c r="U1535" i="1"/>
  <c r="AC1534" i="1"/>
  <c r="AB1534" i="1"/>
  <c r="AA1534" i="1"/>
  <c r="Z1534" i="1"/>
  <c r="Y1534" i="1"/>
  <c r="W1534" i="1" s="1"/>
  <c r="X1534" i="1"/>
  <c r="U1534" i="1"/>
  <c r="AC1533" i="1"/>
  <c r="AB1533" i="1"/>
  <c r="AA1533" i="1"/>
  <c r="Z1533" i="1"/>
  <c r="Y1533" i="1"/>
  <c r="W1533" i="1" s="1"/>
  <c r="X1533" i="1"/>
  <c r="U1533" i="1"/>
  <c r="AC1532" i="1"/>
  <c r="AB1532" i="1"/>
  <c r="AA1532" i="1"/>
  <c r="Z1532" i="1"/>
  <c r="Y1532" i="1"/>
  <c r="W1532" i="1" s="1"/>
  <c r="X1532" i="1"/>
  <c r="U1532" i="1"/>
  <c r="AC1531" i="1"/>
  <c r="AB1531" i="1"/>
  <c r="AA1531" i="1"/>
  <c r="Z1531" i="1"/>
  <c r="Y1531" i="1"/>
  <c r="W1531" i="1" s="1"/>
  <c r="X1531" i="1"/>
  <c r="U1531" i="1"/>
  <c r="AC1530" i="1"/>
  <c r="AB1530" i="1"/>
  <c r="AA1530" i="1"/>
  <c r="Z1530" i="1"/>
  <c r="Y1530" i="1"/>
  <c r="W1530" i="1" s="1"/>
  <c r="X1530" i="1"/>
  <c r="U1530" i="1"/>
  <c r="AC1529" i="1"/>
  <c r="AB1529" i="1"/>
  <c r="AA1529" i="1"/>
  <c r="Z1529" i="1"/>
  <c r="Y1529" i="1"/>
  <c r="W1529" i="1" s="1"/>
  <c r="X1529" i="1"/>
  <c r="U1529" i="1"/>
  <c r="AC1528" i="1"/>
  <c r="AB1528" i="1"/>
  <c r="AA1528" i="1"/>
  <c r="Z1528" i="1"/>
  <c r="Y1528" i="1"/>
  <c r="W1528" i="1" s="1"/>
  <c r="X1528" i="1"/>
  <c r="U1528" i="1"/>
  <c r="AC1527" i="1"/>
  <c r="AB1527" i="1"/>
  <c r="AA1527" i="1"/>
  <c r="Z1527" i="1"/>
  <c r="Y1527" i="1"/>
  <c r="W1527" i="1" s="1"/>
  <c r="X1527" i="1"/>
  <c r="U1527" i="1"/>
  <c r="AC1526" i="1"/>
  <c r="AB1526" i="1"/>
  <c r="AA1526" i="1"/>
  <c r="Z1526" i="1"/>
  <c r="Y1526" i="1"/>
  <c r="W1526" i="1" s="1"/>
  <c r="X1526" i="1"/>
  <c r="U1526" i="1"/>
  <c r="AC1525" i="1"/>
  <c r="AB1525" i="1"/>
  <c r="AA1525" i="1"/>
  <c r="Z1525" i="1"/>
  <c r="Y1525" i="1"/>
  <c r="W1525" i="1" s="1"/>
  <c r="X1525" i="1"/>
  <c r="U1525" i="1"/>
  <c r="AC1524" i="1"/>
  <c r="AB1524" i="1"/>
  <c r="AA1524" i="1"/>
  <c r="Z1524" i="1"/>
  <c r="Y1524" i="1"/>
  <c r="W1524" i="1" s="1"/>
  <c r="X1524" i="1"/>
  <c r="U1524" i="1"/>
  <c r="AC1523" i="1"/>
  <c r="AB1523" i="1"/>
  <c r="AA1523" i="1"/>
  <c r="Z1523" i="1"/>
  <c r="Y1523" i="1"/>
  <c r="W1523" i="1" s="1"/>
  <c r="X1523" i="1"/>
  <c r="U1523" i="1"/>
  <c r="AC1522" i="1"/>
  <c r="AB1522" i="1"/>
  <c r="AA1522" i="1"/>
  <c r="Z1522" i="1"/>
  <c r="Y1522" i="1"/>
  <c r="W1522" i="1" s="1"/>
  <c r="X1522" i="1"/>
  <c r="U1522" i="1"/>
  <c r="AC1521" i="1"/>
  <c r="AB1521" i="1"/>
  <c r="AA1521" i="1"/>
  <c r="Z1521" i="1"/>
  <c r="Y1521" i="1"/>
  <c r="W1521" i="1" s="1"/>
  <c r="X1521" i="1"/>
  <c r="U1521" i="1"/>
  <c r="AC1520" i="1"/>
  <c r="AB1520" i="1"/>
  <c r="AA1520" i="1"/>
  <c r="Z1520" i="1"/>
  <c r="Y1520" i="1"/>
  <c r="W1520" i="1" s="1"/>
  <c r="X1520" i="1"/>
  <c r="U1520" i="1"/>
  <c r="AC1519" i="1"/>
  <c r="AB1519" i="1"/>
  <c r="AA1519" i="1"/>
  <c r="Z1519" i="1"/>
  <c r="Y1519" i="1"/>
  <c r="W1519" i="1" s="1"/>
  <c r="X1519" i="1"/>
  <c r="U1519" i="1"/>
  <c r="AC1518" i="1"/>
  <c r="AB1518" i="1"/>
  <c r="AA1518" i="1"/>
  <c r="Z1518" i="1"/>
  <c r="Y1518" i="1"/>
  <c r="W1518" i="1" s="1"/>
  <c r="X1518" i="1"/>
  <c r="U1518" i="1"/>
  <c r="AC1517" i="1"/>
  <c r="AB1517" i="1"/>
  <c r="AA1517" i="1"/>
  <c r="Z1517" i="1"/>
  <c r="Y1517" i="1"/>
  <c r="W1517" i="1" s="1"/>
  <c r="X1517" i="1"/>
  <c r="U1517" i="1"/>
  <c r="AC1516" i="1"/>
  <c r="AB1516" i="1"/>
  <c r="AA1516" i="1"/>
  <c r="Z1516" i="1"/>
  <c r="Y1516" i="1"/>
  <c r="W1516" i="1" s="1"/>
  <c r="X1516" i="1"/>
  <c r="U1516" i="1"/>
  <c r="AC1515" i="1"/>
  <c r="AB1515" i="1"/>
  <c r="AA1515" i="1"/>
  <c r="Z1515" i="1"/>
  <c r="Y1515" i="1"/>
  <c r="W1515" i="1" s="1"/>
  <c r="X1515" i="1"/>
  <c r="U1515" i="1"/>
  <c r="AC1514" i="1"/>
  <c r="AB1514" i="1"/>
  <c r="AA1514" i="1"/>
  <c r="Z1514" i="1"/>
  <c r="Y1514" i="1"/>
  <c r="W1514" i="1" s="1"/>
  <c r="X1514" i="1"/>
  <c r="U1514" i="1"/>
  <c r="AC1513" i="1"/>
  <c r="AB1513" i="1"/>
  <c r="AA1513" i="1"/>
  <c r="Z1513" i="1"/>
  <c r="Y1513" i="1"/>
  <c r="W1513" i="1" s="1"/>
  <c r="X1513" i="1"/>
  <c r="U1513" i="1"/>
  <c r="AC1512" i="1"/>
  <c r="AB1512" i="1"/>
  <c r="AA1512" i="1"/>
  <c r="Z1512" i="1"/>
  <c r="Y1512" i="1"/>
  <c r="W1512" i="1" s="1"/>
  <c r="X1512" i="1"/>
  <c r="U1512" i="1"/>
  <c r="AC1511" i="1"/>
  <c r="AB1511" i="1"/>
  <c r="AA1511" i="1"/>
  <c r="Z1511" i="1"/>
  <c r="Y1511" i="1"/>
  <c r="W1511" i="1" s="1"/>
  <c r="X1511" i="1"/>
  <c r="U1511" i="1"/>
  <c r="AC1510" i="1"/>
  <c r="AB1510" i="1"/>
  <c r="AA1510" i="1"/>
  <c r="Z1510" i="1"/>
  <c r="Y1510" i="1"/>
  <c r="W1510" i="1" s="1"/>
  <c r="X1510" i="1"/>
  <c r="U1510" i="1"/>
  <c r="AC1509" i="1"/>
  <c r="AB1509" i="1"/>
  <c r="AA1509" i="1"/>
  <c r="Z1509" i="1"/>
  <c r="Y1509" i="1"/>
  <c r="W1509" i="1" s="1"/>
  <c r="X1509" i="1"/>
  <c r="U1509" i="1"/>
  <c r="AC1508" i="1"/>
  <c r="AB1508" i="1"/>
  <c r="AA1508" i="1"/>
  <c r="Z1508" i="1"/>
  <c r="Y1508" i="1"/>
  <c r="W1508" i="1" s="1"/>
  <c r="X1508" i="1"/>
  <c r="U1508" i="1"/>
  <c r="AC1507" i="1"/>
  <c r="AB1507" i="1"/>
  <c r="AA1507" i="1"/>
  <c r="Z1507" i="1"/>
  <c r="Y1507" i="1"/>
  <c r="W1507" i="1" s="1"/>
  <c r="X1507" i="1"/>
  <c r="U1507" i="1"/>
  <c r="AC1506" i="1"/>
  <c r="AB1506" i="1"/>
  <c r="AA1506" i="1"/>
  <c r="Z1506" i="1"/>
  <c r="Y1506" i="1"/>
  <c r="W1506" i="1" s="1"/>
  <c r="X1506" i="1"/>
  <c r="U1506" i="1"/>
  <c r="AC1505" i="1"/>
  <c r="AB1505" i="1"/>
  <c r="AA1505" i="1"/>
  <c r="Z1505" i="1"/>
  <c r="Y1505" i="1"/>
  <c r="W1505" i="1" s="1"/>
  <c r="X1505" i="1"/>
  <c r="U1505" i="1"/>
  <c r="AC1504" i="1"/>
  <c r="AB1504" i="1"/>
  <c r="AA1504" i="1"/>
  <c r="Z1504" i="1"/>
  <c r="Y1504" i="1"/>
  <c r="W1504" i="1" s="1"/>
  <c r="X1504" i="1"/>
  <c r="U1504" i="1"/>
  <c r="AC1503" i="1"/>
  <c r="AB1503" i="1"/>
  <c r="AA1503" i="1"/>
  <c r="Z1503" i="1"/>
  <c r="Y1503" i="1"/>
  <c r="W1503" i="1" s="1"/>
  <c r="X1503" i="1"/>
  <c r="U1503" i="1"/>
  <c r="AC1502" i="1"/>
  <c r="AB1502" i="1"/>
  <c r="AA1502" i="1"/>
  <c r="Z1502" i="1"/>
  <c r="Y1502" i="1"/>
  <c r="W1502" i="1" s="1"/>
  <c r="X1502" i="1"/>
  <c r="U1502" i="1"/>
  <c r="AC1501" i="1"/>
  <c r="AB1501" i="1"/>
  <c r="AA1501" i="1"/>
  <c r="Z1501" i="1"/>
  <c r="Y1501" i="1"/>
  <c r="W1501" i="1" s="1"/>
  <c r="X1501" i="1"/>
  <c r="U1501" i="1"/>
  <c r="AC1500" i="1"/>
  <c r="AB1500" i="1"/>
  <c r="AA1500" i="1"/>
  <c r="Z1500" i="1"/>
  <c r="Y1500" i="1"/>
  <c r="W1500" i="1" s="1"/>
  <c r="X1500" i="1"/>
  <c r="U1500" i="1"/>
  <c r="AC1499" i="1"/>
  <c r="AB1499" i="1"/>
  <c r="AA1499" i="1"/>
  <c r="Z1499" i="1"/>
  <c r="Y1499" i="1"/>
  <c r="W1499" i="1" s="1"/>
  <c r="X1499" i="1"/>
  <c r="U1499" i="1"/>
  <c r="AC1498" i="1"/>
  <c r="AB1498" i="1"/>
  <c r="AA1498" i="1"/>
  <c r="Z1498" i="1"/>
  <c r="Y1498" i="1"/>
  <c r="W1498" i="1" s="1"/>
  <c r="X1498" i="1"/>
  <c r="U1498" i="1"/>
  <c r="AC1497" i="1"/>
  <c r="AB1497" i="1"/>
  <c r="AA1497" i="1"/>
  <c r="Z1497" i="1"/>
  <c r="Y1497" i="1"/>
  <c r="W1497" i="1" s="1"/>
  <c r="X1497" i="1"/>
  <c r="U1497" i="1"/>
  <c r="AC1496" i="1"/>
  <c r="AB1496" i="1"/>
  <c r="AA1496" i="1"/>
  <c r="Z1496" i="1"/>
  <c r="Y1496" i="1"/>
  <c r="W1496" i="1" s="1"/>
  <c r="X1496" i="1"/>
  <c r="U1496" i="1"/>
  <c r="AC1495" i="1"/>
  <c r="AB1495" i="1"/>
  <c r="AA1495" i="1"/>
  <c r="Z1495" i="1"/>
  <c r="Y1495" i="1"/>
  <c r="W1495" i="1" s="1"/>
  <c r="X1495" i="1"/>
  <c r="U1495" i="1"/>
  <c r="AC1494" i="1"/>
  <c r="AB1494" i="1"/>
  <c r="AA1494" i="1"/>
  <c r="Z1494" i="1"/>
  <c r="Y1494" i="1"/>
  <c r="W1494" i="1" s="1"/>
  <c r="X1494" i="1"/>
  <c r="U1494" i="1"/>
  <c r="AC1493" i="1"/>
  <c r="AB1493" i="1"/>
  <c r="AA1493" i="1"/>
  <c r="Z1493" i="1"/>
  <c r="Y1493" i="1"/>
  <c r="W1493" i="1" s="1"/>
  <c r="X1493" i="1"/>
  <c r="U1493" i="1"/>
  <c r="AC1492" i="1"/>
  <c r="AB1492" i="1"/>
  <c r="AA1492" i="1"/>
  <c r="Z1492" i="1"/>
  <c r="Y1492" i="1"/>
  <c r="W1492" i="1" s="1"/>
  <c r="X1492" i="1"/>
  <c r="U1492" i="1"/>
  <c r="AC1491" i="1"/>
  <c r="AB1491" i="1"/>
  <c r="AA1491" i="1"/>
  <c r="Z1491" i="1"/>
  <c r="Y1491" i="1"/>
  <c r="W1491" i="1" s="1"/>
  <c r="X1491" i="1"/>
  <c r="U1491" i="1"/>
  <c r="AC1490" i="1"/>
  <c r="AB1490" i="1"/>
  <c r="AA1490" i="1"/>
  <c r="Z1490" i="1"/>
  <c r="Y1490" i="1"/>
  <c r="W1490" i="1" s="1"/>
  <c r="X1490" i="1"/>
  <c r="U1490" i="1"/>
  <c r="AC1489" i="1"/>
  <c r="AB1489" i="1"/>
  <c r="AA1489" i="1"/>
  <c r="Z1489" i="1"/>
  <c r="Y1489" i="1"/>
  <c r="W1489" i="1" s="1"/>
  <c r="X1489" i="1"/>
  <c r="U1489" i="1"/>
  <c r="AC1488" i="1"/>
  <c r="AB1488" i="1"/>
  <c r="AA1488" i="1"/>
  <c r="Z1488" i="1"/>
  <c r="Y1488" i="1"/>
  <c r="W1488" i="1" s="1"/>
  <c r="X1488" i="1"/>
  <c r="U1488" i="1"/>
  <c r="AC1487" i="1"/>
  <c r="AB1487" i="1"/>
  <c r="AA1487" i="1"/>
  <c r="Z1487" i="1"/>
  <c r="Y1487" i="1"/>
  <c r="W1487" i="1" s="1"/>
  <c r="X1487" i="1"/>
  <c r="U1487" i="1"/>
  <c r="AC1486" i="1"/>
  <c r="AB1486" i="1"/>
  <c r="AA1486" i="1"/>
  <c r="Z1486" i="1"/>
  <c r="Y1486" i="1"/>
  <c r="W1486" i="1" s="1"/>
  <c r="X1486" i="1"/>
  <c r="U1486" i="1"/>
  <c r="AC1485" i="1"/>
  <c r="AB1485" i="1"/>
  <c r="AA1485" i="1"/>
  <c r="Z1485" i="1"/>
  <c r="Y1485" i="1"/>
  <c r="W1485" i="1" s="1"/>
  <c r="X1485" i="1"/>
  <c r="U1485" i="1"/>
  <c r="AC1484" i="1"/>
  <c r="AB1484" i="1"/>
  <c r="AA1484" i="1"/>
  <c r="Z1484" i="1"/>
  <c r="Y1484" i="1"/>
  <c r="W1484" i="1" s="1"/>
  <c r="X1484" i="1"/>
  <c r="U1484" i="1"/>
  <c r="AC1483" i="1"/>
  <c r="AB1483" i="1"/>
  <c r="AA1483" i="1"/>
  <c r="Z1483" i="1"/>
  <c r="Y1483" i="1"/>
  <c r="W1483" i="1" s="1"/>
  <c r="X1483" i="1"/>
  <c r="U1483" i="1"/>
  <c r="AC1482" i="1"/>
  <c r="AB1482" i="1"/>
  <c r="AA1482" i="1"/>
  <c r="Z1482" i="1"/>
  <c r="Y1482" i="1"/>
  <c r="W1482" i="1" s="1"/>
  <c r="X1482" i="1"/>
  <c r="U1482" i="1"/>
  <c r="AC1481" i="1"/>
  <c r="AB1481" i="1"/>
  <c r="AA1481" i="1"/>
  <c r="Z1481" i="1"/>
  <c r="Y1481" i="1"/>
  <c r="W1481" i="1" s="1"/>
  <c r="X1481" i="1"/>
  <c r="U1481" i="1"/>
  <c r="AC1480" i="1"/>
  <c r="AB1480" i="1"/>
  <c r="AA1480" i="1"/>
  <c r="Z1480" i="1"/>
  <c r="Y1480" i="1"/>
  <c r="W1480" i="1" s="1"/>
  <c r="X1480" i="1"/>
  <c r="U1480" i="1"/>
  <c r="AC1479" i="1"/>
  <c r="AB1479" i="1"/>
  <c r="AA1479" i="1"/>
  <c r="Z1479" i="1"/>
  <c r="Y1479" i="1"/>
  <c r="W1479" i="1" s="1"/>
  <c r="X1479" i="1"/>
  <c r="U1479" i="1"/>
  <c r="AC1478" i="1"/>
  <c r="AB1478" i="1"/>
  <c r="AA1478" i="1"/>
  <c r="Z1478" i="1"/>
  <c r="Y1478" i="1"/>
  <c r="W1478" i="1" s="1"/>
  <c r="X1478" i="1"/>
  <c r="U1478" i="1"/>
  <c r="AC1477" i="1"/>
  <c r="AB1477" i="1"/>
  <c r="AA1477" i="1"/>
  <c r="Z1477" i="1"/>
  <c r="Y1477" i="1"/>
  <c r="W1477" i="1" s="1"/>
  <c r="X1477" i="1"/>
  <c r="U1477" i="1"/>
  <c r="AC1476" i="1"/>
  <c r="AB1476" i="1"/>
  <c r="AA1476" i="1"/>
  <c r="Z1476" i="1"/>
  <c r="Y1476" i="1"/>
  <c r="W1476" i="1" s="1"/>
  <c r="X1476" i="1"/>
  <c r="U1476" i="1"/>
  <c r="AC1475" i="1"/>
  <c r="AB1475" i="1"/>
  <c r="AA1475" i="1"/>
  <c r="Z1475" i="1"/>
  <c r="Y1475" i="1"/>
  <c r="W1475" i="1" s="1"/>
  <c r="X1475" i="1"/>
  <c r="U1475" i="1"/>
  <c r="AC1474" i="1"/>
  <c r="AB1474" i="1"/>
  <c r="AA1474" i="1"/>
  <c r="Z1474" i="1"/>
  <c r="Y1474" i="1"/>
  <c r="W1474" i="1" s="1"/>
  <c r="X1474" i="1"/>
  <c r="U1474" i="1"/>
  <c r="AC1473" i="1"/>
  <c r="AB1473" i="1"/>
  <c r="AA1473" i="1"/>
  <c r="Z1473" i="1"/>
  <c r="Y1473" i="1"/>
  <c r="W1473" i="1" s="1"/>
  <c r="X1473" i="1"/>
  <c r="U1473" i="1"/>
  <c r="AC1472" i="1"/>
  <c r="AB1472" i="1"/>
  <c r="AA1472" i="1"/>
  <c r="Z1472" i="1"/>
  <c r="Y1472" i="1"/>
  <c r="W1472" i="1" s="1"/>
  <c r="X1472" i="1"/>
  <c r="U1472" i="1"/>
  <c r="AC1471" i="1"/>
  <c r="AB1471" i="1"/>
  <c r="AA1471" i="1"/>
  <c r="Z1471" i="1"/>
  <c r="Y1471" i="1"/>
  <c r="W1471" i="1" s="1"/>
  <c r="X1471" i="1"/>
  <c r="U1471" i="1"/>
  <c r="AC1470" i="1"/>
  <c r="AB1470" i="1"/>
  <c r="AA1470" i="1"/>
  <c r="Z1470" i="1"/>
  <c r="Y1470" i="1"/>
  <c r="W1470" i="1" s="1"/>
  <c r="X1470" i="1"/>
  <c r="U1470" i="1"/>
  <c r="AC1469" i="1"/>
  <c r="AB1469" i="1"/>
  <c r="AA1469" i="1"/>
  <c r="Z1469" i="1"/>
  <c r="Y1469" i="1"/>
  <c r="W1469" i="1" s="1"/>
  <c r="X1469" i="1"/>
  <c r="U1469" i="1"/>
  <c r="AC1468" i="1"/>
  <c r="AB1468" i="1"/>
  <c r="AA1468" i="1"/>
  <c r="Z1468" i="1"/>
  <c r="Y1468" i="1"/>
  <c r="W1468" i="1" s="1"/>
  <c r="X1468" i="1"/>
  <c r="U1468" i="1"/>
  <c r="AC1467" i="1"/>
  <c r="AB1467" i="1"/>
  <c r="AA1467" i="1"/>
  <c r="Z1467" i="1"/>
  <c r="Y1467" i="1"/>
  <c r="W1467" i="1" s="1"/>
  <c r="X1467" i="1"/>
  <c r="U1467" i="1"/>
  <c r="AC1466" i="1"/>
  <c r="AB1466" i="1"/>
  <c r="AA1466" i="1"/>
  <c r="Z1466" i="1"/>
  <c r="Y1466" i="1"/>
  <c r="W1466" i="1" s="1"/>
  <c r="X1466" i="1"/>
  <c r="U1466" i="1"/>
  <c r="AC1465" i="1"/>
  <c r="AB1465" i="1"/>
  <c r="AA1465" i="1"/>
  <c r="Z1465" i="1"/>
  <c r="Y1465" i="1"/>
  <c r="W1465" i="1" s="1"/>
  <c r="X1465" i="1"/>
  <c r="U1465" i="1"/>
  <c r="AC1464" i="1"/>
  <c r="AB1464" i="1"/>
  <c r="AA1464" i="1"/>
  <c r="Z1464" i="1"/>
  <c r="Y1464" i="1"/>
  <c r="W1464" i="1" s="1"/>
  <c r="X1464" i="1"/>
  <c r="U1464" i="1"/>
  <c r="AC1463" i="1"/>
  <c r="AB1463" i="1"/>
  <c r="AA1463" i="1"/>
  <c r="Z1463" i="1"/>
  <c r="Y1463" i="1"/>
  <c r="W1463" i="1" s="1"/>
  <c r="X1463" i="1"/>
  <c r="U1463" i="1"/>
  <c r="AC1462" i="1"/>
  <c r="AB1462" i="1"/>
  <c r="AA1462" i="1"/>
  <c r="Z1462" i="1"/>
  <c r="Y1462" i="1"/>
  <c r="W1462" i="1" s="1"/>
  <c r="X1462" i="1"/>
  <c r="U1462" i="1"/>
  <c r="AC1461" i="1"/>
  <c r="AB1461" i="1"/>
  <c r="AA1461" i="1"/>
  <c r="Z1461" i="1"/>
  <c r="Y1461" i="1"/>
  <c r="W1461" i="1" s="1"/>
  <c r="X1461" i="1"/>
  <c r="U1461" i="1"/>
  <c r="AC1460" i="1"/>
  <c r="AB1460" i="1"/>
  <c r="AA1460" i="1"/>
  <c r="Z1460" i="1"/>
  <c r="Y1460" i="1"/>
  <c r="W1460" i="1" s="1"/>
  <c r="X1460" i="1"/>
  <c r="U1460" i="1"/>
  <c r="AC1459" i="1"/>
  <c r="AB1459" i="1"/>
  <c r="AA1459" i="1"/>
  <c r="Z1459" i="1"/>
  <c r="Y1459" i="1"/>
  <c r="W1459" i="1" s="1"/>
  <c r="X1459" i="1"/>
  <c r="U1459" i="1"/>
  <c r="AC1458" i="1"/>
  <c r="AB1458" i="1"/>
  <c r="AA1458" i="1"/>
  <c r="Z1458" i="1"/>
  <c r="Y1458" i="1"/>
  <c r="W1458" i="1" s="1"/>
  <c r="X1458" i="1"/>
  <c r="U1458" i="1"/>
  <c r="AC1457" i="1"/>
  <c r="AB1457" i="1"/>
  <c r="AA1457" i="1"/>
  <c r="Z1457" i="1"/>
  <c r="Y1457" i="1"/>
  <c r="W1457" i="1" s="1"/>
  <c r="X1457" i="1"/>
  <c r="U1457" i="1"/>
  <c r="AC1456" i="1"/>
  <c r="AB1456" i="1"/>
  <c r="AA1456" i="1"/>
  <c r="Z1456" i="1"/>
  <c r="Y1456" i="1"/>
  <c r="W1456" i="1" s="1"/>
  <c r="X1456" i="1"/>
  <c r="U1456" i="1"/>
  <c r="AC1455" i="1"/>
  <c r="AB1455" i="1"/>
  <c r="AA1455" i="1"/>
  <c r="Z1455" i="1"/>
  <c r="Y1455" i="1"/>
  <c r="W1455" i="1" s="1"/>
  <c r="X1455" i="1"/>
  <c r="U1455" i="1"/>
  <c r="AC1454" i="1"/>
  <c r="AB1454" i="1"/>
  <c r="AA1454" i="1"/>
  <c r="Z1454" i="1"/>
  <c r="Y1454" i="1"/>
  <c r="W1454" i="1" s="1"/>
  <c r="X1454" i="1"/>
  <c r="U1454" i="1"/>
  <c r="AC1453" i="1"/>
  <c r="AB1453" i="1"/>
  <c r="AA1453" i="1"/>
  <c r="Z1453" i="1"/>
  <c r="Y1453" i="1"/>
  <c r="W1453" i="1" s="1"/>
  <c r="X1453" i="1"/>
  <c r="U1453" i="1"/>
  <c r="AC1452" i="1"/>
  <c r="AB1452" i="1"/>
  <c r="AA1452" i="1"/>
  <c r="Z1452" i="1"/>
  <c r="Y1452" i="1"/>
  <c r="W1452" i="1" s="1"/>
  <c r="X1452" i="1"/>
  <c r="U1452" i="1"/>
  <c r="AC1451" i="1"/>
  <c r="AB1451" i="1"/>
  <c r="AA1451" i="1"/>
  <c r="Z1451" i="1"/>
  <c r="Y1451" i="1"/>
  <c r="W1451" i="1" s="1"/>
  <c r="X1451" i="1"/>
  <c r="U1451" i="1"/>
  <c r="AC1450" i="1"/>
  <c r="AB1450" i="1"/>
  <c r="AA1450" i="1"/>
  <c r="Z1450" i="1"/>
  <c r="Y1450" i="1"/>
  <c r="W1450" i="1" s="1"/>
  <c r="X1450" i="1"/>
  <c r="U1450" i="1"/>
  <c r="AC1449" i="1"/>
  <c r="AB1449" i="1"/>
  <c r="AA1449" i="1"/>
  <c r="Z1449" i="1"/>
  <c r="Y1449" i="1"/>
  <c r="W1449" i="1" s="1"/>
  <c r="X1449" i="1"/>
  <c r="U1449" i="1"/>
  <c r="AC1448" i="1"/>
  <c r="AB1448" i="1"/>
  <c r="AA1448" i="1"/>
  <c r="Z1448" i="1"/>
  <c r="Y1448" i="1"/>
  <c r="W1448" i="1" s="1"/>
  <c r="X1448" i="1"/>
  <c r="U1448" i="1"/>
  <c r="AC1447" i="1"/>
  <c r="AB1447" i="1"/>
  <c r="AA1447" i="1"/>
  <c r="Z1447" i="1"/>
  <c r="Y1447" i="1"/>
  <c r="W1447" i="1" s="1"/>
  <c r="X1447" i="1"/>
  <c r="U1447" i="1"/>
  <c r="AC1446" i="1"/>
  <c r="AB1446" i="1"/>
  <c r="AA1446" i="1"/>
  <c r="Z1446" i="1"/>
  <c r="Y1446" i="1"/>
  <c r="W1446" i="1" s="1"/>
  <c r="X1446" i="1"/>
  <c r="U1446" i="1"/>
  <c r="AC1445" i="1"/>
  <c r="AB1445" i="1"/>
  <c r="AA1445" i="1"/>
  <c r="Z1445" i="1"/>
  <c r="Y1445" i="1"/>
  <c r="W1445" i="1" s="1"/>
  <c r="X1445" i="1"/>
  <c r="U1445" i="1"/>
  <c r="AC1444" i="1"/>
  <c r="AB1444" i="1"/>
  <c r="AA1444" i="1"/>
  <c r="Z1444" i="1"/>
  <c r="Y1444" i="1"/>
  <c r="W1444" i="1" s="1"/>
  <c r="X1444" i="1"/>
  <c r="U1444" i="1"/>
  <c r="AC1443" i="1"/>
  <c r="AB1443" i="1"/>
  <c r="AA1443" i="1"/>
  <c r="Z1443" i="1"/>
  <c r="Y1443" i="1"/>
  <c r="W1443" i="1" s="1"/>
  <c r="X1443" i="1"/>
  <c r="U1443" i="1"/>
  <c r="AC1442" i="1"/>
  <c r="AB1442" i="1"/>
  <c r="AA1442" i="1"/>
  <c r="Z1442" i="1"/>
  <c r="Y1442" i="1"/>
  <c r="W1442" i="1" s="1"/>
  <c r="X1442" i="1"/>
  <c r="U1442" i="1"/>
  <c r="AC1441" i="1"/>
  <c r="AB1441" i="1"/>
  <c r="AA1441" i="1"/>
  <c r="Z1441" i="1"/>
  <c r="Y1441" i="1"/>
  <c r="W1441" i="1" s="1"/>
  <c r="X1441" i="1"/>
  <c r="U1441" i="1"/>
  <c r="AC1440" i="1"/>
  <c r="AB1440" i="1"/>
  <c r="AA1440" i="1"/>
  <c r="Z1440" i="1"/>
  <c r="Y1440" i="1"/>
  <c r="W1440" i="1" s="1"/>
  <c r="X1440" i="1"/>
  <c r="U1440" i="1"/>
  <c r="AC1439" i="1"/>
  <c r="AB1439" i="1"/>
  <c r="AA1439" i="1"/>
  <c r="Z1439" i="1"/>
  <c r="Y1439" i="1"/>
  <c r="W1439" i="1" s="1"/>
  <c r="X1439" i="1"/>
  <c r="U1439" i="1"/>
  <c r="AC1438" i="1"/>
  <c r="AB1438" i="1"/>
  <c r="AA1438" i="1"/>
  <c r="Z1438" i="1"/>
  <c r="Y1438" i="1"/>
  <c r="W1438" i="1" s="1"/>
  <c r="X1438" i="1"/>
  <c r="U1438" i="1"/>
  <c r="AC1437" i="1"/>
  <c r="AB1437" i="1"/>
  <c r="AA1437" i="1"/>
  <c r="Z1437" i="1"/>
  <c r="Y1437" i="1"/>
  <c r="W1437" i="1" s="1"/>
  <c r="X1437" i="1"/>
  <c r="U1437" i="1"/>
  <c r="AC1436" i="1"/>
  <c r="AB1436" i="1"/>
  <c r="AA1436" i="1"/>
  <c r="Z1436" i="1"/>
  <c r="Y1436" i="1"/>
  <c r="W1436" i="1" s="1"/>
  <c r="X1436" i="1"/>
  <c r="U1436" i="1"/>
  <c r="AC1435" i="1"/>
  <c r="AB1435" i="1"/>
  <c r="AA1435" i="1"/>
  <c r="Z1435" i="1"/>
  <c r="Y1435" i="1"/>
  <c r="W1435" i="1" s="1"/>
  <c r="X1435" i="1"/>
  <c r="U1435" i="1"/>
  <c r="AC1434" i="1"/>
  <c r="AB1434" i="1"/>
  <c r="AA1434" i="1"/>
  <c r="Z1434" i="1"/>
  <c r="Y1434" i="1"/>
  <c r="W1434" i="1" s="1"/>
  <c r="X1434" i="1"/>
  <c r="U1434" i="1"/>
  <c r="AC1433" i="1"/>
  <c r="AB1433" i="1"/>
  <c r="AA1433" i="1"/>
  <c r="Z1433" i="1"/>
  <c r="Y1433" i="1"/>
  <c r="W1433" i="1" s="1"/>
  <c r="X1433" i="1"/>
  <c r="U1433" i="1"/>
  <c r="AC1432" i="1"/>
  <c r="AB1432" i="1"/>
  <c r="AA1432" i="1"/>
  <c r="Z1432" i="1"/>
  <c r="Y1432" i="1"/>
  <c r="W1432" i="1" s="1"/>
  <c r="X1432" i="1"/>
  <c r="U1432" i="1"/>
  <c r="AC1431" i="1"/>
  <c r="AB1431" i="1"/>
  <c r="AA1431" i="1"/>
  <c r="Z1431" i="1"/>
  <c r="Y1431" i="1"/>
  <c r="W1431" i="1" s="1"/>
  <c r="X1431" i="1"/>
  <c r="U1431" i="1"/>
  <c r="AC1430" i="1"/>
  <c r="AB1430" i="1"/>
  <c r="AA1430" i="1"/>
  <c r="Z1430" i="1"/>
  <c r="Y1430" i="1"/>
  <c r="W1430" i="1" s="1"/>
  <c r="X1430" i="1"/>
  <c r="U1430" i="1"/>
  <c r="AC1429" i="1"/>
  <c r="AB1429" i="1"/>
  <c r="AA1429" i="1"/>
  <c r="Z1429" i="1"/>
  <c r="Y1429" i="1"/>
  <c r="W1429" i="1" s="1"/>
  <c r="X1429" i="1"/>
  <c r="U1429" i="1"/>
  <c r="AC1428" i="1"/>
  <c r="AB1428" i="1"/>
  <c r="AA1428" i="1"/>
  <c r="Z1428" i="1"/>
  <c r="Y1428" i="1"/>
  <c r="W1428" i="1" s="1"/>
  <c r="X1428" i="1"/>
  <c r="U1428" i="1"/>
  <c r="AC1427" i="1"/>
  <c r="AB1427" i="1"/>
  <c r="AA1427" i="1"/>
  <c r="Z1427" i="1"/>
  <c r="Y1427" i="1"/>
  <c r="W1427" i="1" s="1"/>
  <c r="X1427" i="1"/>
  <c r="U1427" i="1"/>
  <c r="AC1426" i="1"/>
  <c r="AB1426" i="1"/>
  <c r="AA1426" i="1"/>
  <c r="Z1426" i="1"/>
  <c r="Y1426" i="1"/>
  <c r="W1426" i="1" s="1"/>
  <c r="X1426" i="1"/>
  <c r="U1426" i="1"/>
  <c r="AC1425" i="1"/>
  <c r="AB1425" i="1"/>
  <c r="AA1425" i="1"/>
  <c r="Z1425" i="1"/>
  <c r="Y1425" i="1"/>
  <c r="W1425" i="1" s="1"/>
  <c r="X1425" i="1"/>
  <c r="U1425" i="1"/>
  <c r="AC1424" i="1"/>
  <c r="AB1424" i="1"/>
  <c r="AA1424" i="1"/>
  <c r="Z1424" i="1"/>
  <c r="Y1424" i="1"/>
  <c r="W1424" i="1" s="1"/>
  <c r="X1424" i="1"/>
  <c r="U1424" i="1"/>
  <c r="AC1423" i="1"/>
  <c r="AB1423" i="1"/>
  <c r="AA1423" i="1"/>
  <c r="Z1423" i="1"/>
  <c r="Y1423" i="1"/>
  <c r="W1423" i="1" s="1"/>
  <c r="X1423" i="1"/>
  <c r="U1423" i="1"/>
  <c r="AC1422" i="1"/>
  <c r="AB1422" i="1"/>
  <c r="AA1422" i="1"/>
  <c r="Z1422" i="1"/>
  <c r="Y1422" i="1"/>
  <c r="W1422" i="1" s="1"/>
  <c r="X1422" i="1"/>
  <c r="U1422" i="1"/>
  <c r="AC1421" i="1"/>
  <c r="AB1421" i="1"/>
  <c r="AA1421" i="1"/>
  <c r="Z1421" i="1"/>
  <c r="Y1421" i="1"/>
  <c r="W1421" i="1" s="1"/>
  <c r="X1421" i="1"/>
  <c r="U1421" i="1"/>
  <c r="AC1420" i="1"/>
  <c r="AB1420" i="1"/>
  <c r="AA1420" i="1"/>
  <c r="Z1420" i="1"/>
  <c r="Y1420" i="1"/>
  <c r="W1420" i="1" s="1"/>
  <c r="X1420" i="1"/>
  <c r="U1420" i="1"/>
  <c r="AC1419" i="1"/>
  <c r="AB1419" i="1"/>
  <c r="AA1419" i="1"/>
  <c r="Z1419" i="1"/>
  <c r="Y1419" i="1"/>
  <c r="W1419" i="1" s="1"/>
  <c r="X1419" i="1"/>
  <c r="U1419" i="1"/>
  <c r="AC1418" i="1"/>
  <c r="AB1418" i="1"/>
  <c r="AA1418" i="1"/>
  <c r="Z1418" i="1"/>
  <c r="Y1418" i="1"/>
  <c r="W1418" i="1" s="1"/>
  <c r="X1418" i="1"/>
  <c r="U1418" i="1"/>
  <c r="AC1417" i="1"/>
  <c r="AB1417" i="1"/>
  <c r="AA1417" i="1"/>
  <c r="Z1417" i="1"/>
  <c r="Y1417" i="1"/>
  <c r="W1417" i="1" s="1"/>
  <c r="X1417" i="1"/>
  <c r="U1417" i="1"/>
  <c r="AC1416" i="1"/>
  <c r="AB1416" i="1"/>
  <c r="AA1416" i="1"/>
  <c r="Z1416" i="1"/>
  <c r="Y1416" i="1"/>
  <c r="W1416" i="1" s="1"/>
  <c r="X1416" i="1"/>
  <c r="U1416" i="1"/>
  <c r="AC1415" i="1"/>
  <c r="AB1415" i="1"/>
  <c r="AA1415" i="1"/>
  <c r="Z1415" i="1"/>
  <c r="Y1415" i="1"/>
  <c r="W1415" i="1" s="1"/>
  <c r="X1415" i="1"/>
  <c r="U1415" i="1"/>
  <c r="AC1414" i="1"/>
  <c r="AB1414" i="1"/>
  <c r="AA1414" i="1"/>
  <c r="Z1414" i="1"/>
  <c r="Y1414" i="1"/>
  <c r="W1414" i="1" s="1"/>
  <c r="X1414" i="1"/>
  <c r="U1414" i="1"/>
  <c r="AC1413" i="1"/>
  <c r="AB1413" i="1"/>
  <c r="AA1413" i="1"/>
  <c r="Z1413" i="1"/>
  <c r="Y1413" i="1"/>
  <c r="W1413" i="1" s="1"/>
  <c r="X1413" i="1"/>
  <c r="U1413" i="1"/>
  <c r="AC1412" i="1"/>
  <c r="AB1412" i="1"/>
  <c r="AA1412" i="1"/>
  <c r="Z1412" i="1"/>
  <c r="Y1412" i="1"/>
  <c r="W1412" i="1" s="1"/>
  <c r="X1412" i="1"/>
  <c r="U1412" i="1"/>
  <c r="AC1411" i="1"/>
  <c r="AB1411" i="1"/>
  <c r="AA1411" i="1"/>
  <c r="Z1411" i="1"/>
  <c r="Y1411" i="1"/>
  <c r="W1411" i="1" s="1"/>
  <c r="X1411" i="1"/>
  <c r="U1411" i="1"/>
  <c r="AC1410" i="1"/>
  <c r="AB1410" i="1"/>
  <c r="AA1410" i="1"/>
  <c r="Z1410" i="1"/>
  <c r="Y1410" i="1"/>
  <c r="W1410" i="1" s="1"/>
  <c r="X1410" i="1"/>
  <c r="U1410" i="1"/>
  <c r="AC1409" i="1"/>
  <c r="AB1409" i="1"/>
  <c r="AA1409" i="1"/>
  <c r="Z1409" i="1"/>
  <c r="Y1409" i="1"/>
  <c r="W1409" i="1" s="1"/>
  <c r="X1409" i="1"/>
  <c r="U1409" i="1"/>
  <c r="AC1408" i="1"/>
  <c r="AB1408" i="1"/>
  <c r="AA1408" i="1"/>
  <c r="Z1408" i="1"/>
  <c r="Y1408" i="1"/>
  <c r="W1408" i="1" s="1"/>
  <c r="X1408" i="1"/>
  <c r="U1408" i="1"/>
  <c r="AC1407" i="1"/>
  <c r="AB1407" i="1"/>
  <c r="AA1407" i="1"/>
  <c r="Z1407" i="1"/>
  <c r="Y1407" i="1"/>
  <c r="W1407" i="1" s="1"/>
  <c r="X1407" i="1"/>
  <c r="U1407" i="1"/>
  <c r="AC1406" i="1"/>
  <c r="AB1406" i="1"/>
  <c r="AA1406" i="1"/>
  <c r="Z1406" i="1"/>
  <c r="Y1406" i="1"/>
  <c r="W1406" i="1" s="1"/>
  <c r="X1406" i="1"/>
  <c r="U1406" i="1"/>
  <c r="AC1405" i="1"/>
  <c r="AB1405" i="1"/>
  <c r="AA1405" i="1"/>
  <c r="Z1405" i="1"/>
  <c r="Y1405" i="1"/>
  <c r="W1405" i="1" s="1"/>
  <c r="X1405" i="1"/>
  <c r="U1405" i="1"/>
  <c r="AC1404" i="1"/>
  <c r="AB1404" i="1"/>
  <c r="AA1404" i="1"/>
  <c r="Z1404" i="1"/>
  <c r="Y1404" i="1"/>
  <c r="W1404" i="1" s="1"/>
  <c r="X1404" i="1"/>
  <c r="U1404" i="1"/>
  <c r="AC1403" i="1"/>
  <c r="AB1403" i="1"/>
  <c r="AA1403" i="1"/>
  <c r="Z1403" i="1"/>
  <c r="Y1403" i="1"/>
  <c r="W1403" i="1" s="1"/>
  <c r="X1403" i="1"/>
  <c r="U1403" i="1"/>
  <c r="AC1402" i="1"/>
  <c r="AB1402" i="1"/>
  <c r="AA1402" i="1"/>
  <c r="Z1402" i="1"/>
  <c r="Y1402" i="1"/>
  <c r="W1402" i="1" s="1"/>
  <c r="X1402" i="1"/>
  <c r="U1402" i="1"/>
  <c r="AC1401" i="1"/>
  <c r="AB1401" i="1"/>
  <c r="AA1401" i="1"/>
  <c r="Z1401" i="1"/>
  <c r="Y1401" i="1"/>
  <c r="W1401" i="1" s="1"/>
  <c r="X1401" i="1"/>
  <c r="U1401" i="1"/>
  <c r="AC1400" i="1"/>
  <c r="AB1400" i="1"/>
  <c r="AA1400" i="1"/>
  <c r="Z1400" i="1"/>
  <c r="Y1400" i="1"/>
  <c r="W1400" i="1" s="1"/>
  <c r="X1400" i="1"/>
  <c r="U1400" i="1"/>
  <c r="AC1399" i="1"/>
  <c r="AB1399" i="1"/>
  <c r="AA1399" i="1"/>
  <c r="Z1399" i="1"/>
  <c r="Y1399" i="1"/>
  <c r="W1399" i="1" s="1"/>
  <c r="X1399" i="1"/>
  <c r="U1399" i="1"/>
  <c r="AC1398" i="1"/>
  <c r="AB1398" i="1"/>
  <c r="AA1398" i="1"/>
  <c r="Z1398" i="1"/>
  <c r="Y1398" i="1"/>
  <c r="W1398" i="1" s="1"/>
  <c r="X1398" i="1"/>
  <c r="U1398" i="1"/>
  <c r="AC1397" i="1"/>
  <c r="AB1397" i="1"/>
  <c r="AA1397" i="1"/>
  <c r="Z1397" i="1"/>
  <c r="Y1397" i="1"/>
  <c r="W1397" i="1" s="1"/>
  <c r="X1397" i="1"/>
  <c r="U1397" i="1"/>
  <c r="AC1396" i="1"/>
  <c r="AB1396" i="1"/>
  <c r="AA1396" i="1"/>
  <c r="Z1396" i="1"/>
  <c r="Y1396" i="1"/>
  <c r="W1396" i="1" s="1"/>
  <c r="X1396" i="1"/>
  <c r="U1396" i="1"/>
  <c r="AC1395" i="1"/>
  <c r="AB1395" i="1"/>
  <c r="AA1395" i="1"/>
  <c r="Z1395" i="1"/>
  <c r="Y1395" i="1"/>
  <c r="W1395" i="1" s="1"/>
  <c r="X1395" i="1"/>
  <c r="U1395" i="1"/>
  <c r="AC1394" i="1"/>
  <c r="AB1394" i="1"/>
  <c r="AA1394" i="1"/>
  <c r="Z1394" i="1"/>
  <c r="Y1394" i="1"/>
  <c r="W1394" i="1" s="1"/>
  <c r="X1394" i="1"/>
  <c r="U1394" i="1"/>
  <c r="AC1393" i="1"/>
  <c r="AB1393" i="1"/>
  <c r="AA1393" i="1"/>
  <c r="Z1393" i="1"/>
  <c r="Y1393" i="1"/>
  <c r="W1393" i="1" s="1"/>
  <c r="X1393" i="1"/>
  <c r="U1393" i="1"/>
  <c r="AC1392" i="1"/>
  <c r="AB1392" i="1"/>
  <c r="AA1392" i="1"/>
  <c r="Z1392" i="1"/>
  <c r="Y1392" i="1"/>
  <c r="W1392" i="1" s="1"/>
  <c r="X1392" i="1"/>
  <c r="U1392" i="1"/>
  <c r="AC1391" i="1"/>
  <c r="AB1391" i="1"/>
  <c r="AA1391" i="1"/>
  <c r="Z1391" i="1"/>
  <c r="Y1391" i="1"/>
  <c r="W1391" i="1" s="1"/>
  <c r="X1391" i="1"/>
  <c r="U1391" i="1"/>
  <c r="AC1390" i="1"/>
  <c r="AB1390" i="1"/>
  <c r="AA1390" i="1"/>
  <c r="Z1390" i="1"/>
  <c r="Y1390" i="1"/>
  <c r="W1390" i="1" s="1"/>
  <c r="X1390" i="1"/>
  <c r="U1390" i="1"/>
  <c r="AC1389" i="1"/>
  <c r="AB1389" i="1"/>
  <c r="AA1389" i="1"/>
  <c r="Z1389" i="1"/>
  <c r="Y1389" i="1"/>
  <c r="W1389" i="1" s="1"/>
  <c r="X1389" i="1"/>
  <c r="U1389" i="1"/>
  <c r="AC1388" i="1"/>
  <c r="AB1388" i="1"/>
  <c r="AA1388" i="1"/>
  <c r="Z1388" i="1"/>
  <c r="Y1388" i="1"/>
  <c r="W1388" i="1" s="1"/>
  <c r="X1388" i="1"/>
  <c r="U1388" i="1"/>
  <c r="AC1387" i="1"/>
  <c r="AB1387" i="1"/>
  <c r="AA1387" i="1"/>
  <c r="Z1387" i="1"/>
  <c r="Y1387" i="1"/>
  <c r="W1387" i="1" s="1"/>
  <c r="X1387" i="1"/>
  <c r="U1387" i="1"/>
  <c r="AC1386" i="1"/>
  <c r="AB1386" i="1"/>
  <c r="AA1386" i="1"/>
  <c r="Z1386" i="1"/>
  <c r="Y1386" i="1"/>
  <c r="W1386" i="1" s="1"/>
  <c r="X1386" i="1"/>
  <c r="U1386" i="1"/>
  <c r="AC1385" i="1"/>
  <c r="AB1385" i="1"/>
  <c r="AA1385" i="1"/>
  <c r="Z1385" i="1"/>
  <c r="Y1385" i="1"/>
  <c r="W1385" i="1" s="1"/>
  <c r="X1385" i="1"/>
  <c r="U1385" i="1"/>
  <c r="AC1384" i="1"/>
  <c r="AB1384" i="1"/>
  <c r="AA1384" i="1"/>
  <c r="Z1384" i="1"/>
  <c r="Y1384" i="1"/>
  <c r="W1384" i="1" s="1"/>
  <c r="X1384" i="1"/>
  <c r="U1384" i="1"/>
  <c r="AC1383" i="1"/>
  <c r="AB1383" i="1"/>
  <c r="AA1383" i="1"/>
  <c r="Z1383" i="1"/>
  <c r="Y1383" i="1"/>
  <c r="W1383" i="1" s="1"/>
  <c r="X1383" i="1"/>
  <c r="U1383" i="1"/>
  <c r="AC1382" i="1"/>
  <c r="AB1382" i="1"/>
  <c r="AA1382" i="1"/>
  <c r="Z1382" i="1"/>
  <c r="Y1382" i="1"/>
  <c r="W1382" i="1" s="1"/>
  <c r="X1382" i="1"/>
  <c r="U1382" i="1"/>
  <c r="AC1381" i="1"/>
  <c r="AB1381" i="1"/>
  <c r="AA1381" i="1"/>
  <c r="Z1381" i="1"/>
  <c r="Y1381" i="1"/>
  <c r="W1381" i="1" s="1"/>
  <c r="X1381" i="1"/>
  <c r="U1381" i="1"/>
  <c r="AC1380" i="1"/>
  <c r="AB1380" i="1"/>
  <c r="AA1380" i="1"/>
  <c r="Z1380" i="1"/>
  <c r="Y1380" i="1"/>
  <c r="W1380" i="1" s="1"/>
  <c r="X1380" i="1"/>
  <c r="U1380" i="1"/>
  <c r="AC1379" i="1"/>
  <c r="AB1379" i="1"/>
  <c r="AA1379" i="1"/>
  <c r="Z1379" i="1"/>
  <c r="Y1379" i="1"/>
  <c r="W1379" i="1" s="1"/>
  <c r="X1379" i="1"/>
  <c r="U1379" i="1"/>
  <c r="AC1378" i="1"/>
  <c r="AB1378" i="1"/>
  <c r="AA1378" i="1"/>
  <c r="Z1378" i="1"/>
  <c r="Y1378" i="1"/>
  <c r="W1378" i="1" s="1"/>
  <c r="X1378" i="1"/>
  <c r="U1378" i="1"/>
  <c r="AC1377" i="1"/>
  <c r="AB1377" i="1"/>
  <c r="AA1377" i="1"/>
  <c r="Z1377" i="1"/>
  <c r="Y1377" i="1"/>
  <c r="W1377" i="1" s="1"/>
  <c r="X1377" i="1"/>
  <c r="U1377" i="1"/>
  <c r="AC1376" i="1"/>
  <c r="AB1376" i="1"/>
  <c r="AA1376" i="1"/>
  <c r="Z1376" i="1"/>
  <c r="Y1376" i="1"/>
  <c r="W1376" i="1" s="1"/>
  <c r="X1376" i="1"/>
  <c r="U1376" i="1"/>
  <c r="AC1375" i="1"/>
  <c r="AB1375" i="1"/>
  <c r="AA1375" i="1"/>
  <c r="Z1375" i="1"/>
  <c r="Y1375" i="1"/>
  <c r="W1375" i="1" s="1"/>
  <c r="X1375" i="1"/>
  <c r="U1375" i="1"/>
  <c r="AC1374" i="1"/>
  <c r="AB1374" i="1"/>
  <c r="AA1374" i="1"/>
  <c r="Z1374" i="1"/>
  <c r="Y1374" i="1"/>
  <c r="W1374" i="1" s="1"/>
  <c r="X1374" i="1"/>
  <c r="U1374" i="1"/>
  <c r="AC1373" i="1"/>
  <c r="AB1373" i="1"/>
  <c r="AA1373" i="1"/>
  <c r="Z1373" i="1"/>
  <c r="Y1373" i="1"/>
  <c r="W1373" i="1" s="1"/>
  <c r="X1373" i="1"/>
  <c r="U1373" i="1"/>
  <c r="AC1372" i="1"/>
  <c r="AB1372" i="1"/>
  <c r="AA1372" i="1"/>
  <c r="Z1372" i="1"/>
  <c r="Y1372" i="1"/>
  <c r="W1372" i="1" s="1"/>
  <c r="X1372" i="1"/>
  <c r="U1372" i="1"/>
  <c r="AC1371" i="1"/>
  <c r="AB1371" i="1"/>
  <c r="AA1371" i="1"/>
  <c r="Z1371" i="1"/>
  <c r="Y1371" i="1"/>
  <c r="W1371" i="1" s="1"/>
  <c r="X1371" i="1"/>
  <c r="U1371" i="1"/>
  <c r="AC1370" i="1"/>
  <c r="AB1370" i="1"/>
  <c r="AA1370" i="1"/>
  <c r="Z1370" i="1"/>
  <c r="Y1370" i="1"/>
  <c r="W1370" i="1" s="1"/>
  <c r="X1370" i="1"/>
  <c r="U1370" i="1"/>
  <c r="AC1369" i="1"/>
  <c r="AB1369" i="1"/>
  <c r="AA1369" i="1"/>
  <c r="Z1369" i="1"/>
  <c r="Y1369" i="1"/>
  <c r="W1369" i="1" s="1"/>
  <c r="X1369" i="1"/>
  <c r="U1369" i="1"/>
  <c r="AC1368" i="1"/>
  <c r="AB1368" i="1"/>
  <c r="AA1368" i="1"/>
  <c r="Z1368" i="1"/>
  <c r="Y1368" i="1"/>
  <c r="W1368" i="1" s="1"/>
  <c r="X1368" i="1"/>
  <c r="U1368" i="1"/>
  <c r="AC1367" i="1"/>
  <c r="AB1367" i="1"/>
  <c r="AA1367" i="1"/>
  <c r="Z1367" i="1"/>
  <c r="Y1367" i="1"/>
  <c r="W1367" i="1" s="1"/>
  <c r="X1367" i="1"/>
  <c r="U1367" i="1"/>
  <c r="AC1366" i="1"/>
  <c r="AB1366" i="1"/>
  <c r="AA1366" i="1"/>
  <c r="Z1366" i="1"/>
  <c r="Y1366" i="1"/>
  <c r="W1366" i="1" s="1"/>
  <c r="X1366" i="1"/>
  <c r="U1366" i="1"/>
  <c r="AC1365" i="1"/>
  <c r="AB1365" i="1"/>
  <c r="AA1365" i="1"/>
  <c r="Z1365" i="1"/>
  <c r="Y1365" i="1"/>
  <c r="W1365" i="1" s="1"/>
  <c r="X1365" i="1"/>
  <c r="U1365" i="1"/>
  <c r="AC1364" i="1"/>
  <c r="AB1364" i="1"/>
  <c r="AA1364" i="1"/>
  <c r="Z1364" i="1"/>
  <c r="Y1364" i="1"/>
  <c r="W1364" i="1" s="1"/>
  <c r="X1364" i="1"/>
  <c r="U1364" i="1"/>
  <c r="AC1363" i="1"/>
  <c r="AB1363" i="1"/>
  <c r="AA1363" i="1"/>
  <c r="Z1363" i="1"/>
  <c r="Y1363" i="1"/>
  <c r="W1363" i="1" s="1"/>
  <c r="X1363" i="1"/>
  <c r="U1363" i="1"/>
  <c r="AC1362" i="1"/>
  <c r="AB1362" i="1"/>
  <c r="AA1362" i="1"/>
  <c r="Z1362" i="1"/>
  <c r="Y1362" i="1"/>
  <c r="W1362" i="1" s="1"/>
  <c r="X1362" i="1"/>
  <c r="U1362" i="1"/>
  <c r="AC1361" i="1"/>
  <c r="AB1361" i="1"/>
  <c r="AA1361" i="1"/>
  <c r="Z1361" i="1"/>
  <c r="Y1361" i="1"/>
  <c r="W1361" i="1" s="1"/>
  <c r="X1361" i="1"/>
  <c r="U1361" i="1"/>
  <c r="AC1360" i="1"/>
  <c r="AB1360" i="1"/>
  <c r="AA1360" i="1"/>
  <c r="Z1360" i="1"/>
  <c r="Y1360" i="1"/>
  <c r="W1360" i="1" s="1"/>
  <c r="X1360" i="1"/>
  <c r="U1360" i="1"/>
  <c r="AC1359" i="1"/>
  <c r="AB1359" i="1"/>
  <c r="AA1359" i="1"/>
  <c r="Z1359" i="1"/>
  <c r="Y1359" i="1"/>
  <c r="W1359" i="1" s="1"/>
  <c r="X1359" i="1"/>
  <c r="U1359" i="1"/>
  <c r="AC1358" i="1"/>
  <c r="AB1358" i="1"/>
  <c r="AA1358" i="1"/>
  <c r="Z1358" i="1"/>
  <c r="Y1358" i="1"/>
  <c r="W1358" i="1" s="1"/>
  <c r="X1358" i="1"/>
  <c r="U1358" i="1"/>
  <c r="AC1357" i="1"/>
  <c r="AB1357" i="1"/>
  <c r="AA1357" i="1"/>
  <c r="Z1357" i="1"/>
  <c r="Y1357" i="1"/>
  <c r="W1357" i="1" s="1"/>
  <c r="X1357" i="1"/>
  <c r="U1357" i="1"/>
  <c r="AC1356" i="1"/>
  <c r="AB1356" i="1"/>
  <c r="AA1356" i="1"/>
  <c r="Z1356" i="1"/>
  <c r="Y1356" i="1"/>
  <c r="W1356" i="1" s="1"/>
  <c r="X1356" i="1"/>
  <c r="U1356" i="1"/>
  <c r="AC1355" i="1"/>
  <c r="AB1355" i="1"/>
  <c r="AA1355" i="1"/>
  <c r="Z1355" i="1"/>
  <c r="Y1355" i="1"/>
  <c r="W1355" i="1" s="1"/>
  <c r="X1355" i="1"/>
  <c r="U1355" i="1"/>
  <c r="AC1354" i="1"/>
  <c r="AB1354" i="1"/>
  <c r="AA1354" i="1"/>
  <c r="Z1354" i="1"/>
  <c r="Y1354" i="1"/>
  <c r="W1354" i="1" s="1"/>
  <c r="X1354" i="1"/>
  <c r="U1354" i="1"/>
  <c r="AC1353" i="1"/>
  <c r="AB1353" i="1"/>
  <c r="AA1353" i="1"/>
  <c r="Z1353" i="1"/>
  <c r="Y1353" i="1"/>
  <c r="W1353" i="1" s="1"/>
  <c r="X1353" i="1"/>
  <c r="U1353" i="1"/>
  <c r="AC1352" i="1"/>
  <c r="AB1352" i="1"/>
  <c r="AA1352" i="1"/>
  <c r="Z1352" i="1"/>
  <c r="Y1352" i="1"/>
  <c r="W1352" i="1" s="1"/>
  <c r="X1352" i="1"/>
  <c r="U1352" i="1"/>
  <c r="AC1351" i="1"/>
  <c r="AB1351" i="1"/>
  <c r="AA1351" i="1"/>
  <c r="Z1351" i="1"/>
  <c r="Y1351" i="1"/>
  <c r="W1351" i="1" s="1"/>
  <c r="X1351" i="1"/>
  <c r="U1351" i="1"/>
  <c r="AC1350" i="1"/>
  <c r="AB1350" i="1"/>
  <c r="AA1350" i="1"/>
  <c r="Z1350" i="1"/>
  <c r="Y1350" i="1"/>
  <c r="W1350" i="1" s="1"/>
  <c r="X1350" i="1"/>
  <c r="U1350" i="1"/>
  <c r="AC1349" i="1"/>
  <c r="AB1349" i="1"/>
  <c r="AA1349" i="1"/>
  <c r="Z1349" i="1"/>
  <c r="Y1349" i="1"/>
  <c r="W1349" i="1" s="1"/>
  <c r="X1349" i="1"/>
  <c r="U1349" i="1"/>
  <c r="AC1348" i="1"/>
  <c r="AB1348" i="1"/>
  <c r="AA1348" i="1"/>
  <c r="Z1348" i="1"/>
  <c r="Y1348" i="1"/>
  <c r="W1348" i="1" s="1"/>
  <c r="X1348" i="1"/>
  <c r="U1348" i="1"/>
  <c r="AC1347" i="1"/>
  <c r="AB1347" i="1"/>
  <c r="AA1347" i="1"/>
  <c r="Z1347" i="1"/>
  <c r="Y1347" i="1"/>
  <c r="W1347" i="1" s="1"/>
  <c r="X1347" i="1"/>
  <c r="U1347" i="1"/>
  <c r="AC1346" i="1"/>
  <c r="AB1346" i="1"/>
  <c r="AA1346" i="1"/>
  <c r="Z1346" i="1"/>
  <c r="Y1346" i="1"/>
  <c r="W1346" i="1" s="1"/>
  <c r="X1346" i="1"/>
  <c r="U1346" i="1"/>
  <c r="AC1345" i="1"/>
  <c r="AB1345" i="1"/>
  <c r="AA1345" i="1"/>
  <c r="Z1345" i="1"/>
  <c r="Y1345" i="1"/>
  <c r="W1345" i="1" s="1"/>
  <c r="X1345" i="1"/>
  <c r="U1345" i="1"/>
  <c r="AC1344" i="1"/>
  <c r="AB1344" i="1"/>
  <c r="AA1344" i="1"/>
  <c r="Z1344" i="1"/>
  <c r="Y1344" i="1"/>
  <c r="W1344" i="1" s="1"/>
  <c r="X1344" i="1"/>
  <c r="U1344" i="1"/>
  <c r="AC1343" i="1"/>
  <c r="AB1343" i="1"/>
  <c r="AA1343" i="1"/>
  <c r="Z1343" i="1"/>
  <c r="Y1343" i="1"/>
  <c r="W1343" i="1" s="1"/>
  <c r="X1343" i="1"/>
  <c r="U1343" i="1"/>
  <c r="AC1342" i="1"/>
  <c r="AB1342" i="1"/>
  <c r="AA1342" i="1"/>
  <c r="Z1342" i="1"/>
  <c r="Y1342" i="1"/>
  <c r="W1342" i="1" s="1"/>
  <c r="X1342" i="1"/>
  <c r="U1342" i="1"/>
  <c r="AC1341" i="1"/>
  <c r="AB1341" i="1"/>
  <c r="AA1341" i="1"/>
  <c r="Z1341" i="1"/>
  <c r="Y1341" i="1"/>
  <c r="W1341" i="1" s="1"/>
  <c r="X1341" i="1"/>
  <c r="U1341" i="1"/>
  <c r="AC1340" i="1"/>
  <c r="AB1340" i="1"/>
  <c r="AA1340" i="1"/>
  <c r="Z1340" i="1"/>
  <c r="Y1340" i="1"/>
  <c r="W1340" i="1" s="1"/>
  <c r="X1340" i="1"/>
  <c r="U1340" i="1"/>
  <c r="AC1339" i="1"/>
  <c r="AB1339" i="1"/>
  <c r="AA1339" i="1"/>
  <c r="Z1339" i="1"/>
  <c r="Y1339" i="1"/>
  <c r="W1339" i="1" s="1"/>
  <c r="X1339" i="1"/>
  <c r="U1339" i="1"/>
  <c r="AC1338" i="1"/>
  <c r="AB1338" i="1"/>
  <c r="AA1338" i="1"/>
  <c r="Z1338" i="1"/>
  <c r="Y1338" i="1"/>
  <c r="W1338" i="1" s="1"/>
  <c r="X1338" i="1"/>
  <c r="U1338" i="1"/>
  <c r="AC1337" i="1"/>
  <c r="AB1337" i="1"/>
  <c r="AA1337" i="1"/>
  <c r="Z1337" i="1"/>
  <c r="Y1337" i="1"/>
  <c r="W1337" i="1" s="1"/>
  <c r="X1337" i="1"/>
  <c r="U1337" i="1"/>
  <c r="AC1336" i="1"/>
  <c r="AB1336" i="1"/>
  <c r="AA1336" i="1"/>
  <c r="Z1336" i="1"/>
  <c r="Y1336" i="1"/>
  <c r="W1336" i="1" s="1"/>
  <c r="X1336" i="1"/>
  <c r="U1336" i="1"/>
  <c r="AC1335" i="1"/>
  <c r="AB1335" i="1"/>
  <c r="AA1335" i="1"/>
  <c r="Z1335" i="1"/>
  <c r="Y1335" i="1"/>
  <c r="W1335" i="1" s="1"/>
  <c r="X1335" i="1"/>
  <c r="U1335" i="1"/>
  <c r="AC1334" i="1"/>
  <c r="AB1334" i="1"/>
  <c r="AA1334" i="1"/>
  <c r="Z1334" i="1"/>
  <c r="Y1334" i="1"/>
  <c r="W1334" i="1" s="1"/>
  <c r="X1334" i="1"/>
  <c r="U1334" i="1"/>
  <c r="AC1333" i="1"/>
  <c r="AB1333" i="1"/>
  <c r="AA1333" i="1"/>
  <c r="Z1333" i="1"/>
  <c r="Y1333" i="1"/>
  <c r="W1333" i="1" s="1"/>
  <c r="X1333" i="1"/>
  <c r="U1333" i="1"/>
  <c r="AC1332" i="1"/>
  <c r="AB1332" i="1"/>
  <c r="AA1332" i="1"/>
  <c r="Z1332" i="1"/>
  <c r="Y1332" i="1"/>
  <c r="W1332" i="1" s="1"/>
  <c r="X1332" i="1"/>
  <c r="U1332" i="1"/>
  <c r="AC1331" i="1"/>
  <c r="AB1331" i="1"/>
  <c r="AA1331" i="1"/>
  <c r="Z1331" i="1"/>
  <c r="Y1331" i="1"/>
  <c r="W1331" i="1" s="1"/>
  <c r="X1331" i="1"/>
  <c r="U1331" i="1"/>
  <c r="AC1330" i="1"/>
  <c r="AB1330" i="1"/>
  <c r="AA1330" i="1"/>
  <c r="Z1330" i="1"/>
  <c r="Y1330" i="1"/>
  <c r="W1330" i="1" s="1"/>
  <c r="X1330" i="1"/>
  <c r="U1330" i="1"/>
  <c r="AC1329" i="1"/>
  <c r="AB1329" i="1"/>
  <c r="AA1329" i="1"/>
  <c r="Z1329" i="1"/>
  <c r="Y1329" i="1"/>
  <c r="W1329" i="1" s="1"/>
  <c r="X1329" i="1"/>
  <c r="U1329" i="1"/>
  <c r="AC1328" i="1"/>
  <c r="AB1328" i="1"/>
  <c r="AA1328" i="1"/>
  <c r="Z1328" i="1"/>
  <c r="Y1328" i="1"/>
  <c r="W1328" i="1" s="1"/>
  <c r="X1328" i="1"/>
  <c r="U1328" i="1"/>
  <c r="AC1327" i="1"/>
  <c r="AB1327" i="1"/>
  <c r="AA1327" i="1"/>
  <c r="Z1327" i="1"/>
  <c r="Y1327" i="1"/>
  <c r="W1327" i="1" s="1"/>
  <c r="X1327" i="1"/>
  <c r="U1327" i="1"/>
  <c r="AC1326" i="1"/>
  <c r="AB1326" i="1"/>
  <c r="AA1326" i="1"/>
  <c r="Z1326" i="1"/>
  <c r="Y1326" i="1"/>
  <c r="W1326" i="1" s="1"/>
  <c r="X1326" i="1"/>
  <c r="U1326" i="1"/>
  <c r="AC1325" i="1"/>
  <c r="AB1325" i="1"/>
  <c r="AA1325" i="1"/>
  <c r="Z1325" i="1"/>
  <c r="Y1325" i="1"/>
  <c r="W1325" i="1" s="1"/>
  <c r="X1325" i="1"/>
  <c r="U1325" i="1"/>
  <c r="AC1324" i="1"/>
  <c r="AB1324" i="1"/>
  <c r="AA1324" i="1"/>
  <c r="Z1324" i="1"/>
  <c r="Y1324" i="1"/>
  <c r="W1324" i="1" s="1"/>
  <c r="X1324" i="1"/>
  <c r="U1324" i="1"/>
  <c r="AC1323" i="1"/>
  <c r="AB1323" i="1"/>
  <c r="AA1323" i="1"/>
  <c r="Z1323" i="1"/>
  <c r="Y1323" i="1"/>
  <c r="W1323" i="1" s="1"/>
  <c r="X1323" i="1"/>
  <c r="U1323" i="1"/>
  <c r="AC1322" i="1"/>
  <c r="AB1322" i="1"/>
  <c r="AA1322" i="1"/>
  <c r="Z1322" i="1"/>
  <c r="Y1322" i="1"/>
  <c r="W1322" i="1" s="1"/>
  <c r="X1322" i="1"/>
  <c r="U1322" i="1"/>
  <c r="AC1321" i="1"/>
  <c r="AB1321" i="1"/>
  <c r="AA1321" i="1"/>
  <c r="Z1321" i="1"/>
  <c r="Y1321" i="1"/>
  <c r="W1321" i="1" s="1"/>
  <c r="X1321" i="1"/>
  <c r="U1321" i="1"/>
  <c r="AC1320" i="1"/>
  <c r="AB1320" i="1"/>
  <c r="AA1320" i="1"/>
  <c r="Z1320" i="1"/>
  <c r="Y1320" i="1"/>
  <c r="W1320" i="1" s="1"/>
  <c r="X1320" i="1"/>
  <c r="U1320" i="1"/>
  <c r="AC1319" i="1"/>
  <c r="AB1319" i="1"/>
  <c r="AA1319" i="1"/>
  <c r="Z1319" i="1"/>
  <c r="Y1319" i="1"/>
  <c r="W1319" i="1" s="1"/>
  <c r="X1319" i="1"/>
  <c r="U1319" i="1"/>
  <c r="AC1318" i="1"/>
  <c r="AB1318" i="1"/>
  <c r="AA1318" i="1"/>
  <c r="Z1318" i="1"/>
  <c r="Y1318" i="1"/>
  <c r="W1318" i="1" s="1"/>
  <c r="X1318" i="1"/>
  <c r="U1318" i="1"/>
  <c r="AC1317" i="1"/>
  <c r="AB1317" i="1"/>
  <c r="AA1317" i="1"/>
  <c r="Z1317" i="1"/>
  <c r="Y1317" i="1"/>
  <c r="W1317" i="1" s="1"/>
  <c r="X1317" i="1"/>
  <c r="U1317" i="1"/>
  <c r="AC1316" i="1"/>
  <c r="AB1316" i="1"/>
  <c r="AA1316" i="1"/>
  <c r="Z1316" i="1"/>
  <c r="Y1316" i="1"/>
  <c r="W1316" i="1" s="1"/>
  <c r="X1316" i="1"/>
  <c r="U1316" i="1"/>
  <c r="AC1315" i="1"/>
  <c r="AB1315" i="1"/>
  <c r="AA1315" i="1"/>
  <c r="Z1315" i="1"/>
  <c r="Y1315" i="1"/>
  <c r="W1315" i="1" s="1"/>
  <c r="X1315" i="1"/>
  <c r="U1315" i="1"/>
  <c r="AC1314" i="1"/>
  <c r="AB1314" i="1"/>
  <c r="AA1314" i="1"/>
  <c r="Z1314" i="1"/>
  <c r="Y1314" i="1"/>
  <c r="W1314" i="1" s="1"/>
  <c r="X1314" i="1"/>
  <c r="U1314" i="1"/>
  <c r="AC1313" i="1"/>
  <c r="AB1313" i="1"/>
  <c r="AA1313" i="1"/>
  <c r="Z1313" i="1"/>
  <c r="Y1313" i="1"/>
  <c r="W1313" i="1" s="1"/>
  <c r="X1313" i="1"/>
  <c r="U1313" i="1"/>
  <c r="AC1312" i="1"/>
  <c r="AB1312" i="1"/>
  <c r="AA1312" i="1"/>
  <c r="Z1312" i="1"/>
  <c r="Y1312" i="1"/>
  <c r="W1312" i="1" s="1"/>
  <c r="X1312" i="1"/>
  <c r="U1312" i="1"/>
  <c r="AC1311" i="1"/>
  <c r="AB1311" i="1"/>
  <c r="AA1311" i="1"/>
  <c r="Z1311" i="1"/>
  <c r="Y1311" i="1"/>
  <c r="W1311" i="1" s="1"/>
  <c r="X1311" i="1"/>
  <c r="U1311" i="1"/>
  <c r="AC1310" i="1"/>
  <c r="AB1310" i="1"/>
  <c r="AA1310" i="1"/>
  <c r="Z1310" i="1"/>
  <c r="Y1310" i="1"/>
  <c r="W1310" i="1" s="1"/>
  <c r="X1310" i="1"/>
  <c r="U1310" i="1"/>
  <c r="AC1309" i="1"/>
  <c r="AB1309" i="1"/>
  <c r="AA1309" i="1"/>
  <c r="Z1309" i="1"/>
  <c r="Y1309" i="1"/>
  <c r="W1309" i="1" s="1"/>
  <c r="X1309" i="1"/>
  <c r="U1309" i="1"/>
  <c r="AC1308" i="1"/>
  <c r="AB1308" i="1"/>
  <c r="AA1308" i="1"/>
  <c r="Z1308" i="1"/>
  <c r="Y1308" i="1"/>
  <c r="W1308" i="1" s="1"/>
  <c r="X1308" i="1"/>
  <c r="U1308" i="1"/>
  <c r="AC1307" i="1"/>
  <c r="AB1307" i="1"/>
  <c r="AA1307" i="1"/>
  <c r="Z1307" i="1"/>
  <c r="Y1307" i="1"/>
  <c r="W1307" i="1" s="1"/>
  <c r="X1307" i="1"/>
  <c r="U1307" i="1"/>
  <c r="AC1306" i="1"/>
  <c r="AB1306" i="1"/>
  <c r="AA1306" i="1"/>
  <c r="Z1306" i="1"/>
  <c r="Y1306" i="1"/>
  <c r="W1306" i="1" s="1"/>
  <c r="X1306" i="1"/>
  <c r="U1306" i="1"/>
  <c r="AC1305" i="1"/>
  <c r="AB1305" i="1"/>
  <c r="AA1305" i="1"/>
  <c r="Z1305" i="1"/>
  <c r="Y1305" i="1"/>
  <c r="W1305" i="1" s="1"/>
  <c r="X1305" i="1"/>
  <c r="U1305" i="1"/>
  <c r="AC1304" i="1"/>
  <c r="AB1304" i="1"/>
  <c r="AA1304" i="1"/>
  <c r="Z1304" i="1"/>
  <c r="Y1304" i="1"/>
  <c r="W1304" i="1" s="1"/>
  <c r="X1304" i="1"/>
  <c r="U1304" i="1"/>
  <c r="AC1303" i="1"/>
  <c r="AB1303" i="1"/>
  <c r="AA1303" i="1"/>
  <c r="Z1303" i="1"/>
  <c r="Y1303" i="1"/>
  <c r="W1303" i="1" s="1"/>
  <c r="X1303" i="1"/>
  <c r="U1303" i="1"/>
  <c r="AC1302" i="1"/>
  <c r="AB1302" i="1"/>
  <c r="AA1302" i="1"/>
  <c r="Z1302" i="1"/>
  <c r="Y1302" i="1"/>
  <c r="W1302" i="1" s="1"/>
  <c r="X1302" i="1"/>
  <c r="U1302" i="1"/>
  <c r="AC1301" i="1"/>
  <c r="AB1301" i="1"/>
  <c r="AA1301" i="1"/>
  <c r="Z1301" i="1"/>
  <c r="Y1301" i="1"/>
  <c r="W1301" i="1" s="1"/>
  <c r="X1301" i="1"/>
  <c r="U1301" i="1"/>
  <c r="AC1300" i="1"/>
  <c r="AB1300" i="1"/>
  <c r="AA1300" i="1"/>
  <c r="Z1300" i="1"/>
  <c r="Y1300" i="1"/>
  <c r="W1300" i="1" s="1"/>
  <c r="X1300" i="1"/>
  <c r="U1300" i="1"/>
  <c r="AC1299" i="1"/>
  <c r="AB1299" i="1"/>
  <c r="AA1299" i="1"/>
  <c r="Z1299" i="1"/>
  <c r="Y1299" i="1"/>
  <c r="W1299" i="1" s="1"/>
  <c r="X1299" i="1"/>
  <c r="U1299" i="1"/>
  <c r="AC1298" i="1"/>
  <c r="AB1298" i="1"/>
  <c r="AA1298" i="1"/>
  <c r="Z1298" i="1"/>
  <c r="Y1298" i="1"/>
  <c r="W1298" i="1" s="1"/>
  <c r="X1298" i="1"/>
  <c r="U1298" i="1"/>
  <c r="AC1297" i="1"/>
  <c r="AB1297" i="1"/>
  <c r="AA1297" i="1"/>
  <c r="Z1297" i="1"/>
  <c r="Y1297" i="1"/>
  <c r="W1297" i="1" s="1"/>
  <c r="X1297" i="1"/>
  <c r="U1297" i="1"/>
  <c r="AC1296" i="1"/>
  <c r="AB1296" i="1"/>
  <c r="AA1296" i="1"/>
  <c r="Z1296" i="1"/>
  <c r="Y1296" i="1"/>
  <c r="W1296" i="1" s="1"/>
  <c r="X1296" i="1"/>
  <c r="U1296" i="1"/>
  <c r="AC1295" i="1"/>
  <c r="AB1295" i="1"/>
  <c r="AA1295" i="1"/>
  <c r="Z1295" i="1"/>
  <c r="Y1295" i="1"/>
  <c r="W1295" i="1" s="1"/>
  <c r="X1295" i="1"/>
  <c r="U1295" i="1"/>
  <c r="AC1294" i="1"/>
  <c r="AB1294" i="1"/>
  <c r="AA1294" i="1"/>
  <c r="Z1294" i="1"/>
  <c r="Y1294" i="1"/>
  <c r="W1294" i="1" s="1"/>
  <c r="X1294" i="1"/>
  <c r="U1294" i="1"/>
  <c r="AC1293" i="1"/>
  <c r="AB1293" i="1"/>
  <c r="AA1293" i="1"/>
  <c r="Z1293" i="1"/>
  <c r="Y1293" i="1"/>
  <c r="W1293" i="1" s="1"/>
  <c r="X1293" i="1"/>
  <c r="U1293" i="1"/>
  <c r="AC1292" i="1"/>
  <c r="AB1292" i="1"/>
  <c r="AA1292" i="1"/>
  <c r="Z1292" i="1"/>
  <c r="Y1292" i="1"/>
  <c r="W1292" i="1" s="1"/>
  <c r="X1292" i="1"/>
  <c r="U1292" i="1"/>
  <c r="AC1291" i="1"/>
  <c r="AB1291" i="1"/>
  <c r="AA1291" i="1"/>
  <c r="Z1291" i="1"/>
  <c r="Y1291" i="1"/>
  <c r="W1291" i="1" s="1"/>
  <c r="X1291" i="1"/>
  <c r="U1291" i="1"/>
  <c r="AC1290" i="1"/>
  <c r="AB1290" i="1"/>
  <c r="AA1290" i="1"/>
  <c r="Z1290" i="1"/>
  <c r="Y1290" i="1"/>
  <c r="W1290" i="1" s="1"/>
  <c r="X1290" i="1"/>
  <c r="U1290" i="1"/>
  <c r="AC1289" i="1"/>
  <c r="AB1289" i="1"/>
  <c r="AA1289" i="1"/>
  <c r="Z1289" i="1"/>
  <c r="Y1289" i="1"/>
  <c r="W1289" i="1" s="1"/>
  <c r="X1289" i="1"/>
  <c r="U1289" i="1"/>
  <c r="AC1288" i="1"/>
  <c r="AB1288" i="1"/>
  <c r="AA1288" i="1"/>
  <c r="Z1288" i="1"/>
  <c r="Y1288" i="1"/>
  <c r="W1288" i="1" s="1"/>
  <c r="X1288" i="1"/>
  <c r="U1288" i="1"/>
  <c r="AC1287" i="1"/>
  <c r="AB1287" i="1"/>
  <c r="AA1287" i="1"/>
  <c r="Z1287" i="1"/>
  <c r="Y1287" i="1"/>
  <c r="W1287" i="1" s="1"/>
  <c r="X1287" i="1"/>
  <c r="U1287" i="1"/>
  <c r="AC1286" i="1"/>
  <c r="AB1286" i="1"/>
  <c r="AA1286" i="1"/>
  <c r="Z1286" i="1"/>
  <c r="Y1286" i="1"/>
  <c r="W1286" i="1" s="1"/>
  <c r="X1286" i="1"/>
  <c r="U1286" i="1"/>
  <c r="AC1285" i="1"/>
  <c r="AB1285" i="1"/>
  <c r="AA1285" i="1"/>
  <c r="Z1285" i="1"/>
  <c r="Y1285" i="1"/>
  <c r="W1285" i="1" s="1"/>
  <c r="X1285" i="1"/>
  <c r="U1285" i="1"/>
  <c r="AC1284" i="1"/>
  <c r="AB1284" i="1"/>
  <c r="AA1284" i="1"/>
  <c r="Z1284" i="1"/>
  <c r="Y1284" i="1"/>
  <c r="W1284" i="1" s="1"/>
  <c r="X1284" i="1"/>
  <c r="U1284" i="1"/>
  <c r="AC1283" i="1"/>
  <c r="AB1283" i="1"/>
  <c r="AA1283" i="1"/>
  <c r="Z1283" i="1"/>
  <c r="Y1283" i="1"/>
  <c r="W1283" i="1" s="1"/>
  <c r="X1283" i="1"/>
  <c r="U1283" i="1"/>
  <c r="AC1282" i="1"/>
  <c r="AB1282" i="1"/>
  <c r="AA1282" i="1"/>
  <c r="Z1282" i="1"/>
  <c r="Y1282" i="1"/>
  <c r="W1282" i="1" s="1"/>
  <c r="X1282" i="1"/>
  <c r="U1282" i="1"/>
  <c r="AC1281" i="1"/>
  <c r="AB1281" i="1"/>
  <c r="AA1281" i="1"/>
  <c r="Z1281" i="1"/>
  <c r="Y1281" i="1"/>
  <c r="W1281" i="1" s="1"/>
  <c r="X1281" i="1"/>
  <c r="U1281" i="1"/>
  <c r="AC1280" i="1"/>
  <c r="AB1280" i="1"/>
  <c r="AA1280" i="1"/>
  <c r="Z1280" i="1"/>
  <c r="Y1280" i="1"/>
  <c r="W1280" i="1" s="1"/>
  <c r="X1280" i="1"/>
  <c r="U1280" i="1"/>
  <c r="AC1279" i="1"/>
  <c r="AB1279" i="1"/>
  <c r="AA1279" i="1"/>
  <c r="Z1279" i="1"/>
  <c r="Y1279" i="1"/>
  <c r="W1279" i="1" s="1"/>
  <c r="X1279" i="1"/>
  <c r="U1279" i="1"/>
  <c r="AC1278" i="1"/>
  <c r="AB1278" i="1"/>
  <c r="AA1278" i="1"/>
  <c r="Z1278" i="1"/>
  <c r="Y1278" i="1"/>
  <c r="W1278" i="1" s="1"/>
  <c r="X1278" i="1"/>
  <c r="U1278" i="1"/>
  <c r="AC1277" i="1"/>
  <c r="AB1277" i="1"/>
  <c r="AA1277" i="1"/>
  <c r="Z1277" i="1"/>
  <c r="Y1277" i="1"/>
  <c r="W1277" i="1" s="1"/>
  <c r="X1277" i="1"/>
  <c r="U1277" i="1"/>
  <c r="AC1276" i="1"/>
  <c r="AB1276" i="1"/>
  <c r="AA1276" i="1"/>
  <c r="Z1276" i="1"/>
  <c r="Y1276" i="1"/>
  <c r="W1276" i="1" s="1"/>
  <c r="X1276" i="1"/>
  <c r="U1276" i="1"/>
  <c r="AC1275" i="1"/>
  <c r="AB1275" i="1"/>
  <c r="AA1275" i="1"/>
  <c r="Z1275" i="1"/>
  <c r="Y1275" i="1"/>
  <c r="W1275" i="1" s="1"/>
  <c r="X1275" i="1"/>
  <c r="U1275" i="1"/>
  <c r="AC1274" i="1"/>
  <c r="AB1274" i="1"/>
  <c r="AA1274" i="1"/>
  <c r="Z1274" i="1"/>
  <c r="Y1274" i="1"/>
  <c r="W1274" i="1" s="1"/>
  <c r="X1274" i="1"/>
  <c r="U1274" i="1"/>
  <c r="AC1273" i="1"/>
  <c r="AB1273" i="1"/>
  <c r="AA1273" i="1"/>
  <c r="Z1273" i="1"/>
  <c r="Y1273" i="1"/>
  <c r="W1273" i="1" s="1"/>
  <c r="X1273" i="1"/>
  <c r="U1273" i="1"/>
  <c r="AC1272" i="1"/>
  <c r="AB1272" i="1"/>
  <c r="AA1272" i="1"/>
  <c r="Z1272" i="1"/>
  <c r="Y1272" i="1"/>
  <c r="W1272" i="1" s="1"/>
  <c r="X1272" i="1"/>
  <c r="U1272" i="1"/>
  <c r="AC1271" i="1"/>
  <c r="AB1271" i="1"/>
  <c r="AA1271" i="1"/>
  <c r="Z1271" i="1"/>
  <c r="Y1271" i="1"/>
  <c r="W1271" i="1" s="1"/>
  <c r="X1271" i="1"/>
  <c r="U1271" i="1"/>
  <c r="AC1270" i="1"/>
  <c r="AB1270" i="1"/>
  <c r="AA1270" i="1"/>
  <c r="Z1270" i="1"/>
  <c r="Y1270" i="1"/>
  <c r="W1270" i="1" s="1"/>
  <c r="X1270" i="1"/>
  <c r="U1270" i="1"/>
  <c r="AC1269" i="1"/>
  <c r="AB1269" i="1"/>
  <c r="AA1269" i="1"/>
  <c r="Z1269" i="1"/>
  <c r="Y1269" i="1"/>
  <c r="W1269" i="1" s="1"/>
  <c r="X1269" i="1"/>
  <c r="U1269" i="1"/>
  <c r="AC1268" i="1"/>
  <c r="AB1268" i="1"/>
  <c r="AA1268" i="1"/>
  <c r="Z1268" i="1"/>
  <c r="Y1268" i="1"/>
  <c r="W1268" i="1" s="1"/>
  <c r="X1268" i="1"/>
  <c r="U1268" i="1"/>
  <c r="AC1267" i="1"/>
  <c r="AB1267" i="1"/>
  <c r="AA1267" i="1"/>
  <c r="Z1267" i="1"/>
  <c r="Y1267" i="1"/>
  <c r="W1267" i="1" s="1"/>
  <c r="X1267" i="1"/>
  <c r="U1267" i="1"/>
  <c r="AC1266" i="1"/>
  <c r="AB1266" i="1"/>
  <c r="AA1266" i="1"/>
  <c r="Z1266" i="1"/>
  <c r="Y1266" i="1"/>
  <c r="W1266" i="1" s="1"/>
  <c r="X1266" i="1"/>
  <c r="U1266" i="1"/>
  <c r="AC1265" i="1"/>
  <c r="AB1265" i="1"/>
  <c r="AA1265" i="1"/>
  <c r="Z1265" i="1"/>
  <c r="Y1265" i="1"/>
  <c r="W1265" i="1" s="1"/>
  <c r="X1265" i="1"/>
  <c r="U1265" i="1"/>
  <c r="AC1264" i="1"/>
  <c r="AB1264" i="1"/>
  <c r="AA1264" i="1"/>
  <c r="Z1264" i="1"/>
  <c r="Y1264" i="1"/>
  <c r="W1264" i="1" s="1"/>
  <c r="X1264" i="1"/>
  <c r="U1264" i="1"/>
  <c r="AC1263" i="1"/>
  <c r="AB1263" i="1"/>
  <c r="AA1263" i="1"/>
  <c r="Z1263" i="1"/>
  <c r="Y1263" i="1"/>
  <c r="W1263" i="1" s="1"/>
  <c r="X1263" i="1"/>
  <c r="U1263" i="1"/>
  <c r="AC1262" i="1"/>
  <c r="AB1262" i="1"/>
  <c r="AA1262" i="1"/>
  <c r="Z1262" i="1"/>
  <c r="Y1262" i="1"/>
  <c r="W1262" i="1" s="1"/>
  <c r="X1262" i="1"/>
  <c r="U1262" i="1"/>
  <c r="AC1261" i="1"/>
  <c r="AB1261" i="1"/>
  <c r="AA1261" i="1"/>
  <c r="Z1261" i="1"/>
  <c r="Y1261" i="1"/>
  <c r="W1261" i="1" s="1"/>
  <c r="X1261" i="1"/>
  <c r="U1261" i="1"/>
  <c r="AC1260" i="1"/>
  <c r="AB1260" i="1"/>
  <c r="AA1260" i="1"/>
  <c r="Z1260" i="1"/>
  <c r="Y1260" i="1"/>
  <c r="W1260" i="1" s="1"/>
  <c r="X1260" i="1"/>
  <c r="U1260" i="1"/>
  <c r="AC1259" i="1"/>
  <c r="AB1259" i="1"/>
  <c r="AA1259" i="1"/>
  <c r="Z1259" i="1"/>
  <c r="Y1259" i="1"/>
  <c r="W1259" i="1" s="1"/>
  <c r="X1259" i="1"/>
  <c r="U1259" i="1"/>
  <c r="AC1258" i="1"/>
  <c r="AB1258" i="1"/>
  <c r="AA1258" i="1"/>
  <c r="Z1258" i="1"/>
  <c r="Y1258" i="1"/>
  <c r="W1258" i="1" s="1"/>
  <c r="X1258" i="1"/>
  <c r="U1258" i="1"/>
  <c r="AC1257" i="1"/>
  <c r="AB1257" i="1"/>
  <c r="AA1257" i="1"/>
  <c r="Z1257" i="1"/>
  <c r="Y1257" i="1"/>
  <c r="W1257" i="1" s="1"/>
  <c r="X1257" i="1"/>
  <c r="U1257" i="1"/>
  <c r="AC1256" i="1"/>
  <c r="AB1256" i="1"/>
  <c r="AA1256" i="1"/>
  <c r="Z1256" i="1"/>
  <c r="Y1256" i="1"/>
  <c r="W1256" i="1" s="1"/>
  <c r="X1256" i="1"/>
  <c r="U1256" i="1"/>
  <c r="AC1255" i="1"/>
  <c r="AB1255" i="1"/>
  <c r="AA1255" i="1"/>
  <c r="Z1255" i="1"/>
  <c r="Y1255" i="1"/>
  <c r="W1255" i="1" s="1"/>
  <c r="X1255" i="1"/>
  <c r="U1255" i="1"/>
  <c r="AC1254" i="1"/>
  <c r="AB1254" i="1"/>
  <c r="AA1254" i="1"/>
  <c r="Z1254" i="1"/>
  <c r="Y1254" i="1"/>
  <c r="W1254" i="1" s="1"/>
  <c r="X1254" i="1"/>
  <c r="U1254" i="1"/>
  <c r="AC1253" i="1"/>
  <c r="AB1253" i="1"/>
  <c r="AA1253" i="1"/>
  <c r="Z1253" i="1"/>
  <c r="Y1253" i="1"/>
  <c r="W1253" i="1" s="1"/>
  <c r="X1253" i="1"/>
  <c r="U1253" i="1"/>
  <c r="AC1252" i="1"/>
  <c r="AB1252" i="1"/>
  <c r="AA1252" i="1"/>
  <c r="Z1252" i="1"/>
  <c r="Y1252" i="1"/>
  <c r="W1252" i="1" s="1"/>
  <c r="X1252" i="1"/>
  <c r="U1252" i="1"/>
  <c r="AC1251" i="1"/>
  <c r="AB1251" i="1"/>
  <c r="AA1251" i="1"/>
  <c r="Z1251" i="1"/>
  <c r="Y1251" i="1"/>
  <c r="W1251" i="1" s="1"/>
  <c r="X1251" i="1"/>
  <c r="U1251" i="1"/>
  <c r="AC1250" i="1"/>
  <c r="AB1250" i="1"/>
  <c r="AA1250" i="1"/>
  <c r="Z1250" i="1"/>
  <c r="Y1250" i="1"/>
  <c r="W1250" i="1" s="1"/>
  <c r="X1250" i="1"/>
  <c r="U1250" i="1"/>
  <c r="AC1249" i="1"/>
  <c r="AB1249" i="1"/>
  <c r="AA1249" i="1"/>
  <c r="Z1249" i="1"/>
  <c r="Y1249" i="1"/>
  <c r="W1249" i="1" s="1"/>
  <c r="X1249" i="1"/>
  <c r="U1249" i="1"/>
  <c r="AC1248" i="1"/>
  <c r="AB1248" i="1"/>
  <c r="AA1248" i="1"/>
  <c r="Z1248" i="1"/>
  <c r="Y1248" i="1"/>
  <c r="W1248" i="1" s="1"/>
  <c r="X1248" i="1"/>
  <c r="U1248" i="1"/>
  <c r="AC1247" i="1"/>
  <c r="AB1247" i="1"/>
  <c r="AA1247" i="1"/>
  <c r="Z1247" i="1"/>
  <c r="Y1247" i="1"/>
  <c r="W1247" i="1" s="1"/>
  <c r="X1247" i="1"/>
  <c r="U1247" i="1"/>
  <c r="AC1246" i="1"/>
  <c r="AB1246" i="1"/>
  <c r="AA1246" i="1"/>
  <c r="Z1246" i="1"/>
  <c r="Y1246" i="1"/>
  <c r="W1246" i="1" s="1"/>
  <c r="X1246" i="1"/>
  <c r="U1246" i="1"/>
  <c r="AC1245" i="1"/>
  <c r="AB1245" i="1"/>
  <c r="AA1245" i="1"/>
  <c r="Z1245" i="1"/>
  <c r="Y1245" i="1"/>
  <c r="W1245" i="1" s="1"/>
  <c r="X1245" i="1"/>
  <c r="U1245" i="1"/>
  <c r="AC1244" i="1"/>
  <c r="AB1244" i="1"/>
  <c r="AA1244" i="1"/>
  <c r="Z1244" i="1"/>
  <c r="Y1244" i="1"/>
  <c r="W1244" i="1" s="1"/>
  <c r="X1244" i="1"/>
  <c r="U1244" i="1"/>
  <c r="AC1243" i="1"/>
  <c r="AB1243" i="1"/>
  <c r="AA1243" i="1"/>
  <c r="Z1243" i="1"/>
  <c r="Y1243" i="1"/>
  <c r="W1243" i="1" s="1"/>
  <c r="X1243" i="1"/>
  <c r="U1243" i="1"/>
  <c r="AC1242" i="1"/>
  <c r="AB1242" i="1"/>
  <c r="AA1242" i="1"/>
  <c r="Z1242" i="1"/>
  <c r="Y1242" i="1"/>
  <c r="W1242" i="1" s="1"/>
  <c r="X1242" i="1"/>
  <c r="U1242" i="1"/>
  <c r="AC1241" i="1"/>
  <c r="AB1241" i="1"/>
  <c r="AA1241" i="1"/>
  <c r="Z1241" i="1"/>
  <c r="Y1241" i="1"/>
  <c r="W1241" i="1" s="1"/>
  <c r="X1241" i="1"/>
  <c r="U1241" i="1"/>
  <c r="AC1240" i="1"/>
  <c r="AB1240" i="1"/>
  <c r="AA1240" i="1"/>
  <c r="Z1240" i="1"/>
  <c r="Y1240" i="1"/>
  <c r="W1240" i="1" s="1"/>
  <c r="X1240" i="1"/>
  <c r="U1240" i="1"/>
  <c r="AC1239" i="1"/>
  <c r="AB1239" i="1"/>
  <c r="AA1239" i="1"/>
  <c r="Z1239" i="1"/>
  <c r="Y1239" i="1"/>
  <c r="W1239" i="1" s="1"/>
  <c r="X1239" i="1"/>
  <c r="U1239" i="1"/>
  <c r="AC1238" i="1"/>
  <c r="AB1238" i="1"/>
  <c r="AA1238" i="1"/>
  <c r="Z1238" i="1"/>
  <c r="Y1238" i="1"/>
  <c r="W1238" i="1" s="1"/>
  <c r="X1238" i="1"/>
  <c r="U1238" i="1"/>
  <c r="AC1237" i="1"/>
  <c r="AB1237" i="1"/>
  <c r="AA1237" i="1"/>
  <c r="Z1237" i="1"/>
  <c r="Y1237" i="1"/>
  <c r="W1237" i="1" s="1"/>
  <c r="X1237" i="1"/>
  <c r="U1237" i="1"/>
  <c r="AC1236" i="1"/>
  <c r="AB1236" i="1"/>
  <c r="AA1236" i="1"/>
  <c r="Z1236" i="1"/>
  <c r="Y1236" i="1"/>
  <c r="W1236" i="1" s="1"/>
  <c r="X1236" i="1"/>
  <c r="U1236" i="1"/>
  <c r="AC1235" i="1"/>
  <c r="AB1235" i="1"/>
  <c r="AA1235" i="1"/>
  <c r="Z1235" i="1"/>
  <c r="Y1235" i="1"/>
  <c r="W1235" i="1" s="1"/>
  <c r="X1235" i="1"/>
  <c r="U1235" i="1"/>
  <c r="AC1234" i="1"/>
  <c r="AB1234" i="1"/>
  <c r="AA1234" i="1"/>
  <c r="Z1234" i="1"/>
  <c r="Y1234" i="1"/>
  <c r="W1234" i="1" s="1"/>
  <c r="X1234" i="1"/>
  <c r="U1234" i="1"/>
  <c r="AC1233" i="1"/>
  <c r="AB1233" i="1"/>
  <c r="AA1233" i="1"/>
  <c r="Z1233" i="1"/>
  <c r="Y1233" i="1"/>
  <c r="W1233" i="1" s="1"/>
  <c r="X1233" i="1"/>
  <c r="U1233" i="1"/>
  <c r="AC1232" i="1"/>
  <c r="AB1232" i="1"/>
  <c r="AA1232" i="1"/>
  <c r="Z1232" i="1"/>
  <c r="Y1232" i="1"/>
  <c r="W1232" i="1" s="1"/>
  <c r="X1232" i="1"/>
  <c r="U1232" i="1"/>
  <c r="AC1231" i="1"/>
  <c r="AB1231" i="1"/>
  <c r="AA1231" i="1"/>
  <c r="Z1231" i="1"/>
  <c r="Y1231" i="1"/>
  <c r="W1231" i="1" s="1"/>
  <c r="X1231" i="1"/>
  <c r="U1231" i="1"/>
  <c r="AC1230" i="1"/>
  <c r="AB1230" i="1"/>
  <c r="AA1230" i="1"/>
  <c r="Z1230" i="1"/>
  <c r="Y1230" i="1"/>
  <c r="W1230" i="1" s="1"/>
  <c r="X1230" i="1"/>
  <c r="U1230" i="1"/>
  <c r="AC1229" i="1"/>
  <c r="AB1229" i="1"/>
  <c r="AA1229" i="1"/>
  <c r="Z1229" i="1"/>
  <c r="Y1229" i="1"/>
  <c r="W1229" i="1" s="1"/>
  <c r="X1229" i="1"/>
  <c r="U1229" i="1"/>
  <c r="AC1228" i="1"/>
  <c r="AB1228" i="1"/>
  <c r="AA1228" i="1"/>
  <c r="Z1228" i="1"/>
  <c r="Y1228" i="1"/>
  <c r="W1228" i="1" s="1"/>
  <c r="X1228" i="1"/>
  <c r="U1228" i="1"/>
  <c r="AC1227" i="1"/>
  <c r="AB1227" i="1"/>
  <c r="AA1227" i="1"/>
  <c r="Z1227" i="1"/>
  <c r="Y1227" i="1"/>
  <c r="W1227" i="1" s="1"/>
  <c r="X1227" i="1"/>
  <c r="U1227" i="1"/>
  <c r="AC1226" i="1"/>
  <c r="AB1226" i="1"/>
  <c r="AA1226" i="1"/>
  <c r="Z1226" i="1"/>
  <c r="Y1226" i="1"/>
  <c r="W1226" i="1" s="1"/>
  <c r="X1226" i="1"/>
  <c r="U1226" i="1"/>
  <c r="AC1225" i="1"/>
  <c r="AB1225" i="1"/>
  <c r="AA1225" i="1"/>
  <c r="Z1225" i="1"/>
  <c r="Y1225" i="1"/>
  <c r="W1225" i="1" s="1"/>
  <c r="X1225" i="1"/>
  <c r="U1225" i="1"/>
  <c r="AC1224" i="1"/>
  <c r="AB1224" i="1"/>
  <c r="AA1224" i="1"/>
  <c r="Z1224" i="1"/>
  <c r="Y1224" i="1"/>
  <c r="W1224" i="1" s="1"/>
  <c r="X1224" i="1"/>
  <c r="U1224" i="1"/>
  <c r="AC1223" i="1"/>
  <c r="AB1223" i="1"/>
  <c r="AA1223" i="1"/>
  <c r="Z1223" i="1"/>
  <c r="Y1223" i="1"/>
  <c r="W1223" i="1" s="1"/>
  <c r="X1223" i="1"/>
  <c r="U1223" i="1"/>
  <c r="AC1222" i="1"/>
  <c r="AB1222" i="1"/>
  <c r="AA1222" i="1"/>
  <c r="Z1222" i="1"/>
  <c r="Y1222" i="1"/>
  <c r="W1222" i="1" s="1"/>
  <c r="X1222" i="1"/>
  <c r="U1222" i="1"/>
  <c r="AC1221" i="1"/>
  <c r="AB1221" i="1"/>
  <c r="AA1221" i="1"/>
  <c r="Z1221" i="1"/>
  <c r="Y1221" i="1"/>
  <c r="W1221" i="1" s="1"/>
  <c r="X1221" i="1"/>
  <c r="U1221" i="1"/>
  <c r="AC1220" i="1"/>
  <c r="AB1220" i="1"/>
  <c r="AA1220" i="1"/>
  <c r="Z1220" i="1"/>
  <c r="Y1220" i="1"/>
  <c r="W1220" i="1" s="1"/>
  <c r="X1220" i="1"/>
  <c r="U1220" i="1"/>
  <c r="AC1219" i="1"/>
  <c r="AB1219" i="1"/>
  <c r="AA1219" i="1"/>
  <c r="Z1219" i="1"/>
  <c r="Y1219" i="1"/>
  <c r="W1219" i="1" s="1"/>
  <c r="X1219" i="1"/>
  <c r="U1219" i="1"/>
  <c r="AC1218" i="1"/>
  <c r="AB1218" i="1"/>
  <c r="AA1218" i="1"/>
  <c r="Z1218" i="1"/>
  <c r="Y1218" i="1"/>
  <c r="W1218" i="1" s="1"/>
  <c r="X1218" i="1"/>
  <c r="U1218" i="1"/>
  <c r="AC1217" i="1"/>
  <c r="AB1217" i="1"/>
  <c r="AA1217" i="1"/>
  <c r="Z1217" i="1"/>
  <c r="Y1217" i="1"/>
  <c r="W1217" i="1" s="1"/>
  <c r="X1217" i="1"/>
  <c r="U1217" i="1"/>
  <c r="AC1216" i="1"/>
  <c r="AB1216" i="1"/>
  <c r="AA1216" i="1"/>
  <c r="Z1216" i="1"/>
  <c r="Y1216" i="1"/>
  <c r="W1216" i="1" s="1"/>
  <c r="X1216" i="1"/>
  <c r="U1216" i="1"/>
  <c r="AC1215" i="1"/>
  <c r="AB1215" i="1"/>
  <c r="AA1215" i="1"/>
  <c r="Z1215" i="1"/>
  <c r="Y1215" i="1"/>
  <c r="W1215" i="1" s="1"/>
  <c r="X1215" i="1"/>
  <c r="U1215" i="1"/>
  <c r="AC1214" i="1"/>
  <c r="AB1214" i="1"/>
  <c r="AA1214" i="1"/>
  <c r="Z1214" i="1"/>
  <c r="Y1214" i="1"/>
  <c r="W1214" i="1" s="1"/>
  <c r="X1214" i="1"/>
  <c r="U1214" i="1"/>
  <c r="AC1213" i="1"/>
  <c r="AB1213" i="1"/>
  <c r="AA1213" i="1"/>
  <c r="Z1213" i="1"/>
  <c r="Y1213" i="1"/>
  <c r="W1213" i="1" s="1"/>
  <c r="X1213" i="1"/>
  <c r="U1213" i="1"/>
  <c r="AC1212" i="1"/>
  <c r="AB1212" i="1"/>
  <c r="AA1212" i="1"/>
  <c r="Z1212" i="1"/>
  <c r="Y1212" i="1"/>
  <c r="W1212" i="1" s="1"/>
  <c r="X1212" i="1"/>
  <c r="U1212" i="1"/>
  <c r="AC1211" i="1"/>
  <c r="AB1211" i="1"/>
  <c r="AA1211" i="1"/>
  <c r="Z1211" i="1"/>
  <c r="Y1211" i="1"/>
  <c r="W1211" i="1" s="1"/>
  <c r="X1211" i="1"/>
  <c r="U1211" i="1"/>
  <c r="AC1210" i="1"/>
  <c r="AB1210" i="1"/>
  <c r="AA1210" i="1"/>
  <c r="Z1210" i="1"/>
  <c r="Y1210" i="1"/>
  <c r="W1210" i="1" s="1"/>
  <c r="X1210" i="1"/>
  <c r="U1210" i="1"/>
  <c r="AC1209" i="1"/>
  <c r="AB1209" i="1"/>
  <c r="AA1209" i="1"/>
  <c r="Z1209" i="1"/>
  <c r="Y1209" i="1"/>
  <c r="W1209" i="1" s="1"/>
  <c r="X1209" i="1"/>
  <c r="U1209" i="1"/>
  <c r="AC1208" i="1"/>
  <c r="AB1208" i="1"/>
  <c r="AA1208" i="1"/>
  <c r="Z1208" i="1"/>
  <c r="Y1208" i="1"/>
  <c r="W1208" i="1" s="1"/>
  <c r="X1208" i="1"/>
  <c r="U1208" i="1"/>
  <c r="AC1207" i="1"/>
  <c r="AB1207" i="1"/>
  <c r="AA1207" i="1"/>
  <c r="Z1207" i="1"/>
  <c r="Y1207" i="1"/>
  <c r="W1207" i="1" s="1"/>
  <c r="X1207" i="1"/>
  <c r="U1207" i="1"/>
  <c r="AC1206" i="1"/>
  <c r="AB1206" i="1"/>
  <c r="AA1206" i="1"/>
  <c r="Z1206" i="1"/>
  <c r="Y1206" i="1"/>
  <c r="W1206" i="1" s="1"/>
  <c r="X1206" i="1"/>
  <c r="U1206" i="1"/>
  <c r="AC1205" i="1"/>
  <c r="AB1205" i="1"/>
  <c r="AA1205" i="1"/>
  <c r="Z1205" i="1"/>
  <c r="Y1205" i="1"/>
  <c r="W1205" i="1" s="1"/>
  <c r="X1205" i="1"/>
  <c r="U1205" i="1"/>
  <c r="AC1204" i="1"/>
  <c r="AB1204" i="1"/>
  <c r="AA1204" i="1"/>
  <c r="Z1204" i="1"/>
  <c r="Y1204" i="1"/>
  <c r="W1204" i="1" s="1"/>
  <c r="X1204" i="1"/>
  <c r="U1204" i="1"/>
  <c r="AC1203" i="1"/>
  <c r="AB1203" i="1"/>
  <c r="AA1203" i="1"/>
  <c r="Z1203" i="1"/>
  <c r="Y1203" i="1"/>
  <c r="W1203" i="1" s="1"/>
  <c r="X1203" i="1"/>
  <c r="U1203" i="1"/>
  <c r="AC1202" i="1"/>
  <c r="AB1202" i="1"/>
  <c r="AA1202" i="1"/>
  <c r="Z1202" i="1"/>
  <c r="Y1202" i="1"/>
  <c r="W1202" i="1" s="1"/>
  <c r="X1202" i="1"/>
  <c r="U1202" i="1"/>
  <c r="AC1201" i="1"/>
  <c r="AB1201" i="1"/>
  <c r="AA1201" i="1"/>
  <c r="Z1201" i="1"/>
  <c r="Y1201" i="1"/>
  <c r="W1201" i="1" s="1"/>
  <c r="X1201" i="1"/>
  <c r="U1201" i="1"/>
  <c r="AC1200" i="1"/>
  <c r="AB1200" i="1"/>
  <c r="AA1200" i="1"/>
  <c r="Z1200" i="1"/>
  <c r="Y1200" i="1"/>
  <c r="W1200" i="1" s="1"/>
  <c r="X1200" i="1"/>
  <c r="U1200" i="1"/>
  <c r="AC1199" i="1"/>
  <c r="AB1199" i="1"/>
  <c r="AA1199" i="1"/>
  <c r="Z1199" i="1"/>
  <c r="Y1199" i="1"/>
  <c r="W1199" i="1" s="1"/>
  <c r="X1199" i="1"/>
  <c r="U1199" i="1"/>
  <c r="AC1198" i="1"/>
  <c r="AB1198" i="1"/>
  <c r="AA1198" i="1"/>
  <c r="Z1198" i="1"/>
  <c r="Y1198" i="1"/>
  <c r="W1198" i="1" s="1"/>
  <c r="X1198" i="1"/>
  <c r="U1198" i="1"/>
  <c r="AC1197" i="1"/>
  <c r="AB1197" i="1"/>
  <c r="AA1197" i="1"/>
  <c r="Z1197" i="1"/>
  <c r="Y1197" i="1"/>
  <c r="W1197" i="1" s="1"/>
  <c r="X1197" i="1"/>
  <c r="U1197" i="1"/>
  <c r="AC1196" i="1"/>
  <c r="AB1196" i="1"/>
  <c r="AA1196" i="1"/>
  <c r="Z1196" i="1"/>
  <c r="Y1196" i="1"/>
  <c r="W1196" i="1" s="1"/>
  <c r="X1196" i="1"/>
  <c r="U1196" i="1"/>
  <c r="AC1195" i="1"/>
  <c r="AB1195" i="1"/>
  <c r="AA1195" i="1"/>
  <c r="Z1195" i="1"/>
  <c r="Y1195" i="1"/>
  <c r="W1195" i="1" s="1"/>
  <c r="X1195" i="1"/>
  <c r="U1195" i="1"/>
  <c r="AC1194" i="1"/>
  <c r="AB1194" i="1"/>
  <c r="AA1194" i="1"/>
  <c r="Z1194" i="1"/>
  <c r="Y1194" i="1"/>
  <c r="W1194" i="1" s="1"/>
  <c r="X1194" i="1"/>
  <c r="U1194" i="1"/>
  <c r="AC1193" i="1"/>
  <c r="AB1193" i="1"/>
  <c r="AA1193" i="1"/>
  <c r="Z1193" i="1"/>
  <c r="Y1193" i="1"/>
  <c r="W1193" i="1" s="1"/>
  <c r="X1193" i="1"/>
  <c r="U1193" i="1"/>
  <c r="AC1192" i="1"/>
  <c r="AB1192" i="1"/>
  <c r="AA1192" i="1"/>
  <c r="Z1192" i="1"/>
  <c r="Y1192" i="1"/>
  <c r="W1192" i="1" s="1"/>
  <c r="X1192" i="1"/>
  <c r="U1192" i="1"/>
  <c r="AC1191" i="1"/>
  <c r="AB1191" i="1"/>
  <c r="AA1191" i="1"/>
  <c r="Z1191" i="1"/>
  <c r="Y1191" i="1"/>
  <c r="W1191" i="1" s="1"/>
  <c r="X1191" i="1"/>
  <c r="U1191" i="1"/>
  <c r="AC1190" i="1"/>
  <c r="AB1190" i="1"/>
  <c r="AA1190" i="1"/>
  <c r="Z1190" i="1"/>
  <c r="Y1190" i="1"/>
  <c r="W1190" i="1" s="1"/>
  <c r="X1190" i="1"/>
  <c r="U1190" i="1"/>
  <c r="AC1189" i="1"/>
  <c r="AB1189" i="1"/>
  <c r="AA1189" i="1"/>
  <c r="Z1189" i="1"/>
  <c r="Y1189" i="1"/>
  <c r="W1189" i="1" s="1"/>
  <c r="X1189" i="1"/>
  <c r="U1189" i="1"/>
  <c r="AC1188" i="1"/>
  <c r="AB1188" i="1"/>
  <c r="AA1188" i="1"/>
  <c r="Z1188" i="1"/>
  <c r="Y1188" i="1"/>
  <c r="W1188" i="1" s="1"/>
  <c r="X1188" i="1"/>
  <c r="U1188" i="1"/>
  <c r="AC1187" i="1"/>
  <c r="AB1187" i="1"/>
  <c r="AA1187" i="1"/>
  <c r="Z1187" i="1"/>
  <c r="Y1187" i="1"/>
  <c r="W1187" i="1" s="1"/>
  <c r="X1187" i="1"/>
  <c r="U1187" i="1"/>
  <c r="AC1186" i="1"/>
  <c r="AB1186" i="1"/>
  <c r="AA1186" i="1"/>
  <c r="Z1186" i="1"/>
  <c r="Y1186" i="1"/>
  <c r="W1186" i="1" s="1"/>
  <c r="X1186" i="1"/>
  <c r="U1186" i="1"/>
  <c r="AC1185" i="1"/>
  <c r="AB1185" i="1"/>
  <c r="AA1185" i="1"/>
  <c r="Z1185" i="1"/>
  <c r="Y1185" i="1"/>
  <c r="W1185" i="1" s="1"/>
  <c r="X1185" i="1"/>
  <c r="U1185" i="1"/>
  <c r="AC1184" i="1"/>
  <c r="AB1184" i="1"/>
  <c r="AA1184" i="1"/>
  <c r="Z1184" i="1"/>
  <c r="Y1184" i="1"/>
  <c r="W1184" i="1" s="1"/>
  <c r="X1184" i="1"/>
  <c r="U1184" i="1"/>
  <c r="AC1183" i="1"/>
  <c r="AB1183" i="1"/>
  <c r="AA1183" i="1"/>
  <c r="Z1183" i="1"/>
  <c r="Y1183" i="1"/>
  <c r="W1183" i="1" s="1"/>
  <c r="X1183" i="1"/>
  <c r="U1183" i="1"/>
  <c r="AC1182" i="1"/>
  <c r="AB1182" i="1"/>
  <c r="AA1182" i="1"/>
  <c r="Z1182" i="1"/>
  <c r="Y1182" i="1"/>
  <c r="W1182" i="1" s="1"/>
  <c r="X1182" i="1"/>
  <c r="U1182" i="1"/>
  <c r="AC1181" i="1"/>
  <c r="AB1181" i="1"/>
  <c r="AA1181" i="1"/>
  <c r="Z1181" i="1"/>
  <c r="Y1181" i="1"/>
  <c r="W1181" i="1" s="1"/>
  <c r="X1181" i="1"/>
  <c r="U1181" i="1"/>
  <c r="AC1180" i="1"/>
  <c r="AB1180" i="1"/>
  <c r="AA1180" i="1"/>
  <c r="Z1180" i="1"/>
  <c r="Y1180" i="1"/>
  <c r="W1180" i="1" s="1"/>
  <c r="X1180" i="1"/>
  <c r="U1180" i="1"/>
  <c r="AC1179" i="1"/>
  <c r="AB1179" i="1"/>
  <c r="AA1179" i="1"/>
  <c r="Z1179" i="1"/>
  <c r="Y1179" i="1"/>
  <c r="W1179" i="1" s="1"/>
  <c r="X1179" i="1"/>
  <c r="U1179" i="1"/>
  <c r="AC1178" i="1"/>
  <c r="AB1178" i="1"/>
  <c r="AA1178" i="1"/>
  <c r="Z1178" i="1"/>
  <c r="Y1178" i="1"/>
  <c r="W1178" i="1" s="1"/>
  <c r="X1178" i="1"/>
  <c r="U1178" i="1"/>
  <c r="AC1177" i="1"/>
  <c r="AB1177" i="1"/>
  <c r="AA1177" i="1"/>
  <c r="Z1177" i="1"/>
  <c r="Y1177" i="1"/>
  <c r="W1177" i="1" s="1"/>
  <c r="X1177" i="1"/>
  <c r="U1177" i="1"/>
  <c r="AC1176" i="1"/>
  <c r="AB1176" i="1"/>
  <c r="AA1176" i="1"/>
  <c r="Z1176" i="1"/>
  <c r="Y1176" i="1"/>
  <c r="W1176" i="1" s="1"/>
  <c r="X1176" i="1"/>
  <c r="U1176" i="1"/>
  <c r="AC1175" i="1"/>
  <c r="AB1175" i="1"/>
  <c r="AA1175" i="1"/>
  <c r="Z1175" i="1"/>
  <c r="Y1175" i="1"/>
  <c r="W1175" i="1" s="1"/>
  <c r="X1175" i="1"/>
  <c r="U1175" i="1"/>
  <c r="AC1174" i="1"/>
  <c r="AB1174" i="1"/>
  <c r="AA1174" i="1"/>
  <c r="Z1174" i="1"/>
  <c r="Y1174" i="1"/>
  <c r="W1174" i="1" s="1"/>
  <c r="X1174" i="1"/>
  <c r="U1174" i="1"/>
  <c r="AC1173" i="1"/>
  <c r="AB1173" i="1"/>
  <c r="AA1173" i="1"/>
  <c r="Z1173" i="1"/>
  <c r="Y1173" i="1"/>
  <c r="W1173" i="1" s="1"/>
  <c r="X1173" i="1"/>
  <c r="U1173" i="1"/>
  <c r="AC1172" i="1"/>
  <c r="AB1172" i="1"/>
  <c r="AA1172" i="1"/>
  <c r="Z1172" i="1"/>
  <c r="Y1172" i="1"/>
  <c r="W1172" i="1" s="1"/>
  <c r="X1172" i="1"/>
  <c r="U1172" i="1"/>
  <c r="AC1171" i="1"/>
  <c r="AB1171" i="1"/>
  <c r="AA1171" i="1"/>
  <c r="Z1171" i="1"/>
  <c r="Y1171" i="1"/>
  <c r="W1171" i="1" s="1"/>
  <c r="X1171" i="1"/>
  <c r="U1171" i="1"/>
  <c r="AC1170" i="1"/>
  <c r="AB1170" i="1"/>
  <c r="AA1170" i="1"/>
  <c r="Z1170" i="1"/>
  <c r="Y1170" i="1"/>
  <c r="W1170" i="1" s="1"/>
  <c r="X1170" i="1"/>
  <c r="U1170" i="1"/>
  <c r="AC1169" i="1"/>
  <c r="AB1169" i="1"/>
  <c r="AA1169" i="1"/>
  <c r="Z1169" i="1"/>
  <c r="Y1169" i="1"/>
  <c r="W1169" i="1" s="1"/>
  <c r="X1169" i="1"/>
  <c r="U1169" i="1"/>
  <c r="AC1168" i="1"/>
  <c r="AB1168" i="1"/>
  <c r="AA1168" i="1"/>
  <c r="Z1168" i="1"/>
  <c r="Y1168" i="1"/>
  <c r="W1168" i="1" s="1"/>
  <c r="X1168" i="1"/>
  <c r="U1168" i="1"/>
  <c r="AC1167" i="1"/>
  <c r="AB1167" i="1"/>
  <c r="AA1167" i="1"/>
  <c r="Z1167" i="1"/>
  <c r="Y1167" i="1"/>
  <c r="W1167" i="1" s="1"/>
  <c r="X1167" i="1"/>
  <c r="U1167" i="1"/>
  <c r="AC1166" i="1"/>
  <c r="AB1166" i="1"/>
  <c r="AA1166" i="1"/>
  <c r="Z1166" i="1"/>
  <c r="Y1166" i="1"/>
  <c r="W1166" i="1" s="1"/>
  <c r="X1166" i="1"/>
  <c r="U1166" i="1"/>
  <c r="AC1165" i="1"/>
  <c r="AB1165" i="1"/>
  <c r="AA1165" i="1"/>
  <c r="Z1165" i="1"/>
  <c r="Y1165" i="1"/>
  <c r="W1165" i="1" s="1"/>
  <c r="X1165" i="1"/>
  <c r="U1165" i="1"/>
  <c r="AC1164" i="1"/>
  <c r="AB1164" i="1"/>
  <c r="AA1164" i="1"/>
  <c r="Z1164" i="1"/>
  <c r="Y1164" i="1"/>
  <c r="W1164" i="1" s="1"/>
  <c r="X1164" i="1"/>
  <c r="U1164" i="1"/>
  <c r="AC1163" i="1"/>
  <c r="AB1163" i="1"/>
  <c r="AA1163" i="1"/>
  <c r="Z1163" i="1"/>
  <c r="Y1163" i="1"/>
  <c r="W1163" i="1" s="1"/>
  <c r="X1163" i="1"/>
  <c r="U1163" i="1"/>
  <c r="AC1162" i="1"/>
  <c r="AB1162" i="1"/>
  <c r="AA1162" i="1"/>
  <c r="Z1162" i="1"/>
  <c r="Y1162" i="1"/>
  <c r="W1162" i="1" s="1"/>
  <c r="X1162" i="1"/>
  <c r="U1162" i="1"/>
  <c r="AC1161" i="1"/>
  <c r="AB1161" i="1"/>
  <c r="AA1161" i="1"/>
  <c r="Z1161" i="1"/>
  <c r="Y1161" i="1"/>
  <c r="W1161" i="1" s="1"/>
  <c r="X1161" i="1"/>
  <c r="U1161" i="1"/>
  <c r="AC1160" i="1"/>
  <c r="AB1160" i="1"/>
  <c r="AA1160" i="1"/>
  <c r="Z1160" i="1"/>
  <c r="Y1160" i="1"/>
  <c r="W1160" i="1" s="1"/>
  <c r="X1160" i="1"/>
  <c r="U1160" i="1"/>
  <c r="AC1159" i="1"/>
  <c r="AB1159" i="1"/>
  <c r="AA1159" i="1"/>
  <c r="Z1159" i="1"/>
  <c r="Y1159" i="1"/>
  <c r="W1159" i="1" s="1"/>
  <c r="X1159" i="1"/>
  <c r="U1159" i="1"/>
  <c r="AC1158" i="1"/>
  <c r="AB1158" i="1"/>
  <c r="AA1158" i="1"/>
  <c r="Z1158" i="1"/>
  <c r="Y1158" i="1"/>
  <c r="W1158" i="1" s="1"/>
  <c r="X1158" i="1"/>
  <c r="U1158" i="1"/>
  <c r="AC1157" i="1"/>
  <c r="AB1157" i="1"/>
  <c r="AA1157" i="1"/>
  <c r="Z1157" i="1"/>
  <c r="Y1157" i="1"/>
  <c r="W1157" i="1" s="1"/>
  <c r="X1157" i="1"/>
  <c r="U1157" i="1"/>
  <c r="AC1156" i="1"/>
  <c r="AB1156" i="1"/>
  <c r="AA1156" i="1"/>
  <c r="Z1156" i="1"/>
  <c r="Y1156" i="1"/>
  <c r="W1156" i="1" s="1"/>
  <c r="X1156" i="1"/>
  <c r="U1156" i="1"/>
  <c r="AC1155" i="1"/>
  <c r="AB1155" i="1"/>
  <c r="AA1155" i="1"/>
  <c r="Z1155" i="1"/>
  <c r="Y1155" i="1"/>
  <c r="W1155" i="1" s="1"/>
  <c r="X1155" i="1"/>
  <c r="U1155" i="1"/>
  <c r="AC1154" i="1"/>
  <c r="AB1154" i="1"/>
  <c r="AA1154" i="1"/>
  <c r="Z1154" i="1"/>
  <c r="Y1154" i="1"/>
  <c r="W1154" i="1" s="1"/>
  <c r="X1154" i="1"/>
  <c r="U1154" i="1"/>
  <c r="AC1153" i="1"/>
  <c r="AB1153" i="1"/>
  <c r="AA1153" i="1"/>
  <c r="Z1153" i="1"/>
  <c r="Y1153" i="1"/>
  <c r="W1153" i="1" s="1"/>
  <c r="X1153" i="1"/>
  <c r="U1153" i="1"/>
  <c r="AC1152" i="1"/>
  <c r="AB1152" i="1"/>
  <c r="AA1152" i="1"/>
  <c r="Z1152" i="1"/>
  <c r="Y1152" i="1"/>
  <c r="W1152" i="1" s="1"/>
  <c r="X1152" i="1"/>
  <c r="U1152" i="1"/>
  <c r="AC1151" i="1"/>
  <c r="AB1151" i="1"/>
  <c r="AA1151" i="1"/>
  <c r="Z1151" i="1"/>
  <c r="Y1151" i="1"/>
  <c r="W1151" i="1" s="1"/>
  <c r="X1151" i="1"/>
  <c r="U1151" i="1"/>
  <c r="AC1150" i="1"/>
  <c r="AB1150" i="1"/>
  <c r="AA1150" i="1"/>
  <c r="Z1150" i="1"/>
  <c r="Y1150" i="1"/>
  <c r="W1150" i="1" s="1"/>
  <c r="X1150" i="1"/>
  <c r="U1150" i="1"/>
  <c r="AC1149" i="1"/>
  <c r="AB1149" i="1"/>
  <c r="AA1149" i="1"/>
  <c r="Z1149" i="1"/>
  <c r="Y1149" i="1"/>
  <c r="W1149" i="1" s="1"/>
  <c r="X1149" i="1"/>
  <c r="U1149" i="1"/>
  <c r="AC1148" i="1"/>
  <c r="AB1148" i="1"/>
  <c r="AA1148" i="1"/>
  <c r="Z1148" i="1"/>
  <c r="Y1148" i="1"/>
  <c r="W1148" i="1" s="1"/>
  <c r="X1148" i="1"/>
  <c r="U1148" i="1"/>
  <c r="AC1147" i="1"/>
  <c r="AB1147" i="1"/>
  <c r="AA1147" i="1"/>
  <c r="Z1147" i="1"/>
  <c r="Y1147" i="1"/>
  <c r="W1147" i="1" s="1"/>
  <c r="X1147" i="1"/>
  <c r="U1147" i="1"/>
  <c r="AC1146" i="1"/>
  <c r="AB1146" i="1"/>
  <c r="AA1146" i="1"/>
  <c r="Z1146" i="1"/>
  <c r="Y1146" i="1"/>
  <c r="W1146" i="1" s="1"/>
  <c r="X1146" i="1"/>
  <c r="U1146" i="1"/>
  <c r="AC1145" i="1"/>
  <c r="AB1145" i="1"/>
  <c r="AA1145" i="1"/>
  <c r="Z1145" i="1"/>
  <c r="Y1145" i="1"/>
  <c r="W1145" i="1" s="1"/>
  <c r="X1145" i="1"/>
  <c r="U1145" i="1"/>
  <c r="AC1144" i="1"/>
  <c r="AB1144" i="1"/>
  <c r="AA1144" i="1"/>
  <c r="Z1144" i="1"/>
  <c r="Y1144" i="1"/>
  <c r="W1144" i="1" s="1"/>
  <c r="X1144" i="1"/>
  <c r="U1144" i="1"/>
  <c r="AC1143" i="1"/>
  <c r="AB1143" i="1"/>
  <c r="AA1143" i="1"/>
  <c r="Z1143" i="1"/>
  <c r="Y1143" i="1"/>
  <c r="W1143" i="1" s="1"/>
  <c r="X1143" i="1"/>
  <c r="U1143" i="1"/>
  <c r="AC1142" i="1"/>
  <c r="AB1142" i="1"/>
  <c r="AA1142" i="1"/>
  <c r="Z1142" i="1"/>
  <c r="Y1142" i="1"/>
  <c r="W1142" i="1" s="1"/>
  <c r="X1142" i="1"/>
  <c r="U1142" i="1"/>
  <c r="AC1141" i="1"/>
  <c r="AB1141" i="1"/>
  <c r="AA1141" i="1"/>
  <c r="Z1141" i="1"/>
  <c r="Y1141" i="1"/>
  <c r="W1141" i="1" s="1"/>
  <c r="X1141" i="1"/>
  <c r="U1141" i="1"/>
  <c r="AC1140" i="1"/>
  <c r="AB1140" i="1"/>
  <c r="AA1140" i="1"/>
  <c r="Z1140" i="1"/>
  <c r="Y1140" i="1"/>
  <c r="W1140" i="1" s="1"/>
  <c r="X1140" i="1"/>
  <c r="U1140" i="1"/>
  <c r="AC1139" i="1"/>
  <c r="AB1139" i="1"/>
  <c r="AA1139" i="1"/>
  <c r="Z1139" i="1"/>
  <c r="Y1139" i="1"/>
  <c r="W1139" i="1" s="1"/>
  <c r="X1139" i="1"/>
  <c r="U1139" i="1"/>
  <c r="AC1138" i="1"/>
  <c r="AB1138" i="1"/>
  <c r="AA1138" i="1"/>
  <c r="Z1138" i="1"/>
  <c r="Y1138" i="1"/>
  <c r="W1138" i="1" s="1"/>
  <c r="X1138" i="1"/>
  <c r="U1138" i="1"/>
  <c r="AC1137" i="1"/>
  <c r="AB1137" i="1"/>
  <c r="AA1137" i="1"/>
  <c r="Z1137" i="1"/>
  <c r="Y1137" i="1"/>
  <c r="W1137" i="1" s="1"/>
  <c r="X1137" i="1"/>
  <c r="U1137" i="1"/>
  <c r="AC1136" i="1"/>
  <c r="AB1136" i="1"/>
  <c r="AA1136" i="1"/>
  <c r="Z1136" i="1"/>
  <c r="Y1136" i="1"/>
  <c r="W1136" i="1" s="1"/>
  <c r="X1136" i="1"/>
  <c r="U1136" i="1"/>
  <c r="AC1135" i="1"/>
  <c r="AB1135" i="1"/>
  <c r="AA1135" i="1"/>
  <c r="Z1135" i="1"/>
  <c r="Y1135" i="1"/>
  <c r="W1135" i="1" s="1"/>
  <c r="X1135" i="1"/>
  <c r="U1135" i="1"/>
  <c r="AC1134" i="1"/>
  <c r="AB1134" i="1"/>
  <c r="AA1134" i="1"/>
  <c r="Z1134" i="1"/>
  <c r="Y1134" i="1"/>
  <c r="W1134" i="1" s="1"/>
  <c r="X1134" i="1"/>
  <c r="U1134" i="1"/>
  <c r="AC1133" i="1"/>
  <c r="AB1133" i="1"/>
  <c r="AA1133" i="1"/>
  <c r="Z1133" i="1"/>
  <c r="Y1133" i="1"/>
  <c r="W1133" i="1" s="1"/>
  <c r="X1133" i="1"/>
  <c r="U1133" i="1"/>
  <c r="AC1132" i="1"/>
  <c r="AB1132" i="1"/>
  <c r="AA1132" i="1"/>
  <c r="Z1132" i="1"/>
  <c r="Y1132" i="1"/>
  <c r="W1132" i="1" s="1"/>
  <c r="X1132" i="1"/>
  <c r="U1132" i="1"/>
  <c r="AC1131" i="1"/>
  <c r="AB1131" i="1"/>
  <c r="AA1131" i="1"/>
  <c r="Z1131" i="1"/>
  <c r="Y1131" i="1"/>
  <c r="W1131" i="1" s="1"/>
  <c r="X1131" i="1"/>
  <c r="U1131" i="1"/>
  <c r="AC1130" i="1"/>
  <c r="AB1130" i="1"/>
  <c r="AA1130" i="1"/>
  <c r="Z1130" i="1"/>
  <c r="Y1130" i="1"/>
  <c r="W1130" i="1" s="1"/>
  <c r="X1130" i="1"/>
  <c r="U1130" i="1"/>
  <c r="AC1129" i="1"/>
  <c r="AB1129" i="1"/>
  <c r="AA1129" i="1"/>
  <c r="Z1129" i="1"/>
  <c r="Y1129" i="1"/>
  <c r="W1129" i="1" s="1"/>
  <c r="X1129" i="1"/>
  <c r="U1129" i="1"/>
  <c r="AC1128" i="1"/>
  <c r="AB1128" i="1"/>
  <c r="AA1128" i="1"/>
  <c r="Z1128" i="1"/>
  <c r="Y1128" i="1"/>
  <c r="W1128" i="1" s="1"/>
  <c r="X1128" i="1"/>
  <c r="U1128" i="1"/>
  <c r="AC1127" i="1"/>
  <c r="AB1127" i="1"/>
  <c r="AA1127" i="1"/>
  <c r="Z1127" i="1"/>
  <c r="Y1127" i="1"/>
  <c r="W1127" i="1" s="1"/>
  <c r="X1127" i="1"/>
  <c r="U1127" i="1"/>
  <c r="AC1126" i="1"/>
  <c r="AB1126" i="1"/>
  <c r="AA1126" i="1"/>
  <c r="Z1126" i="1"/>
  <c r="Y1126" i="1"/>
  <c r="W1126" i="1" s="1"/>
  <c r="X1126" i="1"/>
  <c r="U1126" i="1"/>
  <c r="AC1125" i="1"/>
  <c r="AB1125" i="1"/>
  <c r="AA1125" i="1"/>
  <c r="Z1125" i="1"/>
  <c r="Y1125" i="1"/>
  <c r="W1125" i="1" s="1"/>
  <c r="X1125" i="1"/>
  <c r="U1125" i="1"/>
  <c r="AC1124" i="1"/>
  <c r="AB1124" i="1"/>
  <c r="AA1124" i="1"/>
  <c r="Z1124" i="1"/>
  <c r="Y1124" i="1"/>
  <c r="W1124" i="1" s="1"/>
  <c r="X1124" i="1"/>
  <c r="U1124" i="1"/>
  <c r="AC1123" i="1"/>
  <c r="AB1123" i="1"/>
  <c r="AA1123" i="1"/>
  <c r="Z1123" i="1"/>
  <c r="Y1123" i="1"/>
  <c r="W1123" i="1" s="1"/>
  <c r="X1123" i="1"/>
  <c r="U1123" i="1"/>
  <c r="AC1122" i="1"/>
  <c r="AB1122" i="1"/>
  <c r="AA1122" i="1"/>
  <c r="Z1122" i="1"/>
  <c r="Y1122" i="1"/>
  <c r="W1122" i="1" s="1"/>
  <c r="X1122" i="1"/>
  <c r="U1122" i="1"/>
  <c r="AC1121" i="1"/>
  <c r="AB1121" i="1"/>
  <c r="AA1121" i="1"/>
  <c r="Z1121" i="1"/>
  <c r="Y1121" i="1"/>
  <c r="W1121" i="1" s="1"/>
  <c r="X1121" i="1"/>
  <c r="U1121" i="1"/>
  <c r="AC1120" i="1"/>
  <c r="AB1120" i="1"/>
  <c r="AA1120" i="1"/>
  <c r="Z1120" i="1"/>
  <c r="Y1120" i="1"/>
  <c r="W1120" i="1" s="1"/>
  <c r="X1120" i="1"/>
  <c r="U1120" i="1"/>
  <c r="AC1119" i="1"/>
  <c r="AB1119" i="1"/>
  <c r="AA1119" i="1"/>
  <c r="Z1119" i="1"/>
  <c r="Y1119" i="1"/>
  <c r="W1119" i="1" s="1"/>
  <c r="X1119" i="1"/>
  <c r="U1119" i="1"/>
  <c r="AC1118" i="1"/>
  <c r="AB1118" i="1"/>
  <c r="AA1118" i="1"/>
  <c r="Z1118" i="1"/>
  <c r="Y1118" i="1"/>
  <c r="W1118" i="1" s="1"/>
  <c r="X1118" i="1"/>
  <c r="U1118" i="1"/>
  <c r="AC1117" i="1"/>
  <c r="AB1117" i="1"/>
  <c r="AA1117" i="1"/>
  <c r="Z1117" i="1"/>
  <c r="Y1117" i="1"/>
  <c r="W1117" i="1" s="1"/>
  <c r="X1117" i="1"/>
  <c r="U1117" i="1"/>
  <c r="AC1116" i="1"/>
  <c r="AB1116" i="1"/>
  <c r="AA1116" i="1"/>
  <c r="Z1116" i="1"/>
  <c r="Y1116" i="1"/>
  <c r="W1116" i="1" s="1"/>
  <c r="X1116" i="1"/>
  <c r="U1116" i="1"/>
  <c r="AC1115" i="1"/>
  <c r="AB1115" i="1"/>
  <c r="AA1115" i="1"/>
  <c r="Z1115" i="1"/>
  <c r="Y1115" i="1"/>
  <c r="W1115" i="1" s="1"/>
  <c r="X1115" i="1"/>
  <c r="U1115" i="1"/>
  <c r="AC1114" i="1"/>
  <c r="AB1114" i="1"/>
  <c r="AA1114" i="1"/>
  <c r="Z1114" i="1"/>
  <c r="Y1114" i="1"/>
  <c r="W1114" i="1" s="1"/>
  <c r="X1114" i="1"/>
  <c r="U1114" i="1"/>
  <c r="AC1113" i="1"/>
  <c r="AB1113" i="1"/>
  <c r="AA1113" i="1"/>
  <c r="Z1113" i="1"/>
  <c r="Y1113" i="1"/>
  <c r="W1113" i="1" s="1"/>
  <c r="X1113" i="1"/>
  <c r="U1113" i="1"/>
  <c r="AC1112" i="1"/>
  <c r="AB1112" i="1"/>
  <c r="AA1112" i="1"/>
  <c r="Z1112" i="1"/>
  <c r="Y1112" i="1"/>
  <c r="W1112" i="1" s="1"/>
  <c r="X1112" i="1"/>
  <c r="U1112" i="1"/>
  <c r="AC1111" i="1"/>
  <c r="AB1111" i="1"/>
  <c r="AA1111" i="1"/>
  <c r="Z1111" i="1"/>
  <c r="Y1111" i="1"/>
  <c r="W1111" i="1" s="1"/>
  <c r="X1111" i="1"/>
  <c r="U1111" i="1"/>
  <c r="AC1110" i="1"/>
  <c r="AB1110" i="1"/>
  <c r="AA1110" i="1"/>
  <c r="Z1110" i="1"/>
  <c r="Y1110" i="1"/>
  <c r="W1110" i="1" s="1"/>
  <c r="X1110" i="1"/>
  <c r="U1110" i="1"/>
  <c r="AC1109" i="1"/>
  <c r="AB1109" i="1"/>
  <c r="AA1109" i="1"/>
  <c r="Z1109" i="1"/>
  <c r="Y1109" i="1"/>
  <c r="W1109" i="1" s="1"/>
  <c r="X1109" i="1"/>
  <c r="U1109" i="1"/>
  <c r="AC1108" i="1"/>
  <c r="AB1108" i="1"/>
  <c r="AA1108" i="1"/>
  <c r="Z1108" i="1"/>
  <c r="Y1108" i="1"/>
  <c r="W1108" i="1" s="1"/>
  <c r="X1108" i="1"/>
  <c r="U1108" i="1"/>
  <c r="AC1107" i="1"/>
  <c r="AB1107" i="1"/>
  <c r="AA1107" i="1"/>
  <c r="Z1107" i="1"/>
  <c r="Y1107" i="1"/>
  <c r="W1107" i="1" s="1"/>
  <c r="X1107" i="1"/>
  <c r="U1107" i="1"/>
  <c r="AC1106" i="1"/>
  <c r="AB1106" i="1"/>
  <c r="AA1106" i="1"/>
  <c r="Z1106" i="1"/>
  <c r="Y1106" i="1"/>
  <c r="W1106" i="1" s="1"/>
  <c r="X1106" i="1"/>
  <c r="U1106" i="1"/>
  <c r="AC1105" i="1"/>
  <c r="AB1105" i="1"/>
  <c r="AA1105" i="1"/>
  <c r="Z1105" i="1"/>
  <c r="Y1105" i="1"/>
  <c r="W1105" i="1" s="1"/>
  <c r="X1105" i="1"/>
  <c r="U1105" i="1"/>
  <c r="AC1104" i="1"/>
  <c r="AB1104" i="1"/>
  <c r="AA1104" i="1"/>
  <c r="Z1104" i="1"/>
  <c r="Y1104" i="1"/>
  <c r="W1104" i="1" s="1"/>
  <c r="X1104" i="1"/>
  <c r="U1104" i="1"/>
  <c r="AC1103" i="1"/>
  <c r="AB1103" i="1"/>
  <c r="AA1103" i="1"/>
  <c r="Z1103" i="1"/>
  <c r="Y1103" i="1"/>
  <c r="W1103" i="1" s="1"/>
  <c r="X1103" i="1"/>
  <c r="U1103" i="1"/>
  <c r="AC1102" i="1"/>
  <c r="AB1102" i="1"/>
  <c r="AA1102" i="1"/>
  <c r="Z1102" i="1"/>
  <c r="Y1102" i="1"/>
  <c r="W1102" i="1" s="1"/>
  <c r="X1102" i="1"/>
  <c r="U1102" i="1"/>
  <c r="AC1101" i="1"/>
  <c r="AB1101" i="1"/>
  <c r="AA1101" i="1"/>
  <c r="Z1101" i="1"/>
  <c r="Y1101" i="1"/>
  <c r="W1101" i="1" s="1"/>
  <c r="X1101" i="1"/>
  <c r="U1101" i="1"/>
  <c r="AC1100" i="1"/>
  <c r="AB1100" i="1"/>
  <c r="AA1100" i="1"/>
  <c r="Z1100" i="1"/>
  <c r="Y1100" i="1"/>
  <c r="W1100" i="1" s="1"/>
  <c r="X1100" i="1"/>
  <c r="U1100" i="1"/>
  <c r="AC1099" i="1"/>
  <c r="AB1099" i="1"/>
  <c r="AA1099" i="1"/>
  <c r="Z1099" i="1"/>
  <c r="Y1099" i="1"/>
  <c r="W1099" i="1" s="1"/>
  <c r="X1099" i="1"/>
  <c r="U1099" i="1"/>
  <c r="AC1098" i="1"/>
  <c r="AB1098" i="1"/>
  <c r="AA1098" i="1"/>
  <c r="Z1098" i="1"/>
  <c r="Y1098" i="1"/>
  <c r="W1098" i="1" s="1"/>
  <c r="X1098" i="1"/>
  <c r="U1098" i="1"/>
  <c r="AC1097" i="1"/>
  <c r="AB1097" i="1"/>
  <c r="AA1097" i="1"/>
  <c r="Z1097" i="1"/>
  <c r="Y1097" i="1"/>
  <c r="W1097" i="1" s="1"/>
  <c r="X1097" i="1"/>
  <c r="U1097" i="1"/>
  <c r="AC1096" i="1"/>
  <c r="AB1096" i="1"/>
  <c r="AA1096" i="1"/>
  <c r="Z1096" i="1"/>
  <c r="Y1096" i="1"/>
  <c r="W1096" i="1" s="1"/>
  <c r="X1096" i="1"/>
  <c r="U1096" i="1"/>
  <c r="AC1095" i="1"/>
  <c r="AB1095" i="1"/>
  <c r="AA1095" i="1"/>
  <c r="Z1095" i="1"/>
  <c r="Y1095" i="1"/>
  <c r="W1095" i="1" s="1"/>
  <c r="X1095" i="1"/>
  <c r="U1095" i="1"/>
  <c r="AC1094" i="1"/>
  <c r="AB1094" i="1"/>
  <c r="AA1094" i="1"/>
  <c r="Z1094" i="1"/>
  <c r="Y1094" i="1"/>
  <c r="W1094" i="1" s="1"/>
  <c r="X1094" i="1"/>
  <c r="U1094" i="1"/>
  <c r="AC1093" i="1"/>
  <c r="AB1093" i="1"/>
  <c r="AA1093" i="1"/>
  <c r="Z1093" i="1"/>
  <c r="Y1093" i="1"/>
  <c r="W1093" i="1" s="1"/>
  <c r="X1093" i="1"/>
  <c r="U1093" i="1"/>
  <c r="AC1092" i="1"/>
  <c r="AB1092" i="1"/>
  <c r="AA1092" i="1"/>
  <c r="Z1092" i="1"/>
  <c r="Y1092" i="1"/>
  <c r="W1092" i="1" s="1"/>
  <c r="X1092" i="1"/>
  <c r="U1092" i="1"/>
  <c r="AC1091" i="1"/>
  <c r="AB1091" i="1"/>
  <c r="AA1091" i="1"/>
  <c r="Z1091" i="1"/>
  <c r="Y1091" i="1"/>
  <c r="W1091" i="1" s="1"/>
  <c r="X1091" i="1"/>
  <c r="U1091" i="1"/>
  <c r="AC1090" i="1"/>
  <c r="AB1090" i="1"/>
  <c r="AA1090" i="1"/>
  <c r="Z1090" i="1"/>
  <c r="Y1090" i="1"/>
  <c r="W1090" i="1" s="1"/>
  <c r="X1090" i="1"/>
  <c r="U1090" i="1"/>
  <c r="AC1089" i="1"/>
  <c r="AB1089" i="1"/>
  <c r="AA1089" i="1"/>
  <c r="Z1089" i="1"/>
  <c r="Y1089" i="1"/>
  <c r="W1089" i="1" s="1"/>
  <c r="X1089" i="1"/>
  <c r="U1089" i="1"/>
  <c r="AC1088" i="1"/>
  <c r="AB1088" i="1"/>
  <c r="AA1088" i="1"/>
  <c r="Z1088" i="1"/>
  <c r="Y1088" i="1"/>
  <c r="W1088" i="1" s="1"/>
  <c r="X1088" i="1"/>
  <c r="U1088" i="1"/>
  <c r="AC1087" i="1"/>
  <c r="AB1087" i="1"/>
  <c r="AA1087" i="1"/>
  <c r="Z1087" i="1"/>
  <c r="Y1087" i="1"/>
  <c r="W1087" i="1" s="1"/>
  <c r="X1087" i="1"/>
  <c r="U1087" i="1"/>
  <c r="AC1086" i="1"/>
  <c r="AB1086" i="1"/>
  <c r="AA1086" i="1"/>
  <c r="Z1086" i="1"/>
  <c r="Y1086" i="1"/>
  <c r="W1086" i="1" s="1"/>
  <c r="X1086" i="1"/>
  <c r="U1086" i="1"/>
  <c r="AC1085" i="1"/>
  <c r="AB1085" i="1"/>
  <c r="AA1085" i="1"/>
  <c r="Z1085" i="1"/>
  <c r="Y1085" i="1"/>
  <c r="W1085" i="1" s="1"/>
  <c r="X1085" i="1"/>
  <c r="U1085" i="1"/>
  <c r="AC1084" i="1"/>
  <c r="AB1084" i="1"/>
  <c r="AA1084" i="1"/>
  <c r="Z1084" i="1"/>
  <c r="Y1084" i="1"/>
  <c r="W1084" i="1" s="1"/>
  <c r="X1084" i="1"/>
  <c r="U1084" i="1"/>
  <c r="AC1083" i="1"/>
  <c r="AB1083" i="1"/>
  <c r="AA1083" i="1"/>
  <c r="Z1083" i="1"/>
  <c r="Y1083" i="1"/>
  <c r="W1083" i="1" s="1"/>
  <c r="X1083" i="1"/>
  <c r="U1083" i="1"/>
  <c r="AC1082" i="1"/>
  <c r="AB1082" i="1"/>
  <c r="AA1082" i="1"/>
  <c r="Z1082" i="1"/>
  <c r="Y1082" i="1"/>
  <c r="W1082" i="1" s="1"/>
  <c r="X1082" i="1"/>
  <c r="U1082" i="1"/>
  <c r="AC1081" i="1"/>
  <c r="AB1081" i="1"/>
  <c r="AA1081" i="1"/>
  <c r="Z1081" i="1"/>
  <c r="Y1081" i="1"/>
  <c r="W1081" i="1" s="1"/>
  <c r="X1081" i="1"/>
  <c r="U1081" i="1"/>
  <c r="AC1080" i="1"/>
  <c r="AB1080" i="1"/>
  <c r="AA1080" i="1"/>
  <c r="Z1080" i="1"/>
  <c r="Y1080" i="1"/>
  <c r="W1080" i="1" s="1"/>
  <c r="X1080" i="1"/>
  <c r="U1080" i="1"/>
  <c r="AC1079" i="1"/>
  <c r="AB1079" i="1"/>
  <c r="AA1079" i="1"/>
  <c r="Z1079" i="1"/>
  <c r="Y1079" i="1"/>
  <c r="W1079" i="1" s="1"/>
  <c r="X1079" i="1"/>
  <c r="U1079" i="1"/>
  <c r="AC1078" i="1"/>
  <c r="AB1078" i="1"/>
  <c r="AA1078" i="1"/>
  <c r="Z1078" i="1"/>
  <c r="Y1078" i="1"/>
  <c r="W1078" i="1" s="1"/>
  <c r="X1078" i="1"/>
  <c r="U1078" i="1"/>
  <c r="AC1077" i="1"/>
  <c r="AB1077" i="1"/>
  <c r="AA1077" i="1"/>
  <c r="Z1077" i="1"/>
  <c r="Y1077" i="1"/>
  <c r="W1077" i="1" s="1"/>
  <c r="X1077" i="1"/>
  <c r="U1077" i="1"/>
  <c r="AC1076" i="1"/>
  <c r="AB1076" i="1"/>
  <c r="AA1076" i="1"/>
  <c r="Z1076" i="1"/>
  <c r="Y1076" i="1"/>
  <c r="W1076" i="1" s="1"/>
  <c r="X1076" i="1"/>
  <c r="U1076" i="1"/>
  <c r="AC1075" i="1"/>
  <c r="AB1075" i="1"/>
  <c r="AA1075" i="1"/>
  <c r="Z1075" i="1"/>
  <c r="Y1075" i="1"/>
  <c r="W1075" i="1" s="1"/>
  <c r="X1075" i="1"/>
  <c r="U1075" i="1"/>
  <c r="AC1074" i="1"/>
  <c r="AB1074" i="1"/>
  <c r="AA1074" i="1"/>
  <c r="Z1074" i="1"/>
  <c r="Y1074" i="1"/>
  <c r="W1074" i="1" s="1"/>
  <c r="X1074" i="1"/>
  <c r="U1074" i="1"/>
  <c r="AC1073" i="1"/>
  <c r="AB1073" i="1"/>
  <c r="AA1073" i="1"/>
  <c r="Z1073" i="1"/>
  <c r="Y1073" i="1"/>
  <c r="W1073" i="1" s="1"/>
  <c r="X1073" i="1"/>
  <c r="U1073" i="1"/>
  <c r="AC1072" i="1"/>
  <c r="AB1072" i="1"/>
  <c r="AA1072" i="1"/>
  <c r="Z1072" i="1"/>
  <c r="Y1072" i="1"/>
  <c r="W1072" i="1" s="1"/>
  <c r="X1072" i="1"/>
  <c r="U1072" i="1"/>
  <c r="AC1071" i="1"/>
  <c r="AB1071" i="1"/>
  <c r="AA1071" i="1"/>
  <c r="Z1071" i="1"/>
  <c r="Y1071" i="1"/>
  <c r="W1071" i="1" s="1"/>
  <c r="X1071" i="1"/>
  <c r="U1071" i="1"/>
  <c r="AC1070" i="1"/>
  <c r="AB1070" i="1"/>
  <c r="AA1070" i="1"/>
  <c r="Z1070" i="1"/>
  <c r="Y1070" i="1"/>
  <c r="W1070" i="1" s="1"/>
  <c r="X1070" i="1"/>
  <c r="U1070" i="1"/>
  <c r="AC1069" i="1"/>
  <c r="AB1069" i="1"/>
  <c r="AA1069" i="1"/>
  <c r="Z1069" i="1"/>
  <c r="Y1069" i="1"/>
  <c r="W1069" i="1" s="1"/>
  <c r="X1069" i="1"/>
  <c r="U1069" i="1"/>
  <c r="AC1068" i="1"/>
  <c r="AB1068" i="1"/>
  <c r="AA1068" i="1"/>
  <c r="Z1068" i="1"/>
  <c r="Y1068" i="1"/>
  <c r="W1068" i="1" s="1"/>
  <c r="X1068" i="1"/>
  <c r="U1068" i="1"/>
  <c r="AC1067" i="1"/>
  <c r="AB1067" i="1"/>
  <c r="AA1067" i="1"/>
  <c r="Z1067" i="1"/>
  <c r="Y1067" i="1"/>
  <c r="W1067" i="1" s="1"/>
  <c r="X1067" i="1"/>
  <c r="U1067" i="1"/>
  <c r="AC1066" i="1"/>
  <c r="AB1066" i="1"/>
  <c r="AA1066" i="1"/>
  <c r="Z1066" i="1"/>
  <c r="Y1066" i="1"/>
  <c r="W1066" i="1" s="1"/>
  <c r="X1066" i="1"/>
  <c r="U1066" i="1"/>
  <c r="AC1065" i="1"/>
  <c r="AB1065" i="1"/>
  <c r="AA1065" i="1"/>
  <c r="Z1065" i="1"/>
  <c r="Y1065" i="1"/>
  <c r="W1065" i="1" s="1"/>
  <c r="X1065" i="1"/>
  <c r="U1065" i="1"/>
  <c r="AC1064" i="1"/>
  <c r="AB1064" i="1"/>
  <c r="AA1064" i="1"/>
  <c r="Z1064" i="1"/>
  <c r="Y1064" i="1"/>
  <c r="W1064" i="1" s="1"/>
  <c r="X1064" i="1"/>
  <c r="U1064" i="1"/>
  <c r="AC1063" i="1"/>
  <c r="AB1063" i="1"/>
  <c r="AA1063" i="1"/>
  <c r="Z1063" i="1"/>
  <c r="Y1063" i="1"/>
  <c r="W1063" i="1" s="1"/>
  <c r="X1063" i="1"/>
  <c r="U1063" i="1"/>
  <c r="AC1062" i="1"/>
  <c r="AB1062" i="1"/>
  <c r="AA1062" i="1"/>
  <c r="Z1062" i="1"/>
  <c r="Y1062" i="1"/>
  <c r="W1062" i="1" s="1"/>
  <c r="X1062" i="1"/>
  <c r="U1062" i="1"/>
  <c r="AC1061" i="1"/>
  <c r="AB1061" i="1"/>
  <c r="AA1061" i="1"/>
  <c r="Z1061" i="1"/>
  <c r="Y1061" i="1"/>
  <c r="W1061" i="1" s="1"/>
  <c r="X1061" i="1"/>
  <c r="U1061" i="1"/>
  <c r="AC1060" i="1"/>
  <c r="AB1060" i="1"/>
  <c r="AA1060" i="1"/>
  <c r="Z1060" i="1"/>
  <c r="Y1060" i="1"/>
  <c r="W1060" i="1" s="1"/>
  <c r="X1060" i="1"/>
  <c r="U1060" i="1"/>
  <c r="AC1059" i="1"/>
  <c r="AB1059" i="1"/>
  <c r="AA1059" i="1"/>
  <c r="Z1059" i="1"/>
  <c r="Y1059" i="1"/>
  <c r="W1059" i="1" s="1"/>
  <c r="X1059" i="1"/>
  <c r="U1059" i="1"/>
  <c r="AC1058" i="1"/>
  <c r="AB1058" i="1"/>
  <c r="AA1058" i="1"/>
  <c r="Z1058" i="1"/>
  <c r="Y1058" i="1"/>
  <c r="W1058" i="1" s="1"/>
  <c r="X1058" i="1"/>
  <c r="U1058" i="1"/>
  <c r="AC1057" i="1"/>
  <c r="AB1057" i="1"/>
  <c r="AA1057" i="1"/>
  <c r="Z1057" i="1"/>
  <c r="Y1057" i="1"/>
  <c r="W1057" i="1" s="1"/>
  <c r="X1057" i="1"/>
  <c r="U1057" i="1"/>
  <c r="AC1056" i="1"/>
  <c r="AB1056" i="1"/>
  <c r="AA1056" i="1"/>
  <c r="Z1056" i="1"/>
  <c r="Y1056" i="1"/>
  <c r="W1056" i="1" s="1"/>
  <c r="X1056" i="1"/>
  <c r="U1056" i="1"/>
  <c r="AC1055" i="1"/>
  <c r="AB1055" i="1"/>
  <c r="AA1055" i="1"/>
  <c r="Z1055" i="1"/>
  <c r="Y1055" i="1"/>
  <c r="W1055" i="1" s="1"/>
  <c r="X1055" i="1"/>
  <c r="U1055" i="1"/>
  <c r="AC1054" i="1"/>
  <c r="AB1054" i="1"/>
  <c r="AA1054" i="1"/>
  <c r="Z1054" i="1"/>
  <c r="Y1054" i="1"/>
  <c r="W1054" i="1" s="1"/>
  <c r="X1054" i="1"/>
  <c r="U1054" i="1"/>
  <c r="AC1053" i="1"/>
  <c r="AB1053" i="1"/>
  <c r="AA1053" i="1"/>
  <c r="Z1053" i="1"/>
  <c r="Y1053" i="1"/>
  <c r="W1053" i="1" s="1"/>
  <c r="X1053" i="1"/>
  <c r="U1053" i="1"/>
  <c r="AC1052" i="1"/>
  <c r="AB1052" i="1"/>
  <c r="AA1052" i="1"/>
  <c r="Z1052" i="1"/>
  <c r="Y1052" i="1"/>
  <c r="W1052" i="1" s="1"/>
  <c r="X1052" i="1"/>
  <c r="U1052" i="1"/>
  <c r="AC1051" i="1"/>
  <c r="AB1051" i="1"/>
  <c r="AA1051" i="1"/>
  <c r="Z1051" i="1"/>
  <c r="Y1051" i="1"/>
  <c r="W1051" i="1" s="1"/>
  <c r="X1051" i="1"/>
  <c r="U1051" i="1"/>
  <c r="AC1050" i="1"/>
  <c r="AB1050" i="1"/>
  <c r="AA1050" i="1"/>
  <c r="Z1050" i="1"/>
  <c r="Y1050" i="1"/>
  <c r="W1050" i="1" s="1"/>
  <c r="X1050" i="1"/>
  <c r="U1050" i="1"/>
  <c r="AC1049" i="1"/>
  <c r="AB1049" i="1"/>
  <c r="AA1049" i="1"/>
  <c r="Z1049" i="1"/>
  <c r="Y1049" i="1"/>
  <c r="W1049" i="1" s="1"/>
  <c r="X1049" i="1"/>
  <c r="U1049" i="1"/>
  <c r="AC1048" i="1"/>
  <c r="AB1048" i="1"/>
  <c r="AA1048" i="1"/>
  <c r="Z1048" i="1"/>
  <c r="Y1048" i="1"/>
  <c r="W1048" i="1" s="1"/>
  <c r="X1048" i="1"/>
  <c r="U1048" i="1"/>
  <c r="AC1047" i="1"/>
  <c r="AB1047" i="1"/>
  <c r="AA1047" i="1"/>
  <c r="Z1047" i="1"/>
  <c r="Y1047" i="1"/>
  <c r="W1047" i="1" s="1"/>
  <c r="X1047" i="1"/>
  <c r="U1047" i="1"/>
  <c r="AC1046" i="1"/>
  <c r="AB1046" i="1"/>
  <c r="AA1046" i="1"/>
  <c r="Z1046" i="1"/>
  <c r="Y1046" i="1"/>
  <c r="W1046" i="1" s="1"/>
  <c r="X1046" i="1"/>
  <c r="U1046" i="1"/>
  <c r="AC1045" i="1"/>
  <c r="AB1045" i="1"/>
  <c r="AA1045" i="1"/>
  <c r="Z1045" i="1"/>
  <c r="Y1045" i="1"/>
  <c r="W1045" i="1" s="1"/>
  <c r="X1045" i="1"/>
  <c r="U1045" i="1"/>
  <c r="AC1044" i="1"/>
  <c r="AB1044" i="1"/>
  <c r="AA1044" i="1"/>
  <c r="Z1044" i="1"/>
  <c r="Y1044" i="1"/>
  <c r="W1044" i="1" s="1"/>
  <c r="X1044" i="1"/>
  <c r="U1044" i="1"/>
  <c r="AC1043" i="1"/>
  <c r="AB1043" i="1"/>
  <c r="AA1043" i="1"/>
  <c r="Z1043" i="1"/>
  <c r="Y1043" i="1"/>
  <c r="W1043" i="1" s="1"/>
  <c r="X1043" i="1"/>
  <c r="U1043" i="1"/>
  <c r="AC1042" i="1"/>
  <c r="AB1042" i="1"/>
  <c r="AA1042" i="1"/>
  <c r="Z1042" i="1"/>
  <c r="Y1042" i="1"/>
  <c r="W1042" i="1" s="1"/>
  <c r="X1042" i="1"/>
  <c r="U1042" i="1"/>
  <c r="AC1041" i="1"/>
  <c r="AB1041" i="1"/>
  <c r="AA1041" i="1"/>
  <c r="Z1041" i="1"/>
  <c r="Y1041" i="1"/>
  <c r="W1041" i="1" s="1"/>
  <c r="X1041" i="1"/>
  <c r="U1041" i="1"/>
  <c r="AC1040" i="1"/>
  <c r="AB1040" i="1"/>
  <c r="AA1040" i="1"/>
  <c r="Z1040" i="1"/>
  <c r="Y1040" i="1"/>
  <c r="W1040" i="1" s="1"/>
  <c r="X1040" i="1"/>
  <c r="U1040" i="1"/>
  <c r="AC1039" i="1"/>
  <c r="AB1039" i="1"/>
  <c r="AA1039" i="1"/>
  <c r="Z1039" i="1"/>
  <c r="Y1039" i="1"/>
  <c r="W1039" i="1" s="1"/>
  <c r="X1039" i="1"/>
  <c r="U1039" i="1"/>
  <c r="AC1038" i="1"/>
  <c r="AB1038" i="1"/>
  <c r="AA1038" i="1"/>
  <c r="Z1038" i="1"/>
  <c r="Y1038" i="1"/>
  <c r="W1038" i="1" s="1"/>
  <c r="X1038" i="1"/>
  <c r="U1038" i="1"/>
  <c r="AC1037" i="1"/>
  <c r="AB1037" i="1"/>
  <c r="AA1037" i="1"/>
  <c r="Z1037" i="1"/>
  <c r="Y1037" i="1"/>
  <c r="W1037" i="1" s="1"/>
  <c r="X1037" i="1"/>
  <c r="U1037" i="1"/>
  <c r="AC1036" i="1"/>
  <c r="AB1036" i="1"/>
  <c r="AA1036" i="1"/>
  <c r="Z1036" i="1"/>
  <c r="Y1036" i="1"/>
  <c r="W1036" i="1" s="1"/>
  <c r="X1036" i="1"/>
  <c r="U1036" i="1"/>
  <c r="AC1035" i="1"/>
  <c r="AB1035" i="1"/>
  <c r="AA1035" i="1"/>
  <c r="Z1035" i="1"/>
  <c r="Y1035" i="1"/>
  <c r="W1035" i="1" s="1"/>
  <c r="X1035" i="1"/>
  <c r="U1035" i="1"/>
  <c r="AC1034" i="1"/>
  <c r="AB1034" i="1"/>
  <c r="AA1034" i="1"/>
  <c r="Z1034" i="1"/>
  <c r="Y1034" i="1"/>
  <c r="W1034" i="1" s="1"/>
  <c r="X1034" i="1"/>
  <c r="U1034" i="1"/>
  <c r="AC1033" i="1"/>
  <c r="AB1033" i="1"/>
  <c r="AA1033" i="1"/>
  <c r="Z1033" i="1"/>
  <c r="Y1033" i="1"/>
  <c r="W1033" i="1" s="1"/>
  <c r="X1033" i="1"/>
  <c r="U1033" i="1"/>
  <c r="AC1032" i="1"/>
  <c r="AB1032" i="1"/>
  <c r="AA1032" i="1"/>
  <c r="Z1032" i="1"/>
  <c r="Y1032" i="1"/>
  <c r="W1032" i="1" s="1"/>
  <c r="X1032" i="1"/>
  <c r="U1032" i="1"/>
  <c r="AC1031" i="1"/>
  <c r="AB1031" i="1"/>
  <c r="AA1031" i="1"/>
  <c r="Z1031" i="1"/>
  <c r="Y1031" i="1"/>
  <c r="W1031" i="1" s="1"/>
  <c r="X1031" i="1"/>
  <c r="U1031" i="1"/>
  <c r="AC1030" i="1"/>
  <c r="AB1030" i="1"/>
  <c r="AA1030" i="1"/>
  <c r="Z1030" i="1"/>
  <c r="Y1030" i="1"/>
  <c r="W1030" i="1" s="1"/>
  <c r="X1030" i="1"/>
  <c r="U1030" i="1"/>
  <c r="AC1029" i="1"/>
  <c r="AB1029" i="1"/>
  <c r="AA1029" i="1"/>
  <c r="Z1029" i="1"/>
  <c r="Y1029" i="1"/>
  <c r="W1029" i="1" s="1"/>
  <c r="X1029" i="1"/>
  <c r="U1029" i="1"/>
  <c r="AC1028" i="1"/>
  <c r="AB1028" i="1"/>
  <c r="AA1028" i="1"/>
  <c r="Z1028" i="1"/>
  <c r="Y1028" i="1"/>
  <c r="W1028" i="1" s="1"/>
  <c r="X1028" i="1"/>
  <c r="U1028" i="1"/>
  <c r="AC1027" i="1"/>
  <c r="AB1027" i="1"/>
  <c r="AA1027" i="1"/>
  <c r="Z1027" i="1"/>
  <c r="Y1027" i="1"/>
  <c r="W1027" i="1" s="1"/>
  <c r="X1027" i="1"/>
  <c r="U1027" i="1"/>
  <c r="AC1026" i="1"/>
  <c r="AB1026" i="1"/>
  <c r="AA1026" i="1"/>
  <c r="Z1026" i="1"/>
  <c r="Y1026" i="1"/>
  <c r="W1026" i="1" s="1"/>
  <c r="X1026" i="1"/>
  <c r="U1026" i="1"/>
  <c r="AC1025" i="1"/>
  <c r="AB1025" i="1"/>
  <c r="AA1025" i="1"/>
  <c r="Z1025" i="1"/>
  <c r="Y1025" i="1"/>
  <c r="W1025" i="1" s="1"/>
  <c r="X1025" i="1"/>
  <c r="U1025" i="1"/>
  <c r="AC1024" i="1"/>
  <c r="AB1024" i="1"/>
  <c r="AA1024" i="1"/>
  <c r="Z1024" i="1"/>
  <c r="Y1024" i="1"/>
  <c r="W1024" i="1" s="1"/>
  <c r="X1024" i="1"/>
  <c r="U1024" i="1"/>
  <c r="AC1023" i="1"/>
  <c r="AB1023" i="1"/>
  <c r="AA1023" i="1"/>
  <c r="Z1023" i="1"/>
  <c r="Y1023" i="1"/>
  <c r="W1023" i="1" s="1"/>
  <c r="X1023" i="1"/>
  <c r="U1023" i="1"/>
  <c r="AC1022" i="1"/>
  <c r="AB1022" i="1"/>
  <c r="AA1022" i="1"/>
  <c r="Z1022" i="1"/>
  <c r="Y1022" i="1"/>
  <c r="W1022" i="1" s="1"/>
  <c r="X1022" i="1"/>
  <c r="U1022" i="1"/>
  <c r="AC1021" i="1"/>
  <c r="AB1021" i="1"/>
  <c r="AA1021" i="1"/>
  <c r="Z1021" i="1"/>
  <c r="Y1021" i="1"/>
  <c r="W1021" i="1" s="1"/>
  <c r="X1021" i="1"/>
  <c r="U1021" i="1"/>
  <c r="AC1020" i="1"/>
  <c r="AB1020" i="1"/>
  <c r="AA1020" i="1"/>
  <c r="Z1020" i="1"/>
  <c r="Y1020" i="1"/>
  <c r="W1020" i="1" s="1"/>
  <c r="X1020" i="1"/>
  <c r="U1020" i="1"/>
  <c r="AC1019" i="1"/>
  <c r="AB1019" i="1"/>
  <c r="AA1019" i="1"/>
  <c r="Z1019" i="1"/>
  <c r="Y1019" i="1"/>
  <c r="W1019" i="1" s="1"/>
  <c r="X1019" i="1"/>
  <c r="U1019" i="1"/>
  <c r="AC1018" i="1"/>
  <c r="AB1018" i="1"/>
  <c r="AA1018" i="1"/>
  <c r="Z1018" i="1"/>
  <c r="Y1018" i="1"/>
  <c r="W1018" i="1" s="1"/>
  <c r="X1018" i="1"/>
  <c r="U1018" i="1"/>
  <c r="AC1017" i="1"/>
  <c r="AB1017" i="1"/>
  <c r="AA1017" i="1"/>
  <c r="Z1017" i="1"/>
  <c r="Y1017" i="1"/>
  <c r="W1017" i="1" s="1"/>
  <c r="X1017" i="1"/>
  <c r="U1017" i="1"/>
  <c r="AC1016" i="1"/>
  <c r="AB1016" i="1"/>
  <c r="AA1016" i="1"/>
  <c r="Z1016" i="1"/>
  <c r="Y1016" i="1"/>
  <c r="W1016" i="1" s="1"/>
  <c r="X1016" i="1"/>
  <c r="U1016" i="1"/>
  <c r="AC1015" i="1"/>
  <c r="AB1015" i="1"/>
  <c r="AA1015" i="1"/>
  <c r="Z1015" i="1"/>
  <c r="Y1015" i="1"/>
  <c r="W1015" i="1" s="1"/>
  <c r="X1015" i="1"/>
  <c r="U1015" i="1"/>
  <c r="AC1014" i="1"/>
  <c r="AB1014" i="1"/>
  <c r="AA1014" i="1"/>
  <c r="Z1014" i="1"/>
  <c r="Y1014" i="1"/>
  <c r="W1014" i="1" s="1"/>
  <c r="X1014" i="1"/>
  <c r="U1014" i="1"/>
  <c r="AC1013" i="1"/>
  <c r="AB1013" i="1"/>
  <c r="AA1013" i="1"/>
  <c r="Z1013" i="1"/>
  <c r="Y1013" i="1"/>
  <c r="W1013" i="1" s="1"/>
  <c r="X1013" i="1"/>
  <c r="U1013" i="1"/>
  <c r="AC1012" i="1"/>
  <c r="AB1012" i="1"/>
  <c r="AA1012" i="1"/>
  <c r="Z1012" i="1"/>
  <c r="Y1012" i="1"/>
  <c r="W1012" i="1" s="1"/>
  <c r="X1012" i="1"/>
  <c r="U1012" i="1"/>
  <c r="AC1011" i="1"/>
  <c r="AB1011" i="1"/>
  <c r="AA1011" i="1"/>
  <c r="Z1011" i="1"/>
  <c r="Y1011" i="1"/>
  <c r="W1011" i="1" s="1"/>
  <c r="X1011" i="1"/>
  <c r="U1011" i="1"/>
  <c r="AC1010" i="1"/>
  <c r="AB1010" i="1"/>
  <c r="AA1010" i="1"/>
  <c r="Z1010" i="1"/>
  <c r="Y1010" i="1"/>
  <c r="W1010" i="1" s="1"/>
  <c r="X1010" i="1"/>
  <c r="U1010" i="1"/>
  <c r="AC1009" i="1"/>
  <c r="AB1009" i="1"/>
  <c r="AA1009" i="1"/>
  <c r="Z1009" i="1"/>
  <c r="Y1009" i="1"/>
  <c r="W1009" i="1" s="1"/>
  <c r="X1009" i="1"/>
  <c r="U1009" i="1"/>
  <c r="AC1008" i="1"/>
  <c r="AB1008" i="1"/>
  <c r="AA1008" i="1"/>
  <c r="Z1008" i="1"/>
  <c r="Y1008" i="1"/>
  <c r="W1008" i="1" s="1"/>
  <c r="X1008" i="1"/>
  <c r="U1008" i="1"/>
  <c r="AC1007" i="1"/>
  <c r="AB1007" i="1"/>
  <c r="AA1007" i="1"/>
  <c r="Z1007" i="1"/>
  <c r="Y1007" i="1"/>
  <c r="W1007" i="1" s="1"/>
  <c r="X1007" i="1"/>
  <c r="U1007" i="1"/>
  <c r="AC1006" i="1"/>
  <c r="AB1006" i="1"/>
  <c r="AA1006" i="1"/>
  <c r="Z1006" i="1"/>
  <c r="Y1006" i="1"/>
  <c r="W1006" i="1" s="1"/>
  <c r="X1006" i="1"/>
  <c r="U1006" i="1"/>
  <c r="AC1005" i="1"/>
  <c r="AB1005" i="1"/>
  <c r="AA1005" i="1"/>
  <c r="Z1005" i="1"/>
  <c r="Y1005" i="1"/>
  <c r="W1005" i="1" s="1"/>
  <c r="X1005" i="1"/>
  <c r="U1005" i="1"/>
  <c r="AC1004" i="1"/>
  <c r="AB1004" i="1"/>
  <c r="AA1004" i="1"/>
  <c r="Z1004" i="1"/>
  <c r="Y1004" i="1"/>
  <c r="W1004" i="1" s="1"/>
  <c r="X1004" i="1"/>
  <c r="U1004" i="1"/>
  <c r="AC1003" i="1"/>
  <c r="AB1003" i="1"/>
  <c r="AA1003" i="1"/>
  <c r="Z1003" i="1"/>
  <c r="Y1003" i="1"/>
  <c r="W1003" i="1" s="1"/>
  <c r="X1003" i="1"/>
  <c r="U1003" i="1"/>
  <c r="AC1002" i="1"/>
  <c r="AB1002" i="1"/>
  <c r="AA1002" i="1"/>
  <c r="Z1002" i="1"/>
  <c r="Y1002" i="1"/>
  <c r="W1002" i="1" s="1"/>
  <c r="X1002" i="1"/>
  <c r="U1002" i="1"/>
  <c r="AC1001" i="1"/>
  <c r="AB1001" i="1"/>
  <c r="AA1001" i="1"/>
  <c r="Z1001" i="1"/>
  <c r="Y1001" i="1"/>
  <c r="W1001" i="1" s="1"/>
  <c r="X1001" i="1"/>
  <c r="U1001" i="1"/>
  <c r="AC1000" i="1"/>
  <c r="AB1000" i="1"/>
  <c r="AA1000" i="1"/>
  <c r="Z1000" i="1"/>
  <c r="Y1000" i="1"/>
  <c r="W1000" i="1" s="1"/>
  <c r="X1000" i="1"/>
  <c r="U1000" i="1"/>
  <c r="AC999" i="1"/>
  <c r="AB999" i="1"/>
  <c r="AA999" i="1"/>
  <c r="Z999" i="1"/>
  <c r="Y999" i="1"/>
  <c r="W999" i="1" s="1"/>
  <c r="X999" i="1"/>
  <c r="U999" i="1"/>
  <c r="AC998" i="1"/>
  <c r="AB998" i="1"/>
  <c r="AA998" i="1"/>
  <c r="Z998" i="1"/>
  <c r="Y998" i="1"/>
  <c r="W998" i="1" s="1"/>
  <c r="X998" i="1"/>
  <c r="U998" i="1"/>
  <c r="AC997" i="1"/>
  <c r="AB997" i="1"/>
  <c r="AA997" i="1"/>
  <c r="Z997" i="1"/>
  <c r="Y997" i="1"/>
  <c r="W997" i="1" s="1"/>
  <c r="X997" i="1"/>
  <c r="U997" i="1"/>
  <c r="AC996" i="1"/>
  <c r="AB996" i="1"/>
  <c r="AA996" i="1"/>
  <c r="Z996" i="1"/>
  <c r="Y996" i="1"/>
  <c r="W996" i="1" s="1"/>
  <c r="X996" i="1"/>
  <c r="U996" i="1"/>
  <c r="AC995" i="1"/>
  <c r="AB995" i="1"/>
  <c r="AA995" i="1"/>
  <c r="Z995" i="1"/>
  <c r="Y995" i="1"/>
  <c r="W995" i="1" s="1"/>
  <c r="X995" i="1"/>
  <c r="U995" i="1"/>
  <c r="AC994" i="1"/>
  <c r="AB994" i="1"/>
  <c r="AA994" i="1"/>
  <c r="Z994" i="1"/>
  <c r="Y994" i="1"/>
  <c r="W994" i="1" s="1"/>
  <c r="X994" i="1"/>
  <c r="U994" i="1"/>
  <c r="AC993" i="1"/>
  <c r="AB993" i="1"/>
  <c r="AA993" i="1"/>
  <c r="Z993" i="1"/>
  <c r="Y993" i="1"/>
  <c r="W993" i="1" s="1"/>
  <c r="X993" i="1"/>
  <c r="U993" i="1"/>
  <c r="AC992" i="1"/>
  <c r="AB992" i="1"/>
  <c r="AA992" i="1"/>
  <c r="Z992" i="1"/>
  <c r="Y992" i="1"/>
  <c r="W992" i="1" s="1"/>
  <c r="X992" i="1"/>
  <c r="U992" i="1"/>
  <c r="AC991" i="1"/>
  <c r="AB991" i="1"/>
  <c r="AA991" i="1"/>
  <c r="Z991" i="1"/>
  <c r="Y991" i="1"/>
  <c r="W991" i="1" s="1"/>
  <c r="X991" i="1"/>
  <c r="U991" i="1"/>
  <c r="AC990" i="1"/>
  <c r="AB990" i="1"/>
  <c r="AA990" i="1"/>
  <c r="Z990" i="1"/>
  <c r="Y990" i="1"/>
  <c r="W990" i="1" s="1"/>
  <c r="X990" i="1"/>
  <c r="U990" i="1"/>
  <c r="AC989" i="1"/>
  <c r="AB989" i="1"/>
  <c r="AA989" i="1"/>
  <c r="Z989" i="1"/>
  <c r="Y989" i="1"/>
  <c r="W989" i="1" s="1"/>
  <c r="X989" i="1"/>
  <c r="U989" i="1"/>
  <c r="AC988" i="1"/>
  <c r="AB988" i="1"/>
  <c r="AA988" i="1"/>
  <c r="Z988" i="1"/>
  <c r="Y988" i="1"/>
  <c r="W988" i="1" s="1"/>
  <c r="X988" i="1"/>
  <c r="U988" i="1"/>
  <c r="AC987" i="1"/>
  <c r="AB987" i="1"/>
  <c r="AA987" i="1"/>
  <c r="Z987" i="1"/>
  <c r="Y987" i="1"/>
  <c r="W987" i="1" s="1"/>
  <c r="X987" i="1"/>
  <c r="U987" i="1"/>
  <c r="AC986" i="1"/>
  <c r="AB986" i="1"/>
  <c r="AA986" i="1"/>
  <c r="Z986" i="1"/>
  <c r="Y986" i="1"/>
  <c r="W986" i="1" s="1"/>
  <c r="X986" i="1"/>
  <c r="U986" i="1"/>
  <c r="AC985" i="1"/>
  <c r="AB985" i="1"/>
  <c r="AA985" i="1"/>
  <c r="Z985" i="1"/>
  <c r="Y985" i="1"/>
  <c r="W985" i="1" s="1"/>
  <c r="X985" i="1"/>
  <c r="U985" i="1"/>
  <c r="AC984" i="1"/>
  <c r="AB984" i="1"/>
  <c r="AA984" i="1"/>
  <c r="Z984" i="1"/>
  <c r="Y984" i="1"/>
  <c r="W984" i="1" s="1"/>
  <c r="X984" i="1"/>
  <c r="U984" i="1"/>
  <c r="AC983" i="1"/>
  <c r="AB983" i="1"/>
  <c r="AA983" i="1"/>
  <c r="Z983" i="1"/>
  <c r="Y983" i="1"/>
  <c r="W983" i="1" s="1"/>
  <c r="X983" i="1"/>
  <c r="U983" i="1"/>
  <c r="AC982" i="1"/>
  <c r="AB982" i="1"/>
  <c r="AA982" i="1"/>
  <c r="Z982" i="1"/>
  <c r="Y982" i="1"/>
  <c r="W982" i="1" s="1"/>
  <c r="X982" i="1"/>
  <c r="U982" i="1"/>
  <c r="AC981" i="1"/>
  <c r="AB981" i="1"/>
  <c r="AA981" i="1"/>
  <c r="Z981" i="1"/>
  <c r="Y981" i="1"/>
  <c r="W981" i="1" s="1"/>
  <c r="X981" i="1"/>
  <c r="U981" i="1"/>
  <c r="AC980" i="1"/>
  <c r="AB980" i="1"/>
  <c r="AA980" i="1"/>
  <c r="Z980" i="1"/>
  <c r="Y980" i="1"/>
  <c r="W980" i="1" s="1"/>
  <c r="X980" i="1"/>
  <c r="U980" i="1"/>
  <c r="AC979" i="1"/>
  <c r="AB979" i="1"/>
  <c r="AA979" i="1"/>
  <c r="Z979" i="1"/>
  <c r="Y979" i="1"/>
  <c r="W979" i="1" s="1"/>
  <c r="X979" i="1"/>
  <c r="U979" i="1"/>
  <c r="AC978" i="1"/>
  <c r="AB978" i="1"/>
  <c r="AA978" i="1"/>
  <c r="Z978" i="1"/>
  <c r="Y978" i="1"/>
  <c r="W978" i="1" s="1"/>
  <c r="X978" i="1"/>
  <c r="U978" i="1"/>
  <c r="AC977" i="1"/>
  <c r="AB977" i="1"/>
  <c r="AA977" i="1"/>
  <c r="Z977" i="1"/>
  <c r="Y977" i="1"/>
  <c r="W977" i="1" s="1"/>
  <c r="X977" i="1"/>
  <c r="U977" i="1"/>
  <c r="AC976" i="1"/>
  <c r="AB976" i="1"/>
  <c r="AA976" i="1"/>
  <c r="Z976" i="1"/>
  <c r="Y976" i="1"/>
  <c r="W976" i="1" s="1"/>
  <c r="X976" i="1"/>
  <c r="U976" i="1"/>
  <c r="AC975" i="1"/>
  <c r="AB975" i="1"/>
  <c r="AA975" i="1"/>
  <c r="Z975" i="1"/>
  <c r="Y975" i="1"/>
  <c r="W975" i="1" s="1"/>
  <c r="X975" i="1"/>
  <c r="U975" i="1"/>
  <c r="AC974" i="1"/>
  <c r="AB974" i="1"/>
  <c r="AA974" i="1"/>
  <c r="Z974" i="1"/>
  <c r="Y974" i="1"/>
  <c r="W974" i="1" s="1"/>
  <c r="X974" i="1"/>
  <c r="U974" i="1"/>
  <c r="AC973" i="1"/>
  <c r="AB973" i="1"/>
  <c r="AA973" i="1"/>
  <c r="Z973" i="1"/>
  <c r="Y973" i="1"/>
  <c r="W973" i="1" s="1"/>
  <c r="X973" i="1"/>
  <c r="U973" i="1"/>
  <c r="AC972" i="1"/>
  <c r="AB972" i="1"/>
  <c r="AA972" i="1"/>
  <c r="Z972" i="1"/>
  <c r="Y972" i="1"/>
  <c r="W972" i="1" s="1"/>
  <c r="X972" i="1"/>
  <c r="U972" i="1"/>
  <c r="AC971" i="1"/>
  <c r="AB971" i="1"/>
  <c r="AA971" i="1"/>
  <c r="Z971" i="1"/>
  <c r="Y971" i="1"/>
  <c r="W971" i="1" s="1"/>
  <c r="X971" i="1"/>
  <c r="U971" i="1"/>
  <c r="AC970" i="1"/>
  <c r="AB970" i="1"/>
  <c r="AA970" i="1"/>
  <c r="Z970" i="1"/>
  <c r="Y970" i="1"/>
  <c r="W970" i="1" s="1"/>
  <c r="X970" i="1"/>
  <c r="U970" i="1"/>
  <c r="AC969" i="1"/>
  <c r="AB969" i="1"/>
  <c r="AA969" i="1"/>
  <c r="Z969" i="1"/>
  <c r="Y969" i="1"/>
  <c r="W969" i="1" s="1"/>
  <c r="X969" i="1"/>
  <c r="U969" i="1"/>
  <c r="AC968" i="1"/>
  <c r="AB968" i="1"/>
  <c r="AA968" i="1"/>
  <c r="Z968" i="1"/>
  <c r="Y968" i="1"/>
  <c r="W968" i="1" s="1"/>
  <c r="X968" i="1"/>
  <c r="U968" i="1"/>
  <c r="AC967" i="1"/>
  <c r="AB967" i="1"/>
  <c r="AA967" i="1"/>
  <c r="Z967" i="1"/>
  <c r="Y967" i="1"/>
  <c r="W967" i="1" s="1"/>
  <c r="X967" i="1"/>
  <c r="U967" i="1"/>
  <c r="AC966" i="1"/>
  <c r="AB966" i="1"/>
  <c r="AA966" i="1"/>
  <c r="Z966" i="1"/>
  <c r="Y966" i="1"/>
  <c r="W966" i="1" s="1"/>
  <c r="X966" i="1"/>
  <c r="U966" i="1"/>
  <c r="AC965" i="1"/>
  <c r="AB965" i="1"/>
  <c r="AA965" i="1"/>
  <c r="Z965" i="1"/>
  <c r="Y965" i="1"/>
  <c r="W965" i="1" s="1"/>
  <c r="X965" i="1"/>
  <c r="U965" i="1"/>
  <c r="AC964" i="1"/>
  <c r="AB964" i="1"/>
  <c r="AA964" i="1"/>
  <c r="Z964" i="1"/>
  <c r="Y964" i="1"/>
  <c r="W964" i="1" s="1"/>
  <c r="X964" i="1"/>
  <c r="U964" i="1"/>
  <c r="AC963" i="1"/>
  <c r="AB963" i="1"/>
  <c r="AA963" i="1"/>
  <c r="Z963" i="1"/>
  <c r="Y963" i="1"/>
  <c r="W963" i="1" s="1"/>
  <c r="X963" i="1"/>
  <c r="U963" i="1"/>
  <c r="AC962" i="1"/>
  <c r="AB962" i="1"/>
  <c r="AA962" i="1"/>
  <c r="Z962" i="1"/>
  <c r="Y962" i="1"/>
  <c r="W962" i="1" s="1"/>
  <c r="X962" i="1"/>
  <c r="U962" i="1"/>
  <c r="AC961" i="1"/>
  <c r="AB961" i="1"/>
  <c r="AA961" i="1"/>
  <c r="Z961" i="1"/>
  <c r="Y961" i="1"/>
  <c r="W961" i="1" s="1"/>
  <c r="X961" i="1"/>
  <c r="U961" i="1"/>
  <c r="AC960" i="1"/>
  <c r="AB960" i="1"/>
  <c r="AA960" i="1"/>
  <c r="Z960" i="1"/>
  <c r="Y960" i="1"/>
  <c r="W960" i="1" s="1"/>
  <c r="X960" i="1"/>
  <c r="U960" i="1"/>
  <c r="AC959" i="1"/>
  <c r="AB959" i="1"/>
  <c r="AA959" i="1"/>
  <c r="Z959" i="1"/>
  <c r="Y959" i="1"/>
  <c r="W959" i="1" s="1"/>
  <c r="X959" i="1"/>
  <c r="U959" i="1"/>
  <c r="AC958" i="1"/>
  <c r="AB958" i="1"/>
  <c r="AA958" i="1"/>
  <c r="Z958" i="1"/>
  <c r="Y958" i="1"/>
  <c r="W958" i="1" s="1"/>
  <c r="X958" i="1"/>
  <c r="U958" i="1"/>
  <c r="AC957" i="1"/>
  <c r="AB957" i="1"/>
  <c r="AA957" i="1"/>
  <c r="Z957" i="1"/>
  <c r="Y957" i="1"/>
  <c r="W957" i="1" s="1"/>
  <c r="X957" i="1"/>
  <c r="U957" i="1"/>
  <c r="AC956" i="1"/>
  <c r="AB956" i="1"/>
  <c r="AA956" i="1"/>
  <c r="Z956" i="1"/>
  <c r="Y956" i="1"/>
  <c r="W956" i="1" s="1"/>
  <c r="X956" i="1"/>
  <c r="U956" i="1"/>
  <c r="AC955" i="1"/>
  <c r="AB955" i="1"/>
  <c r="AA955" i="1"/>
  <c r="Z955" i="1"/>
  <c r="Y955" i="1"/>
  <c r="W955" i="1" s="1"/>
  <c r="X955" i="1"/>
  <c r="U955" i="1"/>
  <c r="AC954" i="1"/>
  <c r="AB954" i="1"/>
  <c r="AA954" i="1"/>
  <c r="Z954" i="1"/>
  <c r="Y954" i="1"/>
  <c r="W954" i="1" s="1"/>
  <c r="X954" i="1"/>
  <c r="U954" i="1"/>
  <c r="AC953" i="1"/>
  <c r="AB953" i="1"/>
  <c r="AA953" i="1"/>
  <c r="Z953" i="1"/>
  <c r="Y953" i="1"/>
  <c r="W953" i="1" s="1"/>
  <c r="X953" i="1"/>
  <c r="U953" i="1"/>
  <c r="AC952" i="1"/>
  <c r="AB952" i="1"/>
  <c r="AA952" i="1"/>
  <c r="Z952" i="1"/>
  <c r="Y952" i="1"/>
  <c r="W952" i="1" s="1"/>
  <c r="X952" i="1"/>
  <c r="U952" i="1"/>
  <c r="AC951" i="1"/>
  <c r="AB951" i="1"/>
  <c r="AA951" i="1"/>
  <c r="Z951" i="1"/>
  <c r="Y951" i="1"/>
  <c r="W951" i="1" s="1"/>
  <c r="X951" i="1"/>
  <c r="U951" i="1"/>
  <c r="AC950" i="1"/>
  <c r="AB950" i="1"/>
  <c r="AA950" i="1"/>
  <c r="Z950" i="1"/>
  <c r="Y950" i="1"/>
  <c r="W950" i="1" s="1"/>
  <c r="X950" i="1"/>
  <c r="U950" i="1"/>
  <c r="AC949" i="1"/>
  <c r="AB949" i="1"/>
  <c r="AA949" i="1"/>
  <c r="Z949" i="1"/>
  <c r="Y949" i="1"/>
  <c r="W949" i="1" s="1"/>
  <c r="X949" i="1"/>
  <c r="U949" i="1"/>
  <c r="AC948" i="1"/>
  <c r="AB948" i="1"/>
  <c r="AA948" i="1"/>
  <c r="Z948" i="1"/>
  <c r="Y948" i="1"/>
  <c r="W948" i="1" s="1"/>
  <c r="X948" i="1"/>
  <c r="U948" i="1"/>
  <c r="AC947" i="1"/>
  <c r="AB947" i="1"/>
  <c r="AA947" i="1"/>
  <c r="Z947" i="1"/>
  <c r="Y947" i="1"/>
  <c r="W947" i="1" s="1"/>
  <c r="X947" i="1"/>
  <c r="U947" i="1"/>
  <c r="AC946" i="1"/>
  <c r="AB946" i="1"/>
  <c r="AA946" i="1"/>
  <c r="Z946" i="1"/>
  <c r="Y946" i="1"/>
  <c r="W946" i="1" s="1"/>
  <c r="X946" i="1"/>
  <c r="U946" i="1"/>
  <c r="AC945" i="1"/>
  <c r="AB945" i="1"/>
  <c r="AA945" i="1"/>
  <c r="Z945" i="1"/>
  <c r="Y945" i="1"/>
  <c r="W945" i="1" s="1"/>
  <c r="X945" i="1"/>
  <c r="U945" i="1"/>
  <c r="AC944" i="1"/>
  <c r="AB944" i="1"/>
  <c r="AA944" i="1"/>
  <c r="Z944" i="1"/>
  <c r="Y944" i="1"/>
  <c r="W944" i="1" s="1"/>
  <c r="X944" i="1"/>
  <c r="U944" i="1"/>
  <c r="AC943" i="1"/>
  <c r="AB943" i="1"/>
  <c r="AA943" i="1"/>
  <c r="Z943" i="1"/>
  <c r="Y943" i="1"/>
  <c r="W943" i="1" s="1"/>
  <c r="X943" i="1"/>
  <c r="U943" i="1"/>
  <c r="AC942" i="1"/>
  <c r="AB942" i="1"/>
  <c r="AA942" i="1"/>
  <c r="Z942" i="1"/>
  <c r="Y942" i="1"/>
  <c r="W942" i="1" s="1"/>
  <c r="X942" i="1"/>
  <c r="U942" i="1"/>
  <c r="AC941" i="1"/>
  <c r="AB941" i="1"/>
  <c r="AA941" i="1"/>
  <c r="Z941" i="1"/>
  <c r="Y941" i="1"/>
  <c r="W941" i="1" s="1"/>
  <c r="X941" i="1"/>
  <c r="U941" i="1"/>
  <c r="AC940" i="1"/>
  <c r="AB940" i="1"/>
  <c r="AA940" i="1"/>
  <c r="Z940" i="1"/>
  <c r="Y940" i="1"/>
  <c r="W940" i="1" s="1"/>
  <c r="X940" i="1"/>
  <c r="U940" i="1"/>
  <c r="AC939" i="1"/>
  <c r="AB939" i="1"/>
  <c r="AA939" i="1"/>
  <c r="Z939" i="1"/>
  <c r="Y939" i="1"/>
  <c r="W939" i="1" s="1"/>
  <c r="X939" i="1"/>
  <c r="U939" i="1"/>
  <c r="AC938" i="1"/>
  <c r="AB938" i="1"/>
  <c r="AA938" i="1"/>
  <c r="Z938" i="1"/>
  <c r="Y938" i="1"/>
  <c r="W938" i="1" s="1"/>
  <c r="X938" i="1"/>
  <c r="U938" i="1"/>
  <c r="AC937" i="1"/>
  <c r="AB937" i="1"/>
  <c r="AA937" i="1"/>
  <c r="Z937" i="1"/>
  <c r="Y937" i="1"/>
  <c r="W937" i="1" s="1"/>
  <c r="X937" i="1"/>
  <c r="U937" i="1"/>
  <c r="AC936" i="1"/>
  <c r="AB936" i="1"/>
  <c r="AA936" i="1"/>
  <c r="Z936" i="1"/>
  <c r="Y936" i="1"/>
  <c r="W936" i="1" s="1"/>
  <c r="X936" i="1"/>
  <c r="U936" i="1"/>
  <c r="AC935" i="1"/>
  <c r="AB935" i="1"/>
  <c r="AA935" i="1"/>
  <c r="Z935" i="1"/>
  <c r="Y935" i="1"/>
  <c r="W935" i="1" s="1"/>
  <c r="X935" i="1"/>
  <c r="U935" i="1"/>
  <c r="AC934" i="1"/>
  <c r="AB934" i="1"/>
  <c r="AA934" i="1"/>
  <c r="Z934" i="1"/>
  <c r="Y934" i="1"/>
  <c r="W934" i="1" s="1"/>
  <c r="X934" i="1"/>
  <c r="U934" i="1"/>
  <c r="AC933" i="1"/>
  <c r="AB933" i="1"/>
  <c r="AA933" i="1"/>
  <c r="Z933" i="1"/>
  <c r="Y933" i="1"/>
  <c r="W933" i="1" s="1"/>
  <c r="X933" i="1"/>
  <c r="U933" i="1"/>
  <c r="AC932" i="1"/>
  <c r="AB932" i="1"/>
  <c r="AA932" i="1"/>
  <c r="Z932" i="1"/>
  <c r="Y932" i="1"/>
  <c r="W932" i="1" s="1"/>
  <c r="X932" i="1"/>
  <c r="U932" i="1"/>
  <c r="AC931" i="1"/>
  <c r="AB931" i="1"/>
  <c r="AA931" i="1"/>
  <c r="Z931" i="1"/>
  <c r="Y931" i="1"/>
  <c r="W931" i="1" s="1"/>
  <c r="X931" i="1"/>
  <c r="U931" i="1"/>
  <c r="AC930" i="1"/>
  <c r="AB930" i="1"/>
  <c r="AA930" i="1"/>
  <c r="Z930" i="1"/>
  <c r="Y930" i="1"/>
  <c r="W930" i="1" s="1"/>
  <c r="X930" i="1"/>
  <c r="U930" i="1"/>
  <c r="AC929" i="1"/>
  <c r="AB929" i="1"/>
  <c r="AA929" i="1"/>
  <c r="Z929" i="1"/>
  <c r="Y929" i="1"/>
  <c r="W929" i="1" s="1"/>
  <c r="X929" i="1"/>
  <c r="U929" i="1"/>
  <c r="AC928" i="1"/>
  <c r="AB928" i="1"/>
  <c r="AA928" i="1"/>
  <c r="Z928" i="1"/>
  <c r="Y928" i="1"/>
  <c r="W928" i="1" s="1"/>
  <c r="X928" i="1"/>
  <c r="U928" i="1"/>
  <c r="AC927" i="1"/>
  <c r="AB927" i="1"/>
  <c r="AA927" i="1"/>
  <c r="Z927" i="1"/>
  <c r="Y927" i="1"/>
  <c r="W927" i="1" s="1"/>
  <c r="X927" i="1"/>
  <c r="U927" i="1"/>
  <c r="AC926" i="1"/>
  <c r="AB926" i="1"/>
  <c r="AA926" i="1"/>
  <c r="Z926" i="1"/>
  <c r="Y926" i="1"/>
  <c r="W926" i="1" s="1"/>
  <c r="X926" i="1"/>
  <c r="U926" i="1"/>
  <c r="AC925" i="1"/>
  <c r="AB925" i="1"/>
  <c r="AA925" i="1"/>
  <c r="Z925" i="1"/>
  <c r="Y925" i="1"/>
  <c r="W925" i="1" s="1"/>
  <c r="X925" i="1"/>
  <c r="U925" i="1"/>
  <c r="AC924" i="1"/>
  <c r="AB924" i="1"/>
  <c r="AA924" i="1"/>
  <c r="Z924" i="1"/>
  <c r="Y924" i="1"/>
  <c r="W924" i="1" s="1"/>
  <c r="X924" i="1"/>
  <c r="U924" i="1"/>
  <c r="AC923" i="1"/>
  <c r="AB923" i="1"/>
  <c r="AA923" i="1"/>
  <c r="Z923" i="1"/>
  <c r="Y923" i="1"/>
  <c r="W923" i="1" s="1"/>
  <c r="X923" i="1"/>
  <c r="U923" i="1"/>
  <c r="AC922" i="1"/>
  <c r="AB922" i="1"/>
  <c r="AA922" i="1"/>
  <c r="Z922" i="1"/>
  <c r="Y922" i="1"/>
  <c r="W922" i="1" s="1"/>
  <c r="X922" i="1"/>
  <c r="U922" i="1"/>
  <c r="AC921" i="1"/>
  <c r="AB921" i="1"/>
  <c r="AA921" i="1"/>
  <c r="Z921" i="1"/>
  <c r="Y921" i="1"/>
  <c r="W921" i="1" s="1"/>
  <c r="X921" i="1"/>
  <c r="U921" i="1"/>
  <c r="AC920" i="1"/>
  <c r="AB920" i="1"/>
  <c r="AA920" i="1"/>
  <c r="Z920" i="1"/>
  <c r="Y920" i="1"/>
  <c r="W920" i="1" s="1"/>
  <c r="X920" i="1"/>
  <c r="U920" i="1"/>
  <c r="AC919" i="1"/>
  <c r="AB919" i="1"/>
  <c r="AA919" i="1"/>
  <c r="Z919" i="1"/>
  <c r="Y919" i="1"/>
  <c r="W919" i="1" s="1"/>
  <c r="X919" i="1"/>
  <c r="U919" i="1"/>
  <c r="AC918" i="1"/>
  <c r="AB918" i="1"/>
  <c r="AA918" i="1"/>
  <c r="Z918" i="1"/>
  <c r="Y918" i="1"/>
  <c r="W918" i="1" s="1"/>
  <c r="X918" i="1"/>
  <c r="U918" i="1"/>
  <c r="AC917" i="1"/>
  <c r="AB917" i="1"/>
  <c r="AA917" i="1"/>
  <c r="Z917" i="1"/>
  <c r="Y917" i="1"/>
  <c r="W917" i="1" s="1"/>
  <c r="X917" i="1"/>
  <c r="U917" i="1"/>
  <c r="AC916" i="1"/>
  <c r="AB916" i="1"/>
  <c r="AA916" i="1"/>
  <c r="Z916" i="1"/>
  <c r="Y916" i="1"/>
  <c r="W916" i="1" s="1"/>
  <c r="X916" i="1"/>
  <c r="U916" i="1"/>
  <c r="AC915" i="1"/>
  <c r="AB915" i="1"/>
  <c r="AA915" i="1"/>
  <c r="Z915" i="1"/>
  <c r="Y915" i="1"/>
  <c r="W915" i="1" s="1"/>
  <c r="X915" i="1"/>
  <c r="U915" i="1"/>
  <c r="AC914" i="1"/>
  <c r="AB914" i="1"/>
  <c r="AA914" i="1"/>
  <c r="Z914" i="1"/>
  <c r="Y914" i="1"/>
  <c r="W914" i="1" s="1"/>
  <c r="X914" i="1"/>
  <c r="U914" i="1"/>
  <c r="AC913" i="1"/>
  <c r="AB913" i="1"/>
  <c r="AA913" i="1"/>
  <c r="Z913" i="1"/>
  <c r="Y913" i="1"/>
  <c r="W913" i="1" s="1"/>
  <c r="X913" i="1"/>
  <c r="U913" i="1"/>
  <c r="AC912" i="1"/>
  <c r="AB912" i="1"/>
  <c r="AA912" i="1"/>
  <c r="Z912" i="1"/>
  <c r="Y912" i="1"/>
  <c r="W912" i="1" s="1"/>
  <c r="X912" i="1"/>
  <c r="U912" i="1"/>
  <c r="AC911" i="1"/>
  <c r="AB911" i="1"/>
  <c r="AA911" i="1"/>
  <c r="Z911" i="1"/>
  <c r="Y911" i="1"/>
  <c r="W911" i="1" s="1"/>
  <c r="X911" i="1"/>
  <c r="U911" i="1"/>
  <c r="AC910" i="1"/>
  <c r="AB910" i="1"/>
  <c r="AA910" i="1"/>
  <c r="Z910" i="1"/>
  <c r="Y910" i="1"/>
  <c r="W910" i="1" s="1"/>
  <c r="X910" i="1"/>
  <c r="U910" i="1"/>
  <c r="AC909" i="1"/>
  <c r="AB909" i="1"/>
  <c r="AA909" i="1"/>
  <c r="Z909" i="1"/>
  <c r="Y909" i="1"/>
  <c r="W909" i="1" s="1"/>
  <c r="X909" i="1"/>
  <c r="U909" i="1"/>
  <c r="AC908" i="1"/>
  <c r="AB908" i="1"/>
  <c r="AA908" i="1"/>
  <c r="Z908" i="1"/>
  <c r="Y908" i="1"/>
  <c r="W908" i="1" s="1"/>
  <c r="X908" i="1"/>
  <c r="U908" i="1"/>
  <c r="AC907" i="1"/>
  <c r="AB907" i="1"/>
  <c r="AA907" i="1"/>
  <c r="Z907" i="1"/>
  <c r="Y907" i="1"/>
  <c r="W907" i="1" s="1"/>
  <c r="X907" i="1"/>
  <c r="U907" i="1"/>
  <c r="AC906" i="1"/>
  <c r="AB906" i="1"/>
  <c r="AA906" i="1"/>
  <c r="Z906" i="1"/>
  <c r="Y906" i="1"/>
  <c r="W906" i="1" s="1"/>
  <c r="X906" i="1"/>
  <c r="U906" i="1"/>
  <c r="AC905" i="1"/>
  <c r="AB905" i="1"/>
  <c r="AA905" i="1"/>
  <c r="Z905" i="1"/>
  <c r="Y905" i="1"/>
  <c r="W905" i="1" s="1"/>
  <c r="X905" i="1"/>
  <c r="U905" i="1"/>
  <c r="AC904" i="1"/>
  <c r="AB904" i="1"/>
  <c r="AA904" i="1"/>
  <c r="Z904" i="1"/>
  <c r="Y904" i="1"/>
  <c r="W904" i="1" s="1"/>
  <c r="X904" i="1"/>
  <c r="U904" i="1"/>
  <c r="AC903" i="1"/>
  <c r="AB903" i="1"/>
  <c r="AA903" i="1"/>
  <c r="Z903" i="1"/>
  <c r="Y903" i="1"/>
  <c r="W903" i="1" s="1"/>
  <c r="X903" i="1"/>
  <c r="U903" i="1"/>
  <c r="AC902" i="1"/>
  <c r="AB902" i="1"/>
  <c r="AA902" i="1"/>
  <c r="Z902" i="1"/>
  <c r="Y902" i="1"/>
  <c r="W902" i="1" s="1"/>
  <c r="X902" i="1"/>
  <c r="U902" i="1"/>
  <c r="AC901" i="1"/>
  <c r="AB901" i="1"/>
  <c r="AA901" i="1"/>
  <c r="Z901" i="1"/>
  <c r="Y901" i="1"/>
  <c r="W901" i="1" s="1"/>
  <c r="X901" i="1"/>
  <c r="U901" i="1"/>
  <c r="AC900" i="1"/>
  <c r="AB900" i="1"/>
  <c r="AA900" i="1"/>
  <c r="Z900" i="1"/>
  <c r="Y900" i="1"/>
  <c r="W900" i="1" s="1"/>
  <c r="X900" i="1"/>
  <c r="U900" i="1"/>
  <c r="AC899" i="1"/>
  <c r="AB899" i="1"/>
  <c r="AA899" i="1"/>
  <c r="Z899" i="1"/>
  <c r="Y899" i="1"/>
  <c r="W899" i="1" s="1"/>
  <c r="X899" i="1"/>
  <c r="U899" i="1"/>
  <c r="AC898" i="1"/>
  <c r="AB898" i="1"/>
  <c r="AA898" i="1"/>
  <c r="Z898" i="1"/>
  <c r="Y898" i="1"/>
  <c r="W898" i="1" s="1"/>
  <c r="X898" i="1"/>
  <c r="U898" i="1"/>
  <c r="AC897" i="1"/>
  <c r="AB897" i="1"/>
  <c r="AA897" i="1"/>
  <c r="Z897" i="1"/>
  <c r="Y897" i="1"/>
  <c r="W897" i="1" s="1"/>
  <c r="X897" i="1"/>
  <c r="U897" i="1"/>
  <c r="AC896" i="1"/>
  <c r="AB896" i="1"/>
  <c r="AA896" i="1"/>
  <c r="Z896" i="1"/>
  <c r="Y896" i="1"/>
  <c r="W896" i="1" s="1"/>
  <c r="X896" i="1"/>
  <c r="U896" i="1"/>
  <c r="AC895" i="1"/>
  <c r="AB895" i="1"/>
  <c r="AA895" i="1"/>
  <c r="Z895" i="1"/>
  <c r="Y895" i="1"/>
  <c r="W895" i="1" s="1"/>
  <c r="X895" i="1"/>
  <c r="U895" i="1"/>
  <c r="AC894" i="1"/>
  <c r="AB894" i="1"/>
  <c r="AA894" i="1"/>
  <c r="Z894" i="1"/>
  <c r="Y894" i="1"/>
  <c r="W894" i="1" s="1"/>
  <c r="X894" i="1"/>
  <c r="U894" i="1"/>
  <c r="AC893" i="1"/>
  <c r="AB893" i="1"/>
  <c r="AA893" i="1"/>
  <c r="Z893" i="1"/>
  <c r="Y893" i="1"/>
  <c r="W893" i="1" s="1"/>
  <c r="X893" i="1"/>
  <c r="U893" i="1"/>
  <c r="AC892" i="1"/>
  <c r="AB892" i="1"/>
  <c r="AA892" i="1"/>
  <c r="Z892" i="1"/>
  <c r="Y892" i="1"/>
  <c r="W892" i="1" s="1"/>
  <c r="X892" i="1"/>
  <c r="U892" i="1"/>
  <c r="AC891" i="1"/>
  <c r="AB891" i="1"/>
  <c r="AA891" i="1"/>
  <c r="Z891" i="1"/>
  <c r="Y891" i="1"/>
  <c r="W891" i="1" s="1"/>
  <c r="X891" i="1"/>
  <c r="U891" i="1"/>
  <c r="AC890" i="1"/>
  <c r="AB890" i="1"/>
  <c r="AA890" i="1"/>
  <c r="Z890" i="1"/>
  <c r="Y890" i="1"/>
  <c r="W890" i="1" s="1"/>
  <c r="X890" i="1"/>
  <c r="U890" i="1"/>
  <c r="AC889" i="1"/>
  <c r="AB889" i="1"/>
  <c r="AA889" i="1"/>
  <c r="Z889" i="1"/>
  <c r="Y889" i="1"/>
  <c r="W889" i="1" s="1"/>
  <c r="X889" i="1"/>
  <c r="U889" i="1"/>
  <c r="AC888" i="1"/>
  <c r="AB888" i="1"/>
  <c r="AA888" i="1"/>
  <c r="Z888" i="1"/>
  <c r="Y888" i="1"/>
  <c r="W888" i="1" s="1"/>
  <c r="X888" i="1"/>
  <c r="U888" i="1"/>
  <c r="AC887" i="1"/>
  <c r="AB887" i="1"/>
  <c r="AA887" i="1"/>
  <c r="Z887" i="1"/>
  <c r="Y887" i="1"/>
  <c r="W887" i="1" s="1"/>
  <c r="X887" i="1"/>
  <c r="U887" i="1"/>
  <c r="AC886" i="1"/>
  <c r="AB886" i="1"/>
  <c r="AA886" i="1"/>
  <c r="Z886" i="1"/>
  <c r="Y886" i="1"/>
  <c r="W886" i="1" s="1"/>
  <c r="X886" i="1"/>
  <c r="U886" i="1"/>
  <c r="AC885" i="1"/>
  <c r="AB885" i="1"/>
  <c r="AA885" i="1"/>
  <c r="Z885" i="1"/>
  <c r="Y885" i="1"/>
  <c r="W885" i="1" s="1"/>
  <c r="X885" i="1"/>
  <c r="U885" i="1"/>
  <c r="AC884" i="1"/>
  <c r="AB884" i="1"/>
  <c r="AA884" i="1"/>
  <c r="Z884" i="1"/>
  <c r="Y884" i="1"/>
  <c r="W884" i="1" s="1"/>
  <c r="X884" i="1"/>
  <c r="U884" i="1"/>
  <c r="AC883" i="1"/>
  <c r="AB883" i="1"/>
  <c r="AA883" i="1"/>
  <c r="Z883" i="1"/>
  <c r="Y883" i="1"/>
  <c r="W883" i="1" s="1"/>
  <c r="X883" i="1"/>
  <c r="U883" i="1"/>
  <c r="AC882" i="1"/>
  <c r="AB882" i="1"/>
  <c r="AA882" i="1"/>
  <c r="Z882" i="1"/>
  <c r="Y882" i="1"/>
  <c r="W882" i="1" s="1"/>
  <c r="X882" i="1"/>
  <c r="U882" i="1"/>
  <c r="AC881" i="1"/>
  <c r="AB881" i="1"/>
  <c r="AA881" i="1"/>
  <c r="Z881" i="1"/>
  <c r="Y881" i="1"/>
  <c r="W881" i="1" s="1"/>
  <c r="X881" i="1"/>
  <c r="U881" i="1"/>
  <c r="AC880" i="1"/>
  <c r="AB880" i="1"/>
  <c r="AA880" i="1"/>
  <c r="Z880" i="1"/>
  <c r="Y880" i="1"/>
  <c r="W880" i="1" s="1"/>
  <c r="X880" i="1"/>
  <c r="U880" i="1"/>
  <c r="AC879" i="1"/>
  <c r="AB879" i="1"/>
  <c r="AA879" i="1"/>
  <c r="Z879" i="1"/>
  <c r="Y879" i="1"/>
  <c r="W879" i="1" s="1"/>
  <c r="X879" i="1"/>
  <c r="U879" i="1"/>
  <c r="AC878" i="1"/>
  <c r="AB878" i="1"/>
  <c r="AA878" i="1"/>
  <c r="Z878" i="1"/>
  <c r="Y878" i="1"/>
  <c r="W878" i="1" s="1"/>
  <c r="X878" i="1"/>
  <c r="U878" i="1"/>
  <c r="AC877" i="1"/>
  <c r="AB877" i="1"/>
  <c r="AA877" i="1"/>
  <c r="Z877" i="1"/>
  <c r="Y877" i="1"/>
  <c r="W877" i="1" s="1"/>
  <c r="X877" i="1"/>
  <c r="U877" i="1"/>
  <c r="AC876" i="1"/>
  <c r="AB876" i="1"/>
  <c r="AA876" i="1"/>
  <c r="Z876" i="1"/>
  <c r="Y876" i="1"/>
  <c r="W876" i="1" s="1"/>
  <c r="X876" i="1"/>
  <c r="U876" i="1"/>
  <c r="AC875" i="1"/>
  <c r="AB875" i="1"/>
  <c r="AA875" i="1"/>
  <c r="Z875" i="1"/>
  <c r="Y875" i="1"/>
  <c r="W875" i="1" s="1"/>
  <c r="X875" i="1"/>
  <c r="U875" i="1"/>
  <c r="AC874" i="1"/>
  <c r="AB874" i="1"/>
  <c r="AA874" i="1"/>
  <c r="Z874" i="1"/>
  <c r="Y874" i="1"/>
  <c r="W874" i="1" s="1"/>
  <c r="X874" i="1"/>
  <c r="U874" i="1"/>
  <c r="AC873" i="1"/>
  <c r="AB873" i="1"/>
  <c r="AA873" i="1"/>
  <c r="Z873" i="1"/>
  <c r="Y873" i="1"/>
  <c r="W873" i="1" s="1"/>
  <c r="X873" i="1"/>
  <c r="U873" i="1"/>
  <c r="AC872" i="1"/>
  <c r="AB872" i="1"/>
  <c r="AA872" i="1"/>
  <c r="Z872" i="1"/>
  <c r="Y872" i="1"/>
  <c r="W872" i="1" s="1"/>
  <c r="X872" i="1"/>
  <c r="U872" i="1"/>
  <c r="AC871" i="1"/>
  <c r="AB871" i="1"/>
  <c r="AA871" i="1"/>
  <c r="Z871" i="1"/>
  <c r="Y871" i="1"/>
  <c r="W871" i="1" s="1"/>
  <c r="X871" i="1"/>
  <c r="U871" i="1"/>
  <c r="AC870" i="1"/>
  <c r="AB870" i="1"/>
  <c r="AA870" i="1"/>
  <c r="Z870" i="1"/>
  <c r="Y870" i="1"/>
  <c r="W870" i="1" s="1"/>
  <c r="X870" i="1"/>
  <c r="U870" i="1"/>
  <c r="AC869" i="1"/>
  <c r="AB869" i="1"/>
  <c r="AA869" i="1"/>
  <c r="Z869" i="1"/>
  <c r="Y869" i="1"/>
  <c r="W869" i="1" s="1"/>
  <c r="X869" i="1"/>
  <c r="U869" i="1"/>
  <c r="AC868" i="1"/>
  <c r="AB868" i="1"/>
  <c r="AA868" i="1"/>
  <c r="Z868" i="1"/>
  <c r="Y868" i="1"/>
  <c r="W868" i="1" s="1"/>
  <c r="X868" i="1"/>
  <c r="U868" i="1"/>
  <c r="AC867" i="1"/>
  <c r="AB867" i="1"/>
  <c r="AA867" i="1"/>
  <c r="Z867" i="1"/>
  <c r="Y867" i="1"/>
  <c r="W867" i="1" s="1"/>
  <c r="X867" i="1"/>
  <c r="U867" i="1"/>
  <c r="AC866" i="1"/>
  <c r="AB866" i="1"/>
  <c r="AA866" i="1"/>
  <c r="Z866" i="1"/>
  <c r="Y866" i="1"/>
  <c r="W866" i="1" s="1"/>
  <c r="X866" i="1"/>
  <c r="U866" i="1"/>
  <c r="AC865" i="1"/>
  <c r="AB865" i="1"/>
  <c r="AA865" i="1"/>
  <c r="Z865" i="1"/>
  <c r="Y865" i="1"/>
  <c r="W865" i="1" s="1"/>
  <c r="X865" i="1"/>
  <c r="U865" i="1"/>
  <c r="AC864" i="1"/>
  <c r="AB864" i="1"/>
  <c r="AA864" i="1"/>
  <c r="Z864" i="1"/>
  <c r="Y864" i="1"/>
  <c r="W864" i="1" s="1"/>
  <c r="X864" i="1"/>
  <c r="U864" i="1"/>
  <c r="AC863" i="1"/>
  <c r="AB863" i="1"/>
  <c r="AA863" i="1"/>
  <c r="Z863" i="1"/>
  <c r="Y863" i="1"/>
  <c r="W863" i="1" s="1"/>
  <c r="X863" i="1"/>
  <c r="U863" i="1"/>
  <c r="AC862" i="1"/>
  <c r="AB862" i="1"/>
  <c r="AA862" i="1"/>
  <c r="Z862" i="1"/>
  <c r="Y862" i="1"/>
  <c r="W862" i="1" s="1"/>
  <c r="X862" i="1"/>
  <c r="U862" i="1"/>
  <c r="AC861" i="1"/>
  <c r="AB861" i="1"/>
  <c r="AA861" i="1"/>
  <c r="Z861" i="1"/>
  <c r="Y861" i="1"/>
  <c r="W861" i="1" s="1"/>
  <c r="X861" i="1"/>
  <c r="U861" i="1"/>
  <c r="AC860" i="1"/>
  <c r="AB860" i="1"/>
  <c r="AA860" i="1"/>
  <c r="Z860" i="1"/>
  <c r="Y860" i="1"/>
  <c r="W860" i="1" s="1"/>
  <c r="X860" i="1"/>
  <c r="U860" i="1"/>
  <c r="AC859" i="1"/>
  <c r="AB859" i="1"/>
  <c r="AA859" i="1"/>
  <c r="Z859" i="1"/>
  <c r="Y859" i="1"/>
  <c r="W859" i="1" s="1"/>
  <c r="X859" i="1"/>
  <c r="U859" i="1"/>
  <c r="AC858" i="1"/>
  <c r="AB858" i="1"/>
  <c r="AA858" i="1"/>
  <c r="Z858" i="1"/>
  <c r="Y858" i="1"/>
  <c r="W858" i="1" s="1"/>
  <c r="X858" i="1"/>
  <c r="U858" i="1"/>
  <c r="AC857" i="1"/>
  <c r="AB857" i="1"/>
  <c r="AA857" i="1"/>
  <c r="Z857" i="1"/>
  <c r="Y857" i="1"/>
  <c r="W857" i="1" s="1"/>
  <c r="X857" i="1"/>
  <c r="U857" i="1"/>
  <c r="AC856" i="1"/>
  <c r="AB856" i="1"/>
  <c r="AA856" i="1"/>
  <c r="Z856" i="1"/>
  <c r="Y856" i="1"/>
  <c r="W856" i="1" s="1"/>
  <c r="X856" i="1"/>
  <c r="U856" i="1"/>
  <c r="AC855" i="1"/>
  <c r="AB855" i="1"/>
  <c r="AA855" i="1"/>
  <c r="Z855" i="1"/>
  <c r="Y855" i="1"/>
  <c r="W855" i="1" s="1"/>
  <c r="X855" i="1"/>
  <c r="U855" i="1"/>
  <c r="AC854" i="1"/>
  <c r="AB854" i="1"/>
  <c r="AA854" i="1"/>
  <c r="Z854" i="1"/>
  <c r="Y854" i="1"/>
  <c r="W854" i="1" s="1"/>
  <c r="X854" i="1"/>
  <c r="U854" i="1"/>
  <c r="AC853" i="1"/>
  <c r="AB853" i="1"/>
  <c r="AA853" i="1"/>
  <c r="Z853" i="1"/>
  <c r="Y853" i="1"/>
  <c r="W853" i="1" s="1"/>
  <c r="X853" i="1"/>
  <c r="U853" i="1"/>
  <c r="AC852" i="1"/>
  <c r="AB852" i="1"/>
  <c r="AA852" i="1"/>
  <c r="Z852" i="1"/>
  <c r="Y852" i="1"/>
  <c r="W852" i="1" s="1"/>
  <c r="X852" i="1"/>
  <c r="U852" i="1"/>
  <c r="AC851" i="1"/>
  <c r="AB851" i="1"/>
  <c r="AA851" i="1"/>
  <c r="Z851" i="1"/>
  <c r="Y851" i="1"/>
  <c r="W851" i="1" s="1"/>
  <c r="X851" i="1"/>
  <c r="U851" i="1"/>
  <c r="AC850" i="1"/>
  <c r="AB850" i="1"/>
  <c r="AA850" i="1"/>
  <c r="Z850" i="1"/>
  <c r="Y850" i="1"/>
  <c r="W850" i="1" s="1"/>
  <c r="X850" i="1"/>
  <c r="U850" i="1"/>
  <c r="AC849" i="1"/>
  <c r="AB849" i="1"/>
  <c r="AA849" i="1"/>
  <c r="Z849" i="1"/>
  <c r="Y849" i="1"/>
  <c r="W849" i="1" s="1"/>
  <c r="X849" i="1"/>
  <c r="U849" i="1"/>
  <c r="AC848" i="1"/>
  <c r="AB848" i="1"/>
  <c r="AA848" i="1"/>
  <c r="Z848" i="1"/>
  <c r="Y848" i="1"/>
  <c r="W848" i="1" s="1"/>
  <c r="X848" i="1"/>
  <c r="U848" i="1"/>
  <c r="AC847" i="1"/>
  <c r="AB847" i="1"/>
  <c r="AA847" i="1"/>
  <c r="Z847" i="1"/>
  <c r="Y847" i="1"/>
  <c r="W847" i="1" s="1"/>
  <c r="X847" i="1"/>
  <c r="U847" i="1"/>
  <c r="AC846" i="1"/>
  <c r="AB846" i="1"/>
  <c r="AA846" i="1"/>
  <c r="Z846" i="1"/>
  <c r="Y846" i="1"/>
  <c r="W846" i="1" s="1"/>
  <c r="X846" i="1"/>
  <c r="U846" i="1"/>
  <c r="AC845" i="1"/>
  <c r="AB845" i="1"/>
  <c r="AA845" i="1"/>
  <c r="Z845" i="1"/>
  <c r="Y845" i="1"/>
  <c r="W845" i="1" s="1"/>
  <c r="X845" i="1"/>
  <c r="U845" i="1"/>
  <c r="AC844" i="1"/>
  <c r="AB844" i="1"/>
  <c r="AA844" i="1"/>
  <c r="Z844" i="1"/>
  <c r="Y844" i="1"/>
  <c r="W844" i="1" s="1"/>
  <c r="X844" i="1"/>
  <c r="U844" i="1"/>
  <c r="AC843" i="1"/>
  <c r="AB843" i="1"/>
  <c r="AA843" i="1"/>
  <c r="Z843" i="1"/>
  <c r="Y843" i="1"/>
  <c r="W843" i="1" s="1"/>
  <c r="X843" i="1"/>
  <c r="U843" i="1"/>
  <c r="AC842" i="1"/>
  <c r="AB842" i="1"/>
  <c r="AA842" i="1"/>
  <c r="Z842" i="1"/>
  <c r="Y842" i="1"/>
  <c r="W842" i="1" s="1"/>
  <c r="X842" i="1"/>
  <c r="U842" i="1"/>
  <c r="AC841" i="1"/>
  <c r="AB841" i="1"/>
  <c r="AA841" i="1"/>
  <c r="Z841" i="1"/>
  <c r="Y841" i="1"/>
  <c r="W841" i="1" s="1"/>
  <c r="X841" i="1"/>
  <c r="U841" i="1"/>
  <c r="AC840" i="1"/>
  <c r="AB840" i="1"/>
  <c r="AA840" i="1"/>
  <c r="Z840" i="1"/>
  <c r="Y840" i="1"/>
  <c r="W840" i="1" s="1"/>
  <c r="X840" i="1"/>
  <c r="U840" i="1"/>
  <c r="AC839" i="1"/>
  <c r="AB839" i="1"/>
  <c r="AA839" i="1"/>
  <c r="Z839" i="1"/>
  <c r="Y839" i="1"/>
  <c r="W839" i="1" s="1"/>
  <c r="X839" i="1"/>
  <c r="U839" i="1"/>
  <c r="AC838" i="1"/>
  <c r="AB838" i="1"/>
  <c r="AA838" i="1"/>
  <c r="Z838" i="1"/>
  <c r="Y838" i="1"/>
  <c r="W838" i="1" s="1"/>
  <c r="X838" i="1"/>
  <c r="U838" i="1"/>
  <c r="AC837" i="1"/>
  <c r="AB837" i="1"/>
  <c r="AA837" i="1"/>
  <c r="Z837" i="1"/>
  <c r="Y837" i="1"/>
  <c r="W837" i="1" s="1"/>
  <c r="X837" i="1"/>
  <c r="U837" i="1"/>
  <c r="AC836" i="1"/>
  <c r="AB836" i="1"/>
  <c r="AA836" i="1"/>
  <c r="Z836" i="1"/>
  <c r="Y836" i="1"/>
  <c r="W836" i="1" s="1"/>
  <c r="X836" i="1"/>
  <c r="U836" i="1"/>
  <c r="AC835" i="1"/>
  <c r="AB835" i="1"/>
  <c r="AA835" i="1"/>
  <c r="Z835" i="1"/>
  <c r="Y835" i="1"/>
  <c r="W835" i="1" s="1"/>
  <c r="X835" i="1"/>
  <c r="U835" i="1"/>
  <c r="AC834" i="1"/>
  <c r="AB834" i="1"/>
  <c r="AA834" i="1"/>
  <c r="Z834" i="1"/>
  <c r="Y834" i="1"/>
  <c r="W834" i="1" s="1"/>
  <c r="X834" i="1"/>
  <c r="U834" i="1"/>
  <c r="AC833" i="1"/>
  <c r="AB833" i="1"/>
  <c r="AA833" i="1"/>
  <c r="Z833" i="1"/>
  <c r="Y833" i="1"/>
  <c r="W833" i="1" s="1"/>
  <c r="X833" i="1"/>
  <c r="U833" i="1"/>
  <c r="AC832" i="1"/>
  <c r="AB832" i="1"/>
  <c r="AA832" i="1"/>
  <c r="Z832" i="1"/>
  <c r="Y832" i="1"/>
  <c r="W832" i="1" s="1"/>
  <c r="X832" i="1"/>
  <c r="U832" i="1"/>
  <c r="AC831" i="1"/>
  <c r="AB831" i="1"/>
  <c r="AA831" i="1"/>
  <c r="Z831" i="1"/>
  <c r="Y831" i="1"/>
  <c r="W831" i="1" s="1"/>
  <c r="X831" i="1"/>
  <c r="U831" i="1"/>
  <c r="AC830" i="1"/>
  <c r="AB830" i="1"/>
  <c r="AA830" i="1"/>
  <c r="Z830" i="1"/>
  <c r="Y830" i="1"/>
  <c r="W830" i="1" s="1"/>
  <c r="X830" i="1"/>
  <c r="U830" i="1"/>
  <c r="AC829" i="1"/>
  <c r="AB829" i="1"/>
  <c r="AA829" i="1"/>
  <c r="Z829" i="1"/>
  <c r="Y829" i="1"/>
  <c r="W829" i="1" s="1"/>
  <c r="X829" i="1"/>
  <c r="U829" i="1"/>
  <c r="AC828" i="1"/>
  <c r="AB828" i="1"/>
  <c r="AA828" i="1"/>
  <c r="Z828" i="1"/>
  <c r="Y828" i="1"/>
  <c r="W828" i="1" s="1"/>
  <c r="X828" i="1"/>
  <c r="U828" i="1"/>
  <c r="AC827" i="1"/>
  <c r="AB827" i="1"/>
  <c r="AA827" i="1"/>
  <c r="Z827" i="1"/>
  <c r="Y827" i="1"/>
  <c r="W827" i="1" s="1"/>
  <c r="X827" i="1"/>
  <c r="U827" i="1"/>
  <c r="AC826" i="1"/>
  <c r="AB826" i="1"/>
  <c r="AA826" i="1"/>
  <c r="Z826" i="1"/>
  <c r="Y826" i="1"/>
  <c r="W826" i="1" s="1"/>
  <c r="X826" i="1"/>
  <c r="U826" i="1"/>
  <c r="AC825" i="1"/>
  <c r="AB825" i="1"/>
  <c r="AA825" i="1"/>
  <c r="Z825" i="1"/>
  <c r="Y825" i="1"/>
  <c r="W825" i="1" s="1"/>
  <c r="X825" i="1"/>
  <c r="U825" i="1"/>
  <c r="AC824" i="1"/>
  <c r="AB824" i="1"/>
  <c r="AA824" i="1"/>
  <c r="Z824" i="1"/>
  <c r="Y824" i="1"/>
  <c r="W824" i="1" s="1"/>
  <c r="X824" i="1"/>
  <c r="U824" i="1"/>
  <c r="AC823" i="1"/>
  <c r="AB823" i="1"/>
  <c r="AA823" i="1"/>
  <c r="Z823" i="1"/>
  <c r="Y823" i="1"/>
  <c r="W823" i="1" s="1"/>
  <c r="X823" i="1"/>
  <c r="U823" i="1"/>
  <c r="AC822" i="1"/>
  <c r="AB822" i="1"/>
  <c r="AA822" i="1"/>
  <c r="Z822" i="1"/>
  <c r="Y822" i="1"/>
  <c r="W822" i="1" s="1"/>
  <c r="X822" i="1"/>
  <c r="U822" i="1"/>
  <c r="AC821" i="1"/>
  <c r="AB821" i="1"/>
  <c r="AA821" i="1"/>
  <c r="Z821" i="1"/>
  <c r="Y821" i="1"/>
  <c r="W821" i="1" s="1"/>
  <c r="X821" i="1"/>
  <c r="U821" i="1"/>
  <c r="AC820" i="1"/>
  <c r="AB820" i="1"/>
  <c r="AA820" i="1"/>
  <c r="Z820" i="1"/>
  <c r="Y820" i="1"/>
  <c r="W820" i="1" s="1"/>
  <c r="X820" i="1"/>
  <c r="U820" i="1"/>
  <c r="AC819" i="1"/>
  <c r="AB819" i="1"/>
  <c r="AA819" i="1"/>
  <c r="Z819" i="1"/>
  <c r="Y819" i="1"/>
  <c r="W819" i="1" s="1"/>
  <c r="X819" i="1"/>
  <c r="U819" i="1"/>
  <c r="AC818" i="1"/>
  <c r="AB818" i="1"/>
  <c r="AA818" i="1"/>
  <c r="Z818" i="1"/>
  <c r="Y818" i="1"/>
  <c r="W818" i="1" s="1"/>
  <c r="X818" i="1"/>
  <c r="U818" i="1"/>
  <c r="AC817" i="1"/>
  <c r="AB817" i="1"/>
  <c r="AA817" i="1"/>
  <c r="Z817" i="1"/>
  <c r="Y817" i="1"/>
  <c r="W817" i="1" s="1"/>
  <c r="X817" i="1"/>
  <c r="U817" i="1"/>
  <c r="AC816" i="1"/>
  <c r="AB816" i="1"/>
  <c r="AA816" i="1"/>
  <c r="Z816" i="1"/>
  <c r="Y816" i="1"/>
  <c r="W816" i="1" s="1"/>
  <c r="X816" i="1"/>
  <c r="U816" i="1"/>
  <c r="AC815" i="1"/>
  <c r="AB815" i="1"/>
  <c r="AA815" i="1"/>
  <c r="Z815" i="1"/>
  <c r="Y815" i="1"/>
  <c r="W815" i="1" s="1"/>
  <c r="X815" i="1"/>
  <c r="U815" i="1"/>
  <c r="AC814" i="1"/>
  <c r="AB814" i="1"/>
  <c r="AA814" i="1"/>
  <c r="Z814" i="1"/>
  <c r="Y814" i="1"/>
  <c r="W814" i="1" s="1"/>
  <c r="X814" i="1"/>
  <c r="U814" i="1"/>
  <c r="AC813" i="1"/>
  <c r="AB813" i="1"/>
  <c r="AA813" i="1"/>
  <c r="Z813" i="1"/>
  <c r="Y813" i="1"/>
  <c r="W813" i="1" s="1"/>
  <c r="X813" i="1"/>
  <c r="U813" i="1"/>
  <c r="AC812" i="1"/>
  <c r="AB812" i="1"/>
  <c r="AA812" i="1"/>
  <c r="Z812" i="1"/>
  <c r="Y812" i="1"/>
  <c r="W812" i="1" s="1"/>
  <c r="X812" i="1"/>
  <c r="U812" i="1"/>
  <c r="AC811" i="1"/>
  <c r="AB811" i="1"/>
  <c r="AA811" i="1"/>
  <c r="Z811" i="1"/>
  <c r="Y811" i="1"/>
  <c r="W811" i="1" s="1"/>
  <c r="X811" i="1"/>
  <c r="U811" i="1"/>
  <c r="AC810" i="1"/>
  <c r="AB810" i="1"/>
  <c r="AA810" i="1"/>
  <c r="Z810" i="1"/>
  <c r="Y810" i="1"/>
  <c r="W810" i="1" s="1"/>
  <c r="X810" i="1"/>
  <c r="U810" i="1"/>
  <c r="AC809" i="1"/>
  <c r="AB809" i="1"/>
  <c r="AA809" i="1"/>
  <c r="Z809" i="1"/>
  <c r="Y809" i="1"/>
  <c r="W809" i="1" s="1"/>
  <c r="X809" i="1"/>
  <c r="U809" i="1"/>
  <c r="AC808" i="1"/>
  <c r="AB808" i="1"/>
  <c r="AA808" i="1"/>
  <c r="Z808" i="1"/>
  <c r="Y808" i="1"/>
  <c r="W808" i="1" s="1"/>
  <c r="X808" i="1"/>
  <c r="U808" i="1"/>
  <c r="AC807" i="1"/>
  <c r="AB807" i="1"/>
  <c r="AA807" i="1"/>
  <c r="Z807" i="1"/>
  <c r="Y807" i="1"/>
  <c r="W807" i="1" s="1"/>
  <c r="X807" i="1"/>
  <c r="U807" i="1"/>
  <c r="AC806" i="1"/>
  <c r="AB806" i="1"/>
  <c r="AA806" i="1"/>
  <c r="Z806" i="1"/>
  <c r="Y806" i="1"/>
  <c r="W806" i="1" s="1"/>
  <c r="X806" i="1"/>
  <c r="U806" i="1"/>
  <c r="AC805" i="1"/>
  <c r="AB805" i="1"/>
  <c r="AA805" i="1"/>
  <c r="Z805" i="1"/>
  <c r="Y805" i="1"/>
  <c r="W805" i="1" s="1"/>
  <c r="X805" i="1"/>
  <c r="U805" i="1"/>
  <c r="AC804" i="1"/>
  <c r="AB804" i="1"/>
  <c r="AA804" i="1"/>
  <c r="Z804" i="1"/>
  <c r="Y804" i="1"/>
  <c r="W804" i="1" s="1"/>
  <c r="X804" i="1"/>
  <c r="U804" i="1"/>
  <c r="AC803" i="1"/>
  <c r="AB803" i="1"/>
  <c r="AA803" i="1"/>
  <c r="Z803" i="1"/>
  <c r="Y803" i="1"/>
  <c r="W803" i="1" s="1"/>
  <c r="X803" i="1"/>
  <c r="U803" i="1"/>
  <c r="AC802" i="1"/>
  <c r="AB802" i="1"/>
  <c r="AA802" i="1"/>
  <c r="Z802" i="1"/>
  <c r="Y802" i="1"/>
  <c r="W802" i="1" s="1"/>
  <c r="X802" i="1"/>
  <c r="U802" i="1"/>
  <c r="AC801" i="1"/>
  <c r="AB801" i="1"/>
  <c r="AA801" i="1"/>
  <c r="Z801" i="1"/>
  <c r="Y801" i="1"/>
  <c r="W801" i="1" s="1"/>
  <c r="X801" i="1"/>
  <c r="U801" i="1"/>
  <c r="AC800" i="1"/>
  <c r="AB800" i="1"/>
  <c r="AA800" i="1"/>
  <c r="Z800" i="1"/>
  <c r="Y800" i="1"/>
  <c r="W800" i="1" s="1"/>
  <c r="X800" i="1"/>
  <c r="U800" i="1"/>
  <c r="AC799" i="1"/>
  <c r="AB799" i="1"/>
  <c r="AA799" i="1"/>
  <c r="Z799" i="1"/>
  <c r="Y799" i="1"/>
  <c r="W799" i="1" s="1"/>
  <c r="X799" i="1"/>
  <c r="U799" i="1"/>
  <c r="AC798" i="1"/>
  <c r="AB798" i="1"/>
  <c r="AA798" i="1"/>
  <c r="Z798" i="1"/>
  <c r="Y798" i="1"/>
  <c r="W798" i="1" s="1"/>
  <c r="X798" i="1"/>
  <c r="U798" i="1"/>
  <c r="AC797" i="1"/>
  <c r="AB797" i="1"/>
  <c r="AA797" i="1"/>
  <c r="Z797" i="1"/>
  <c r="Y797" i="1"/>
  <c r="W797" i="1" s="1"/>
  <c r="X797" i="1"/>
  <c r="U797" i="1"/>
  <c r="AC796" i="1"/>
  <c r="AB796" i="1"/>
  <c r="AA796" i="1"/>
  <c r="Z796" i="1"/>
  <c r="Y796" i="1"/>
  <c r="W796" i="1" s="1"/>
  <c r="X796" i="1"/>
  <c r="U796" i="1"/>
  <c r="AC795" i="1"/>
  <c r="AB795" i="1"/>
  <c r="AA795" i="1"/>
  <c r="Z795" i="1"/>
  <c r="Y795" i="1"/>
  <c r="W795" i="1" s="1"/>
  <c r="X795" i="1"/>
  <c r="U795" i="1"/>
  <c r="AC794" i="1"/>
  <c r="AB794" i="1"/>
  <c r="AA794" i="1"/>
  <c r="Z794" i="1"/>
  <c r="Y794" i="1"/>
  <c r="W794" i="1" s="1"/>
  <c r="X794" i="1"/>
  <c r="U794" i="1"/>
  <c r="AC793" i="1"/>
  <c r="AB793" i="1"/>
  <c r="AA793" i="1"/>
  <c r="Z793" i="1"/>
  <c r="Y793" i="1"/>
  <c r="W793" i="1" s="1"/>
  <c r="X793" i="1"/>
  <c r="U793" i="1"/>
  <c r="AC792" i="1"/>
  <c r="AB792" i="1"/>
  <c r="AA792" i="1"/>
  <c r="Z792" i="1"/>
  <c r="Y792" i="1"/>
  <c r="W792" i="1" s="1"/>
  <c r="X792" i="1"/>
  <c r="U792" i="1"/>
  <c r="AC791" i="1"/>
  <c r="AB791" i="1"/>
  <c r="AA791" i="1"/>
  <c r="Z791" i="1"/>
  <c r="Y791" i="1"/>
  <c r="W791" i="1" s="1"/>
  <c r="X791" i="1"/>
  <c r="U791" i="1"/>
  <c r="AC790" i="1"/>
  <c r="AB790" i="1"/>
  <c r="AA790" i="1"/>
  <c r="Z790" i="1"/>
  <c r="Y790" i="1"/>
  <c r="W790" i="1" s="1"/>
  <c r="X790" i="1"/>
  <c r="U790" i="1"/>
  <c r="AC789" i="1"/>
  <c r="AB789" i="1"/>
  <c r="AA789" i="1"/>
  <c r="Z789" i="1"/>
  <c r="Y789" i="1"/>
  <c r="W789" i="1" s="1"/>
  <c r="X789" i="1"/>
  <c r="U789" i="1"/>
  <c r="AC788" i="1"/>
  <c r="AB788" i="1"/>
  <c r="AA788" i="1"/>
  <c r="Z788" i="1"/>
  <c r="Y788" i="1"/>
  <c r="W788" i="1" s="1"/>
  <c r="X788" i="1"/>
  <c r="U788" i="1"/>
  <c r="AC787" i="1"/>
  <c r="AB787" i="1"/>
  <c r="AA787" i="1"/>
  <c r="Z787" i="1"/>
  <c r="Y787" i="1"/>
  <c r="W787" i="1" s="1"/>
  <c r="X787" i="1"/>
  <c r="U787" i="1"/>
  <c r="AC786" i="1"/>
  <c r="AB786" i="1"/>
  <c r="AA786" i="1"/>
  <c r="Z786" i="1"/>
  <c r="Y786" i="1"/>
  <c r="W786" i="1" s="1"/>
  <c r="X786" i="1"/>
  <c r="U786" i="1"/>
  <c r="AC785" i="1"/>
  <c r="AB785" i="1"/>
  <c r="AA785" i="1"/>
  <c r="Z785" i="1"/>
  <c r="Y785" i="1"/>
  <c r="W785" i="1" s="1"/>
  <c r="X785" i="1"/>
  <c r="U785" i="1"/>
  <c r="AC784" i="1"/>
  <c r="AB784" i="1"/>
  <c r="AA784" i="1"/>
  <c r="Z784" i="1"/>
  <c r="Y784" i="1"/>
  <c r="W784" i="1" s="1"/>
  <c r="X784" i="1"/>
  <c r="U784" i="1"/>
  <c r="AC783" i="1"/>
  <c r="AB783" i="1"/>
  <c r="AA783" i="1"/>
  <c r="Z783" i="1"/>
  <c r="Y783" i="1"/>
  <c r="W783" i="1" s="1"/>
  <c r="X783" i="1"/>
  <c r="U783" i="1"/>
  <c r="AC782" i="1"/>
  <c r="AB782" i="1"/>
  <c r="AA782" i="1"/>
  <c r="Z782" i="1"/>
  <c r="Y782" i="1"/>
  <c r="W782" i="1" s="1"/>
  <c r="X782" i="1"/>
  <c r="U782" i="1"/>
  <c r="AC781" i="1"/>
  <c r="AB781" i="1"/>
  <c r="AA781" i="1"/>
  <c r="Z781" i="1"/>
  <c r="Y781" i="1"/>
  <c r="W781" i="1" s="1"/>
  <c r="X781" i="1"/>
  <c r="U781" i="1"/>
  <c r="AC780" i="1"/>
  <c r="AB780" i="1"/>
  <c r="AA780" i="1"/>
  <c r="Z780" i="1"/>
  <c r="Y780" i="1"/>
  <c r="W780" i="1" s="1"/>
  <c r="X780" i="1"/>
  <c r="U780" i="1"/>
  <c r="AC779" i="1"/>
  <c r="AB779" i="1"/>
  <c r="AA779" i="1"/>
  <c r="Z779" i="1"/>
  <c r="Y779" i="1"/>
  <c r="W779" i="1" s="1"/>
  <c r="X779" i="1"/>
  <c r="U779" i="1"/>
  <c r="AC778" i="1"/>
  <c r="AB778" i="1"/>
  <c r="AA778" i="1"/>
  <c r="Z778" i="1"/>
  <c r="Y778" i="1"/>
  <c r="W778" i="1" s="1"/>
  <c r="X778" i="1"/>
  <c r="U778" i="1"/>
  <c r="AC777" i="1"/>
  <c r="AB777" i="1"/>
  <c r="AA777" i="1"/>
  <c r="Z777" i="1"/>
  <c r="Y777" i="1"/>
  <c r="W777" i="1" s="1"/>
  <c r="X777" i="1"/>
  <c r="U777" i="1"/>
  <c r="AC776" i="1"/>
  <c r="AB776" i="1"/>
  <c r="AA776" i="1"/>
  <c r="Z776" i="1"/>
  <c r="Y776" i="1"/>
  <c r="W776" i="1" s="1"/>
  <c r="X776" i="1"/>
  <c r="U776" i="1"/>
  <c r="AC775" i="1"/>
  <c r="AB775" i="1"/>
  <c r="AA775" i="1"/>
  <c r="Z775" i="1"/>
  <c r="Y775" i="1"/>
  <c r="W775" i="1" s="1"/>
  <c r="X775" i="1"/>
  <c r="U775" i="1"/>
  <c r="AC774" i="1"/>
  <c r="AB774" i="1"/>
  <c r="AA774" i="1"/>
  <c r="Z774" i="1"/>
  <c r="Y774" i="1"/>
  <c r="W774" i="1" s="1"/>
  <c r="X774" i="1"/>
  <c r="U774" i="1"/>
  <c r="AC773" i="1"/>
  <c r="AB773" i="1"/>
  <c r="AA773" i="1"/>
  <c r="Z773" i="1"/>
  <c r="Y773" i="1"/>
  <c r="W773" i="1" s="1"/>
  <c r="X773" i="1"/>
  <c r="U773" i="1"/>
  <c r="AC772" i="1"/>
  <c r="AB772" i="1"/>
  <c r="AA772" i="1"/>
  <c r="Z772" i="1"/>
  <c r="Y772" i="1"/>
  <c r="W772" i="1" s="1"/>
  <c r="X772" i="1"/>
  <c r="U772" i="1"/>
  <c r="AC771" i="1"/>
  <c r="AB771" i="1"/>
  <c r="AA771" i="1"/>
  <c r="Z771" i="1"/>
  <c r="Y771" i="1"/>
  <c r="W771" i="1" s="1"/>
  <c r="X771" i="1"/>
  <c r="U771" i="1"/>
  <c r="AC770" i="1"/>
  <c r="AB770" i="1"/>
  <c r="AA770" i="1"/>
  <c r="Z770" i="1"/>
  <c r="Y770" i="1"/>
  <c r="W770" i="1" s="1"/>
  <c r="X770" i="1"/>
  <c r="U770" i="1"/>
  <c r="AC769" i="1"/>
  <c r="AB769" i="1"/>
  <c r="AA769" i="1"/>
  <c r="Z769" i="1"/>
  <c r="Y769" i="1"/>
  <c r="W769" i="1" s="1"/>
  <c r="X769" i="1"/>
  <c r="U769" i="1"/>
  <c r="AC768" i="1"/>
  <c r="AB768" i="1"/>
  <c r="AA768" i="1"/>
  <c r="Z768" i="1"/>
  <c r="Y768" i="1"/>
  <c r="W768" i="1" s="1"/>
  <c r="X768" i="1"/>
  <c r="U768" i="1"/>
  <c r="AC767" i="1"/>
  <c r="AB767" i="1"/>
  <c r="AA767" i="1"/>
  <c r="Z767" i="1"/>
  <c r="Y767" i="1"/>
  <c r="W767" i="1" s="1"/>
  <c r="X767" i="1"/>
  <c r="U767" i="1"/>
  <c r="AC766" i="1"/>
  <c r="AB766" i="1"/>
  <c r="AA766" i="1"/>
  <c r="Z766" i="1"/>
  <c r="Y766" i="1"/>
  <c r="W766" i="1" s="1"/>
  <c r="X766" i="1"/>
  <c r="U766" i="1"/>
  <c r="AC765" i="1"/>
  <c r="AB765" i="1"/>
  <c r="AA765" i="1"/>
  <c r="Z765" i="1"/>
  <c r="Y765" i="1"/>
  <c r="W765" i="1" s="1"/>
  <c r="X765" i="1"/>
  <c r="U765" i="1"/>
  <c r="AC764" i="1"/>
  <c r="AB764" i="1"/>
  <c r="AA764" i="1"/>
  <c r="Z764" i="1"/>
  <c r="Y764" i="1"/>
  <c r="W764" i="1" s="1"/>
  <c r="X764" i="1"/>
  <c r="U764" i="1"/>
  <c r="AC763" i="1"/>
  <c r="AB763" i="1"/>
  <c r="AA763" i="1"/>
  <c r="Z763" i="1"/>
  <c r="Y763" i="1"/>
  <c r="W763" i="1" s="1"/>
  <c r="X763" i="1"/>
  <c r="U763" i="1"/>
  <c r="AC762" i="1"/>
  <c r="AB762" i="1"/>
  <c r="AA762" i="1"/>
  <c r="Z762" i="1"/>
  <c r="Y762" i="1"/>
  <c r="W762" i="1" s="1"/>
  <c r="X762" i="1"/>
  <c r="U762" i="1"/>
  <c r="AC761" i="1"/>
  <c r="AB761" i="1"/>
  <c r="AA761" i="1"/>
  <c r="Z761" i="1"/>
  <c r="Y761" i="1"/>
  <c r="W761" i="1" s="1"/>
  <c r="X761" i="1"/>
  <c r="U761" i="1"/>
  <c r="AC760" i="1"/>
  <c r="AB760" i="1"/>
  <c r="AA760" i="1"/>
  <c r="Z760" i="1"/>
  <c r="Y760" i="1"/>
  <c r="W760" i="1" s="1"/>
  <c r="X760" i="1"/>
  <c r="U760" i="1"/>
  <c r="AC759" i="1"/>
  <c r="AB759" i="1"/>
  <c r="AA759" i="1"/>
  <c r="Z759" i="1"/>
  <c r="Y759" i="1"/>
  <c r="W759" i="1" s="1"/>
  <c r="X759" i="1"/>
  <c r="U759" i="1"/>
  <c r="AC758" i="1"/>
  <c r="AB758" i="1"/>
  <c r="AA758" i="1"/>
  <c r="Z758" i="1"/>
  <c r="Y758" i="1"/>
  <c r="W758" i="1" s="1"/>
  <c r="X758" i="1"/>
  <c r="U758" i="1"/>
  <c r="AC757" i="1"/>
  <c r="AB757" i="1"/>
  <c r="AA757" i="1"/>
  <c r="Z757" i="1"/>
  <c r="Y757" i="1"/>
  <c r="W757" i="1" s="1"/>
  <c r="X757" i="1"/>
  <c r="U757" i="1"/>
  <c r="AC756" i="1"/>
  <c r="AB756" i="1"/>
  <c r="AA756" i="1"/>
  <c r="Z756" i="1"/>
  <c r="Y756" i="1"/>
  <c r="W756" i="1" s="1"/>
  <c r="X756" i="1"/>
  <c r="U756" i="1"/>
  <c r="AC755" i="1"/>
  <c r="AB755" i="1"/>
  <c r="AA755" i="1"/>
  <c r="Z755" i="1"/>
  <c r="Y755" i="1"/>
  <c r="W755" i="1" s="1"/>
  <c r="X755" i="1"/>
  <c r="U755" i="1"/>
  <c r="AC754" i="1"/>
  <c r="AB754" i="1"/>
  <c r="AA754" i="1"/>
  <c r="Z754" i="1"/>
  <c r="Y754" i="1"/>
  <c r="W754" i="1" s="1"/>
  <c r="X754" i="1"/>
  <c r="U754" i="1"/>
  <c r="AC753" i="1"/>
  <c r="AB753" i="1"/>
  <c r="AA753" i="1"/>
  <c r="Z753" i="1"/>
  <c r="Y753" i="1"/>
  <c r="W753" i="1" s="1"/>
  <c r="X753" i="1"/>
  <c r="U753" i="1"/>
  <c r="AC752" i="1"/>
  <c r="AB752" i="1"/>
  <c r="AA752" i="1"/>
  <c r="Z752" i="1"/>
  <c r="Y752" i="1"/>
  <c r="W752" i="1" s="1"/>
  <c r="X752" i="1"/>
  <c r="U752" i="1"/>
  <c r="AC751" i="1"/>
  <c r="AB751" i="1"/>
  <c r="AA751" i="1"/>
  <c r="Z751" i="1"/>
  <c r="Y751" i="1"/>
  <c r="W751" i="1" s="1"/>
  <c r="X751" i="1"/>
  <c r="U751" i="1"/>
  <c r="AC750" i="1"/>
  <c r="AB750" i="1"/>
  <c r="AA750" i="1"/>
  <c r="Z750" i="1"/>
  <c r="Y750" i="1"/>
  <c r="W750" i="1" s="1"/>
  <c r="X750" i="1"/>
  <c r="U750" i="1"/>
  <c r="AC749" i="1"/>
  <c r="AB749" i="1"/>
  <c r="AA749" i="1"/>
  <c r="Z749" i="1"/>
  <c r="Y749" i="1"/>
  <c r="W749" i="1" s="1"/>
  <c r="X749" i="1"/>
  <c r="U749" i="1"/>
  <c r="AC748" i="1"/>
  <c r="AB748" i="1"/>
  <c r="AA748" i="1"/>
  <c r="Z748" i="1"/>
  <c r="Y748" i="1"/>
  <c r="W748" i="1" s="1"/>
  <c r="X748" i="1"/>
  <c r="U748" i="1"/>
  <c r="AC747" i="1"/>
  <c r="AB747" i="1"/>
  <c r="AA747" i="1"/>
  <c r="Z747" i="1"/>
  <c r="Y747" i="1"/>
  <c r="W747" i="1" s="1"/>
  <c r="X747" i="1"/>
  <c r="U747" i="1"/>
  <c r="AC746" i="1"/>
  <c r="AB746" i="1"/>
  <c r="AA746" i="1"/>
  <c r="Z746" i="1"/>
  <c r="Y746" i="1"/>
  <c r="W746" i="1" s="1"/>
  <c r="X746" i="1"/>
  <c r="U746" i="1"/>
  <c r="AC745" i="1"/>
  <c r="AB745" i="1"/>
  <c r="AA745" i="1"/>
  <c r="Z745" i="1"/>
  <c r="Y745" i="1"/>
  <c r="W745" i="1" s="1"/>
  <c r="X745" i="1"/>
  <c r="U745" i="1"/>
  <c r="AC744" i="1"/>
  <c r="AB744" i="1"/>
  <c r="AA744" i="1"/>
  <c r="Z744" i="1"/>
  <c r="Y744" i="1"/>
  <c r="W744" i="1" s="1"/>
  <c r="X744" i="1"/>
  <c r="U744" i="1"/>
  <c r="AC743" i="1"/>
  <c r="AB743" i="1"/>
  <c r="AA743" i="1"/>
  <c r="Z743" i="1"/>
  <c r="Y743" i="1"/>
  <c r="W743" i="1" s="1"/>
  <c r="X743" i="1"/>
  <c r="U743" i="1"/>
  <c r="AC742" i="1"/>
  <c r="AB742" i="1"/>
  <c r="AA742" i="1"/>
  <c r="Z742" i="1"/>
  <c r="Y742" i="1"/>
  <c r="W742" i="1" s="1"/>
  <c r="X742" i="1"/>
  <c r="U742" i="1"/>
  <c r="AC741" i="1"/>
  <c r="AB741" i="1"/>
  <c r="AA741" i="1"/>
  <c r="Z741" i="1"/>
  <c r="Y741" i="1"/>
  <c r="W741" i="1" s="1"/>
  <c r="X741" i="1"/>
  <c r="U741" i="1"/>
  <c r="AC740" i="1"/>
  <c r="AB740" i="1"/>
  <c r="AA740" i="1"/>
  <c r="Z740" i="1"/>
  <c r="Y740" i="1"/>
  <c r="W740" i="1" s="1"/>
  <c r="X740" i="1"/>
  <c r="U740" i="1"/>
  <c r="AC739" i="1"/>
  <c r="AB739" i="1"/>
  <c r="AA739" i="1"/>
  <c r="Z739" i="1"/>
  <c r="Y739" i="1"/>
  <c r="W739" i="1" s="1"/>
  <c r="X739" i="1"/>
  <c r="U739" i="1"/>
  <c r="AC738" i="1"/>
  <c r="AB738" i="1"/>
  <c r="AA738" i="1"/>
  <c r="Z738" i="1"/>
  <c r="Y738" i="1"/>
  <c r="W738" i="1" s="1"/>
  <c r="X738" i="1"/>
  <c r="U738" i="1"/>
  <c r="AC737" i="1"/>
  <c r="AB737" i="1"/>
  <c r="AA737" i="1"/>
  <c r="Z737" i="1"/>
  <c r="Y737" i="1"/>
  <c r="W737" i="1" s="1"/>
  <c r="X737" i="1"/>
  <c r="U737" i="1"/>
  <c r="AC736" i="1"/>
  <c r="AB736" i="1"/>
  <c r="AA736" i="1"/>
  <c r="Z736" i="1"/>
  <c r="Y736" i="1"/>
  <c r="W736" i="1" s="1"/>
  <c r="X736" i="1"/>
  <c r="U736" i="1"/>
  <c r="AC735" i="1"/>
  <c r="AB735" i="1"/>
  <c r="AA735" i="1"/>
  <c r="Z735" i="1"/>
  <c r="Y735" i="1"/>
  <c r="W735" i="1" s="1"/>
  <c r="X735" i="1"/>
  <c r="U735" i="1"/>
  <c r="AC734" i="1"/>
  <c r="AB734" i="1"/>
  <c r="AA734" i="1"/>
  <c r="Z734" i="1"/>
  <c r="Y734" i="1"/>
  <c r="W734" i="1" s="1"/>
  <c r="X734" i="1"/>
  <c r="U734" i="1"/>
  <c r="AC733" i="1"/>
  <c r="AB733" i="1"/>
  <c r="AA733" i="1"/>
  <c r="Z733" i="1"/>
  <c r="Y733" i="1"/>
  <c r="W733" i="1" s="1"/>
  <c r="X733" i="1"/>
  <c r="U733" i="1"/>
  <c r="AC732" i="1"/>
  <c r="AB732" i="1"/>
  <c r="AA732" i="1"/>
  <c r="Z732" i="1"/>
  <c r="Y732" i="1"/>
  <c r="W732" i="1" s="1"/>
  <c r="X732" i="1"/>
  <c r="U732" i="1"/>
  <c r="AC731" i="1"/>
  <c r="AB731" i="1"/>
  <c r="AA731" i="1"/>
  <c r="Z731" i="1"/>
  <c r="Y731" i="1"/>
  <c r="W731" i="1" s="1"/>
  <c r="X731" i="1"/>
  <c r="U731" i="1"/>
  <c r="AC730" i="1"/>
  <c r="AB730" i="1"/>
  <c r="AA730" i="1"/>
  <c r="Z730" i="1"/>
  <c r="Y730" i="1"/>
  <c r="W730" i="1" s="1"/>
  <c r="X730" i="1"/>
  <c r="U730" i="1"/>
  <c r="AC729" i="1"/>
  <c r="AB729" i="1"/>
  <c r="AA729" i="1"/>
  <c r="Z729" i="1"/>
  <c r="Y729" i="1"/>
  <c r="W729" i="1" s="1"/>
  <c r="X729" i="1"/>
  <c r="U729" i="1"/>
  <c r="AC728" i="1"/>
  <c r="AB728" i="1"/>
  <c r="AA728" i="1"/>
  <c r="Z728" i="1"/>
  <c r="Y728" i="1"/>
  <c r="W728" i="1" s="1"/>
  <c r="X728" i="1"/>
  <c r="U728" i="1"/>
  <c r="AC727" i="1"/>
  <c r="AB727" i="1"/>
  <c r="AA727" i="1"/>
  <c r="Z727" i="1"/>
  <c r="Y727" i="1"/>
  <c r="W727" i="1" s="1"/>
  <c r="X727" i="1"/>
  <c r="U727" i="1"/>
  <c r="AC726" i="1"/>
  <c r="AB726" i="1"/>
  <c r="AA726" i="1"/>
  <c r="Z726" i="1"/>
  <c r="Y726" i="1"/>
  <c r="W726" i="1" s="1"/>
  <c r="X726" i="1"/>
  <c r="U726" i="1"/>
  <c r="AC725" i="1"/>
  <c r="AB725" i="1"/>
  <c r="AA725" i="1"/>
  <c r="Z725" i="1"/>
  <c r="Y725" i="1"/>
  <c r="W725" i="1" s="1"/>
  <c r="X725" i="1"/>
  <c r="U725" i="1"/>
  <c r="AC724" i="1"/>
  <c r="AB724" i="1"/>
  <c r="AA724" i="1"/>
  <c r="Z724" i="1"/>
  <c r="Y724" i="1"/>
  <c r="W724" i="1" s="1"/>
  <c r="X724" i="1"/>
  <c r="U724" i="1"/>
  <c r="AC723" i="1"/>
  <c r="AB723" i="1"/>
  <c r="AA723" i="1"/>
  <c r="Z723" i="1"/>
  <c r="Y723" i="1"/>
  <c r="W723" i="1" s="1"/>
  <c r="X723" i="1"/>
  <c r="U723" i="1"/>
  <c r="AC722" i="1"/>
  <c r="AB722" i="1"/>
  <c r="AA722" i="1"/>
  <c r="Z722" i="1"/>
  <c r="Y722" i="1"/>
  <c r="W722" i="1" s="1"/>
  <c r="X722" i="1"/>
  <c r="U722" i="1"/>
  <c r="AC721" i="1"/>
  <c r="AB721" i="1"/>
  <c r="AA721" i="1"/>
  <c r="Z721" i="1"/>
  <c r="Y721" i="1"/>
  <c r="W721" i="1" s="1"/>
  <c r="X721" i="1"/>
  <c r="U721" i="1"/>
  <c r="AC720" i="1"/>
  <c r="AB720" i="1"/>
  <c r="AA720" i="1"/>
  <c r="Z720" i="1"/>
  <c r="Y720" i="1"/>
  <c r="W720" i="1" s="1"/>
  <c r="X720" i="1"/>
  <c r="U720" i="1"/>
  <c r="AC719" i="1"/>
  <c r="AB719" i="1"/>
  <c r="AA719" i="1"/>
  <c r="Z719" i="1"/>
  <c r="Y719" i="1"/>
  <c r="W719" i="1" s="1"/>
  <c r="X719" i="1"/>
  <c r="U719" i="1"/>
  <c r="AC718" i="1"/>
  <c r="AB718" i="1"/>
  <c r="AA718" i="1"/>
  <c r="Z718" i="1"/>
  <c r="Y718" i="1"/>
  <c r="W718" i="1" s="1"/>
  <c r="X718" i="1"/>
  <c r="U718" i="1"/>
  <c r="AC717" i="1"/>
  <c r="AB717" i="1"/>
  <c r="AA717" i="1"/>
  <c r="Z717" i="1"/>
  <c r="Y717" i="1"/>
  <c r="W717" i="1" s="1"/>
  <c r="X717" i="1"/>
  <c r="U717" i="1"/>
  <c r="AC716" i="1"/>
  <c r="AB716" i="1"/>
  <c r="AA716" i="1"/>
  <c r="Z716" i="1"/>
  <c r="Y716" i="1"/>
  <c r="W716" i="1" s="1"/>
  <c r="X716" i="1"/>
  <c r="U716" i="1"/>
  <c r="AC715" i="1"/>
  <c r="AB715" i="1"/>
  <c r="AA715" i="1"/>
  <c r="Z715" i="1"/>
  <c r="Y715" i="1"/>
  <c r="W715" i="1" s="1"/>
  <c r="X715" i="1"/>
  <c r="U715" i="1"/>
  <c r="AC714" i="1"/>
  <c r="AB714" i="1"/>
  <c r="AA714" i="1"/>
  <c r="Z714" i="1"/>
  <c r="Y714" i="1"/>
  <c r="W714" i="1" s="1"/>
  <c r="X714" i="1"/>
  <c r="U714" i="1"/>
  <c r="AC713" i="1"/>
  <c r="AB713" i="1"/>
  <c r="AA713" i="1"/>
  <c r="Z713" i="1"/>
  <c r="Y713" i="1"/>
  <c r="W713" i="1" s="1"/>
  <c r="X713" i="1"/>
  <c r="U713" i="1"/>
  <c r="AC712" i="1"/>
  <c r="AB712" i="1"/>
  <c r="AA712" i="1"/>
  <c r="Z712" i="1"/>
  <c r="Y712" i="1"/>
  <c r="W712" i="1" s="1"/>
  <c r="X712" i="1"/>
  <c r="U712" i="1"/>
  <c r="AC711" i="1"/>
  <c r="AB711" i="1"/>
  <c r="AA711" i="1"/>
  <c r="Z711" i="1"/>
  <c r="Y711" i="1"/>
  <c r="W711" i="1" s="1"/>
  <c r="X711" i="1"/>
  <c r="U711" i="1"/>
  <c r="AC710" i="1"/>
  <c r="AB710" i="1"/>
  <c r="AA710" i="1"/>
  <c r="Z710" i="1"/>
  <c r="Y710" i="1"/>
  <c r="W710" i="1" s="1"/>
  <c r="X710" i="1"/>
  <c r="U710" i="1"/>
  <c r="AC709" i="1"/>
  <c r="AB709" i="1"/>
  <c r="AA709" i="1"/>
  <c r="Z709" i="1"/>
  <c r="Y709" i="1"/>
  <c r="W709" i="1" s="1"/>
  <c r="X709" i="1"/>
  <c r="U709" i="1"/>
  <c r="AC708" i="1"/>
  <c r="AB708" i="1"/>
  <c r="AA708" i="1"/>
  <c r="Z708" i="1"/>
  <c r="Y708" i="1"/>
  <c r="W708" i="1" s="1"/>
  <c r="X708" i="1"/>
  <c r="U708" i="1"/>
  <c r="AC707" i="1"/>
  <c r="AB707" i="1"/>
  <c r="AA707" i="1"/>
  <c r="Z707" i="1"/>
  <c r="Y707" i="1"/>
  <c r="W707" i="1" s="1"/>
  <c r="X707" i="1"/>
  <c r="U707" i="1"/>
  <c r="AC706" i="1"/>
  <c r="AB706" i="1"/>
  <c r="AA706" i="1"/>
  <c r="Z706" i="1"/>
  <c r="Y706" i="1"/>
  <c r="W706" i="1" s="1"/>
  <c r="X706" i="1"/>
  <c r="U706" i="1"/>
  <c r="AC705" i="1"/>
  <c r="AB705" i="1"/>
  <c r="AA705" i="1"/>
  <c r="Z705" i="1"/>
  <c r="Y705" i="1"/>
  <c r="W705" i="1" s="1"/>
  <c r="X705" i="1"/>
  <c r="U705" i="1"/>
  <c r="AC704" i="1"/>
  <c r="AB704" i="1"/>
  <c r="AA704" i="1"/>
  <c r="Z704" i="1"/>
  <c r="Y704" i="1"/>
  <c r="W704" i="1" s="1"/>
  <c r="X704" i="1"/>
  <c r="U704" i="1"/>
  <c r="AC703" i="1"/>
  <c r="AB703" i="1"/>
  <c r="AA703" i="1"/>
  <c r="Z703" i="1"/>
  <c r="Y703" i="1"/>
  <c r="W703" i="1" s="1"/>
  <c r="X703" i="1"/>
  <c r="U703" i="1"/>
  <c r="AC702" i="1"/>
  <c r="AB702" i="1"/>
  <c r="AA702" i="1"/>
  <c r="Z702" i="1"/>
  <c r="Y702" i="1"/>
  <c r="W702" i="1" s="1"/>
  <c r="X702" i="1"/>
  <c r="U702" i="1"/>
  <c r="AC701" i="1"/>
  <c r="AB701" i="1"/>
  <c r="AA701" i="1"/>
  <c r="Z701" i="1"/>
  <c r="Y701" i="1"/>
  <c r="W701" i="1" s="1"/>
  <c r="X701" i="1"/>
  <c r="U701" i="1"/>
  <c r="AC700" i="1"/>
  <c r="AB700" i="1"/>
  <c r="AA700" i="1"/>
  <c r="Z700" i="1"/>
  <c r="Y700" i="1"/>
  <c r="W700" i="1" s="1"/>
  <c r="X700" i="1"/>
  <c r="U700" i="1"/>
  <c r="AC699" i="1"/>
  <c r="AB699" i="1"/>
  <c r="AA699" i="1"/>
  <c r="Z699" i="1"/>
  <c r="Y699" i="1"/>
  <c r="W699" i="1" s="1"/>
  <c r="X699" i="1"/>
  <c r="U699" i="1"/>
  <c r="AC698" i="1"/>
  <c r="AB698" i="1"/>
  <c r="AA698" i="1"/>
  <c r="Z698" i="1"/>
  <c r="Y698" i="1"/>
  <c r="W698" i="1" s="1"/>
  <c r="X698" i="1"/>
  <c r="U698" i="1"/>
  <c r="AC697" i="1"/>
  <c r="AB697" i="1"/>
  <c r="AA697" i="1"/>
  <c r="Z697" i="1"/>
  <c r="Y697" i="1"/>
  <c r="W697" i="1" s="1"/>
  <c r="X697" i="1"/>
  <c r="U697" i="1"/>
  <c r="AC696" i="1"/>
  <c r="AB696" i="1"/>
  <c r="AA696" i="1"/>
  <c r="Z696" i="1"/>
  <c r="Y696" i="1"/>
  <c r="W696" i="1" s="1"/>
  <c r="X696" i="1"/>
  <c r="U696" i="1"/>
  <c r="AC695" i="1"/>
  <c r="AB695" i="1"/>
  <c r="AA695" i="1"/>
  <c r="Z695" i="1"/>
  <c r="Y695" i="1"/>
  <c r="W695" i="1" s="1"/>
  <c r="X695" i="1"/>
  <c r="U695" i="1"/>
  <c r="AC694" i="1"/>
  <c r="AB694" i="1"/>
  <c r="AA694" i="1"/>
  <c r="Z694" i="1"/>
  <c r="Y694" i="1"/>
  <c r="W694" i="1" s="1"/>
  <c r="X694" i="1"/>
  <c r="U694" i="1"/>
  <c r="AC693" i="1"/>
  <c r="AB693" i="1"/>
  <c r="AA693" i="1"/>
  <c r="Z693" i="1"/>
  <c r="Y693" i="1"/>
  <c r="W693" i="1" s="1"/>
  <c r="X693" i="1"/>
  <c r="U693" i="1"/>
  <c r="AC692" i="1"/>
  <c r="AB692" i="1"/>
  <c r="AA692" i="1"/>
  <c r="Z692" i="1"/>
  <c r="Y692" i="1"/>
  <c r="W692" i="1" s="1"/>
  <c r="X692" i="1"/>
  <c r="U692" i="1"/>
  <c r="AC691" i="1"/>
  <c r="AB691" i="1"/>
  <c r="AA691" i="1"/>
  <c r="Z691" i="1"/>
  <c r="Y691" i="1"/>
  <c r="W691" i="1" s="1"/>
  <c r="X691" i="1"/>
  <c r="U691" i="1"/>
  <c r="AC690" i="1"/>
  <c r="AB690" i="1"/>
  <c r="AA690" i="1"/>
  <c r="Z690" i="1"/>
  <c r="Y690" i="1"/>
  <c r="W690" i="1" s="1"/>
  <c r="X690" i="1"/>
  <c r="U690" i="1"/>
  <c r="AC689" i="1"/>
  <c r="AB689" i="1"/>
  <c r="AA689" i="1"/>
  <c r="Z689" i="1"/>
  <c r="Y689" i="1"/>
  <c r="W689" i="1" s="1"/>
  <c r="X689" i="1"/>
  <c r="U689" i="1"/>
  <c r="AC688" i="1"/>
  <c r="AB688" i="1"/>
  <c r="AA688" i="1"/>
  <c r="Z688" i="1"/>
  <c r="Y688" i="1"/>
  <c r="W688" i="1" s="1"/>
  <c r="X688" i="1"/>
  <c r="U688" i="1"/>
  <c r="AC687" i="1"/>
  <c r="AB687" i="1"/>
  <c r="AA687" i="1"/>
  <c r="Z687" i="1"/>
  <c r="Y687" i="1"/>
  <c r="W687" i="1" s="1"/>
  <c r="X687" i="1"/>
  <c r="U687" i="1"/>
  <c r="AC686" i="1"/>
  <c r="AB686" i="1"/>
  <c r="AA686" i="1"/>
  <c r="Z686" i="1"/>
  <c r="Y686" i="1"/>
  <c r="W686" i="1" s="1"/>
  <c r="X686" i="1"/>
  <c r="U686" i="1"/>
  <c r="AC685" i="1"/>
  <c r="AB685" i="1"/>
  <c r="AA685" i="1"/>
  <c r="Z685" i="1"/>
  <c r="Y685" i="1"/>
  <c r="W685" i="1" s="1"/>
  <c r="X685" i="1"/>
  <c r="U685" i="1"/>
  <c r="AC684" i="1"/>
  <c r="AB684" i="1"/>
  <c r="AA684" i="1"/>
  <c r="Z684" i="1"/>
  <c r="Y684" i="1"/>
  <c r="W684" i="1" s="1"/>
  <c r="X684" i="1"/>
  <c r="U684" i="1"/>
  <c r="AC683" i="1"/>
  <c r="AB683" i="1"/>
  <c r="AA683" i="1"/>
  <c r="Z683" i="1"/>
  <c r="Y683" i="1"/>
  <c r="W683" i="1" s="1"/>
  <c r="X683" i="1"/>
  <c r="U683" i="1"/>
  <c r="AC682" i="1"/>
  <c r="AB682" i="1"/>
  <c r="AA682" i="1"/>
  <c r="Z682" i="1"/>
  <c r="Y682" i="1"/>
  <c r="W682" i="1" s="1"/>
  <c r="X682" i="1"/>
  <c r="U682" i="1"/>
  <c r="AC681" i="1"/>
  <c r="AB681" i="1"/>
  <c r="AA681" i="1"/>
  <c r="Z681" i="1"/>
  <c r="Y681" i="1"/>
  <c r="W681" i="1" s="1"/>
  <c r="X681" i="1"/>
  <c r="U681" i="1"/>
  <c r="AC680" i="1"/>
  <c r="AB680" i="1"/>
  <c r="AA680" i="1"/>
  <c r="Z680" i="1"/>
  <c r="Y680" i="1"/>
  <c r="W680" i="1" s="1"/>
  <c r="X680" i="1"/>
  <c r="U680" i="1"/>
  <c r="AC679" i="1"/>
  <c r="AB679" i="1"/>
  <c r="AA679" i="1"/>
  <c r="Z679" i="1"/>
  <c r="Y679" i="1"/>
  <c r="W679" i="1" s="1"/>
  <c r="X679" i="1"/>
  <c r="U679" i="1"/>
  <c r="AC678" i="1"/>
  <c r="AB678" i="1"/>
  <c r="AA678" i="1"/>
  <c r="Z678" i="1"/>
  <c r="Y678" i="1"/>
  <c r="W678" i="1" s="1"/>
  <c r="X678" i="1"/>
  <c r="U678" i="1"/>
  <c r="AC677" i="1"/>
  <c r="AB677" i="1"/>
  <c r="AA677" i="1"/>
  <c r="Z677" i="1"/>
  <c r="Y677" i="1"/>
  <c r="W677" i="1" s="1"/>
  <c r="X677" i="1"/>
  <c r="U677" i="1"/>
  <c r="AC676" i="1"/>
  <c r="AB676" i="1"/>
  <c r="AA676" i="1"/>
  <c r="Z676" i="1"/>
  <c r="Y676" i="1"/>
  <c r="W676" i="1" s="1"/>
  <c r="X676" i="1"/>
  <c r="U676" i="1"/>
  <c r="AC675" i="1"/>
  <c r="AB675" i="1"/>
  <c r="AA675" i="1"/>
  <c r="Z675" i="1"/>
  <c r="Y675" i="1"/>
  <c r="W675" i="1" s="1"/>
  <c r="X675" i="1"/>
  <c r="U675" i="1"/>
  <c r="AC674" i="1"/>
  <c r="AB674" i="1"/>
  <c r="AA674" i="1"/>
  <c r="Z674" i="1"/>
  <c r="Y674" i="1"/>
  <c r="W674" i="1" s="1"/>
  <c r="X674" i="1"/>
  <c r="U674" i="1"/>
  <c r="AC673" i="1"/>
  <c r="AB673" i="1"/>
  <c r="AA673" i="1"/>
  <c r="Z673" i="1"/>
  <c r="Y673" i="1"/>
  <c r="W673" i="1" s="1"/>
  <c r="X673" i="1"/>
  <c r="U673" i="1"/>
  <c r="AC672" i="1"/>
  <c r="AB672" i="1"/>
  <c r="AA672" i="1"/>
  <c r="Z672" i="1"/>
  <c r="Y672" i="1"/>
  <c r="W672" i="1" s="1"/>
  <c r="X672" i="1"/>
  <c r="U672" i="1"/>
  <c r="AC671" i="1"/>
  <c r="AB671" i="1"/>
  <c r="AA671" i="1"/>
  <c r="Z671" i="1"/>
  <c r="Y671" i="1"/>
  <c r="W671" i="1" s="1"/>
  <c r="X671" i="1"/>
  <c r="U671" i="1"/>
  <c r="AC670" i="1"/>
  <c r="AB670" i="1"/>
  <c r="AA670" i="1"/>
  <c r="Z670" i="1"/>
  <c r="Y670" i="1"/>
  <c r="W670" i="1" s="1"/>
  <c r="X670" i="1"/>
  <c r="U670" i="1"/>
  <c r="AC669" i="1"/>
  <c r="AB669" i="1"/>
  <c r="AA669" i="1"/>
  <c r="Z669" i="1"/>
  <c r="Y669" i="1"/>
  <c r="W669" i="1" s="1"/>
  <c r="X669" i="1"/>
  <c r="U669" i="1"/>
  <c r="AC668" i="1"/>
  <c r="AB668" i="1"/>
  <c r="AA668" i="1"/>
  <c r="Z668" i="1"/>
  <c r="Y668" i="1"/>
  <c r="W668" i="1" s="1"/>
  <c r="X668" i="1"/>
  <c r="U668" i="1"/>
  <c r="AC667" i="1"/>
  <c r="AB667" i="1"/>
  <c r="AA667" i="1"/>
  <c r="Z667" i="1"/>
  <c r="Y667" i="1"/>
  <c r="W667" i="1" s="1"/>
  <c r="X667" i="1"/>
  <c r="U667" i="1"/>
  <c r="AC666" i="1"/>
  <c r="AB666" i="1"/>
  <c r="AA666" i="1"/>
  <c r="Z666" i="1"/>
  <c r="Y666" i="1"/>
  <c r="W666" i="1" s="1"/>
  <c r="X666" i="1"/>
  <c r="U666" i="1"/>
  <c r="AC665" i="1"/>
  <c r="AB665" i="1"/>
  <c r="AA665" i="1"/>
  <c r="Z665" i="1"/>
  <c r="Y665" i="1"/>
  <c r="W665" i="1" s="1"/>
  <c r="X665" i="1"/>
  <c r="U665" i="1"/>
  <c r="AC664" i="1"/>
  <c r="AB664" i="1"/>
  <c r="AA664" i="1"/>
  <c r="Z664" i="1"/>
  <c r="Y664" i="1"/>
  <c r="W664" i="1" s="1"/>
  <c r="X664" i="1"/>
  <c r="U664" i="1"/>
  <c r="AC663" i="1"/>
  <c r="AB663" i="1"/>
  <c r="AA663" i="1"/>
  <c r="Z663" i="1"/>
  <c r="Y663" i="1"/>
  <c r="W663" i="1" s="1"/>
  <c r="X663" i="1"/>
  <c r="U663" i="1"/>
  <c r="AC662" i="1"/>
  <c r="AB662" i="1"/>
  <c r="AA662" i="1"/>
  <c r="Z662" i="1"/>
  <c r="Y662" i="1"/>
  <c r="W662" i="1" s="1"/>
  <c r="X662" i="1"/>
  <c r="U662" i="1"/>
  <c r="AC661" i="1"/>
  <c r="AB661" i="1"/>
  <c r="AA661" i="1"/>
  <c r="Z661" i="1"/>
  <c r="Y661" i="1"/>
  <c r="W661" i="1" s="1"/>
  <c r="X661" i="1"/>
  <c r="U661" i="1"/>
  <c r="AC660" i="1"/>
  <c r="AB660" i="1"/>
  <c r="AA660" i="1"/>
  <c r="Z660" i="1"/>
  <c r="Y660" i="1"/>
  <c r="W660" i="1" s="1"/>
  <c r="X660" i="1"/>
  <c r="U660" i="1"/>
  <c r="AC659" i="1"/>
  <c r="AB659" i="1"/>
  <c r="AA659" i="1"/>
  <c r="Z659" i="1"/>
  <c r="Y659" i="1"/>
  <c r="W659" i="1" s="1"/>
  <c r="X659" i="1"/>
  <c r="U659" i="1"/>
  <c r="AC658" i="1"/>
  <c r="AB658" i="1"/>
  <c r="AA658" i="1"/>
  <c r="Z658" i="1"/>
  <c r="Y658" i="1"/>
  <c r="W658" i="1" s="1"/>
  <c r="X658" i="1"/>
  <c r="U658" i="1"/>
  <c r="AC657" i="1"/>
  <c r="AB657" i="1"/>
  <c r="AA657" i="1"/>
  <c r="Z657" i="1"/>
  <c r="Y657" i="1"/>
  <c r="W657" i="1" s="1"/>
  <c r="X657" i="1"/>
  <c r="U657" i="1"/>
  <c r="AC656" i="1"/>
  <c r="AB656" i="1"/>
  <c r="AA656" i="1"/>
  <c r="Z656" i="1"/>
  <c r="Y656" i="1"/>
  <c r="W656" i="1" s="1"/>
  <c r="X656" i="1"/>
  <c r="U656" i="1"/>
  <c r="AC655" i="1"/>
  <c r="AB655" i="1"/>
  <c r="AA655" i="1"/>
  <c r="Z655" i="1"/>
  <c r="Y655" i="1"/>
  <c r="W655" i="1" s="1"/>
  <c r="X655" i="1"/>
  <c r="U655" i="1"/>
  <c r="AC654" i="1"/>
  <c r="AB654" i="1"/>
  <c r="AA654" i="1"/>
  <c r="Z654" i="1"/>
  <c r="Y654" i="1"/>
  <c r="W654" i="1" s="1"/>
  <c r="X654" i="1"/>
  <c r="U654" i="1"/>
  <c r="AC653" i="1"/>
  <c r="AB653" i="1"/>
  <c r="AA653" i="1"/>
  <c r="Z653" i="1"/>
  <c r="Y653" i="1"/>
  <c r="W653" i="1" s="1"/>
  <c r="X653" i="1"/>
  <c r="U653" i="1"/>
  <c r="AC652" i="1"/>
  <c r="AB652" i="1"/>
  <c r="AA652" i="1"/>
  <c r="Z652" i="1"/>
  <c r="Y652" i="1"/>
  <c r="W652" i="1" s="1"/>
  <c r="X652" i="1"/>
  <c r="U652" i="1"/>
  <c r="AC651" i="1"/>
  <c r="AB651" i="1"/>
  <c r="AA651" i="1"/>
  <c r="Z651" i="1"/>
  <c r="Y651" i="1"/>
  <c r="W651" i="1" s="1"/>
  <c r="X651" i="1"/>
  <c r="U651" i="1"/>
  <c r="AC650" i="1"/>
  <c r="AB650" i="1"/>
  <c r="AA650" i="1"/>
  <c r="Z650" i="1"/>
  <c r="Y650" i="1"/>
  <c r="W650" i="1" s="1"/>
  <c r="X650" i="1"/>
  <c r="U650" i="1"/>
  <c r="AC649" i="1"/>
  <c r="AB649" i="1"/>
  <c r="AA649" i="1"/>
  <c r="Z649" i="1"/>
  <c r="Y649" i="1"/>
  <c r="W649" i="1" s="1"/>
  <c r="X649" i="1"/>
  <c r="U649" i="1"/>
  <c r="AC648" i="1"/>
  <c r="AB648" i="1"/>
  <c r="AA648" i="1"/>
  <c r="Z648" i="1"/>
  <c r="Y648" i="1"/>
  <c r="W648" i="1" s="1"/>
  <c r="X648" i="1"/>
  <c r="U648" i="1"/>
  <c r="AC647" i="1"/>
  <c r="AB647" i="1"/>
  <c r="AA647" i="1"/>
  <c r="Z647" i="1"/>
  <c r="Y647" i="1"/>
  <c r="W647" i="1" s="1"/>
  <c r="X647" i="1"/>
  <c r="U647" i="1"/>
  <c r="AC646" i="1"/>
  <c r="AB646" i="1"/>
  <c r="AA646" i="1"/>
  <c r="Z646" i="1"/>
  <c r="Y646" i="1"/>
  <c r="W646" i="1" s="1"/>
  <c r="X646" i="1"/>
  <c r="U646" i="1"/>
  <c r="AC645" i="1"/>
  <c r="AB645" i="1"/>
  <c r="AA645" i="1"/>
  <c r="Z645" i="1"/>
  <c r="Y645" i="1"/>
  <c r="W645" i="1" s="1"/>
  <c r="X645" i="1"/>
  <c r="U645" i="1"/>
  <c r="AC644" i="1"/>
  <c r="AB644" i="1"/>
  <c r="AA644" i="1"/>
  <c r="Z644" i="1"/>
  <c r="Y644" i="1"/>
  <c r="W644" i="1" s="1"/>
  <c r="X644" i="1"/>
  <c r="U644" i="1"/>
  <c r="AC643" i="1"/>
  <c r="AB643" i="1"/>
  <c r="AA643" i="1"/>
  <c r="Z643" i="1"/>
  <c r="Y643" i="1"/>
  <c r="W643" i="1" s="1"/>
  <c r="X643" i="1"/>
  <c r="U643" i="1"/>
  <c r="AC642" i="1"/>
  <c r="AB642" i="1"/>
  <c r="AA642" i="1"/>
  <c r="Z642" i="1"/>
  <c r="Y642" i="1"/>
  <c r="W642" i="1" s="1"/>
  <c r="X642" i="1"/>
  <c r="U642" i="1"/>
  <c r="AC641" i="1"/>
  <c r="AB641" i="1"/>
  <c r="AA641" i="1"/>
  <c r="Z641" i="1"/>
  <c r="Y641" i="1"/>
  <c r="W641" i="1" s="1"/>
  <c r="X641" i="1"/>
  <c r="U641" i="1"/>
  <c r="AC640" i="1"/>
  <c r="AB640" i="1"/>
  <c r="AA640" i="1"/>
  <c r="Z640" i="1"/>
  <c r="Y640" i="1"/>
  <c r="W640" i="1" s="1"/>
  <c r="X640" i="1"/>
  <c r="U640" i="1"/>
  <c r="AC639" i="1"/>
  <c r="AB639" i="1"/>
  <c r="AA639" i="1"/>
  <c r="Z639" i="1"/>
  <c r="Y639" i="1"/>
  <c r="W639" i="1" s="1"/>
  <c r="X639" i="1"/>
  <c r="U639" i="1"/>
  <c r="AC638" i="1"/>
  <c r="AB638" i="1"/>
  <c r="AA638" i="1"/>
  <c r="Z638" i="1"/>
  <c r="Y638" i="1"/>
  <c r="W638" i="1" s="1"/>
  <c r="X638" i="1"/>
  <c r="U638" i="1"/>
  <c r="AC637" i="1"/>
  <c r="AB637" i="1"/>
  <c r="AA637" i="1"/>
  <c r="Z637" i="1"/>
  <c r="Y637" i="1"/>
  <c r="W637" i="1" s="1"/>
  <c r="X637" i="1"/>
  <c r="U637" i="1"/>
  <c r="AC636" i="1"/>
  <c r="AB636" i="1"/>
  <c r="AA636" i="1"/>
  <c r="Z636" i="1"/>
  <c r="Y636" i="1"/>
  <c r="W636" i="1" s="1"/>
  <c r="X636" i="1"/>
  <c r="U636" i="1"/>
  <c r="AC635" i="1"/>
  <c r="AB635" i="1"/>
  <c r="AA635" i="1"/>
  <c r="Z635" i="1"/>
  <c r="Y635" i="1"/>
  <c r="W635" i="1" s="1"/>
  <c r="X635" i="1"/>
  <c r="U635" i="1"/>
  <c r="AC634" i="1"/>
  <c r="AB634" i="1"/>
  <c r="AA634" i="1"/>
  <c r="Z634" i="1"/>
  <c r="Y634" i="1"/>
  <c r="W634" i="1" s="1"/>
  <c r="X634" i="1"/>
  <c r="U634" i="1"/>
  <c r="AC633" i="1"/>
  <c r="AB633" i="1"/>
  <c r="AA633" i="1"/>
  <c r="Z633" i="1"/>
  <c r="Y633" i="1"/>
  <c r="W633" i="1" s="1"/>
  <c r="X633" i="1"/>
  <c r="U633" i="1"/>
  <c r="AC632" i="1"/>
  <c r="AB632" i="1"/>
  <c r="AA632" i="1"/>
  <c r="Z632" i="1"/>
  <c r="Y632" i="1"/>
  <c r="W632" i="1" s="1"/>
  <c r="X632" i="1"/>
  <c r="U632" i="1"/>
  <c r="AC631" i="1"/>
  <c r="AB631" i="1"/>
  <c r="AA631" i="1"/>
  <c r="Z631" i="1"/>
  <c r="Y631" i="1"/>
  <c r="W631" i="1" s="1"/>
  <c r="X631" i="1"/>
  <c r="U631" i="1"/>
  <c r="AC630" i="1"/>
  <c r="AB630" i="1"/>
  <c r="AA630" i="1"/>
  <c r="Z630" i="1"/>
  <c r="Y630" i="1"/>
  <c r="W630" i="1" s="1"/>
  <c r="X630" i="1"/>
  <c r="U630" i="1"/>
  <c r="AC629" i="1"/>
  <c r="AB629" i="1"/>
  <c r="AA629" i="1"/>
  <c r="Z629" i="1"/>
  <c r="Y629" i="1"/>
  <c r="W629" i="1" s="1"/>
  <c r="X629" i="1"/>
  <c r="U629" i="1"/>
  <c r="AC628" i="1"/>
  <c r="AB628" i="1"/>
  <c r="AA628" i="1"/>
  <c r="Z628" i="1"/>
  <c r="Y628" i="1"/>
  <c r="W628" i="1" s="1"/>
  <c r="X628" i="1"/>
  <c r="U628" i="1"/>
  <c r="AC627" i="1"/>
  <c r="AB627" i="1"/>
  <c r="AA627" i="1"/>
  <c r="Z627" i="1"/>
  <c r="Y627" i="1"/>
  <c r="W627" i="1" s="1"/>
  <c r="X627" i="1"/>
  <c r="U627" i="1"/>
  <c r="AC626" i="1"/>
  <c r="AB626" i="1"/>
  <c r="AA626" i="1"/>
  <c r="Z626" i="1"/>
  <c r="Y626" i="1"/>
  <c r="W626" i="1" s="1"/>
  <c r="X626" i="1"/>
  <c r="U626" i="1"/>
  <c r="AC625" i="1"/>
  <c r="AB625" i="1"/>
  <c r="AA625" i="1"/>
  <c r="Z625" i="1"/>
  <c r="Y625" i="1"/>
  <c r="W625" i="1" s="1"/>
  <c r="X625" i="1"/>
  <c r="U625" i="1"/>
  <c r="AC624" i="1"/>
  <c r="AB624" i="1"/>
  <c r="AA624" i="1"/>
  <c r="Z624" i="1"/>
  <c r="Y624" i="1"/>
  <c r="W624" i="1" s="1"/>
  <c r="X624" i="1"/>
  <c r="U624" i="1"/>
  <c r="AC623" i="1"/>
  <c r="AB623" i="1"/>
  <c r="AA623" i="1"/>
  <c r="Z623" i="1"/>
  <c r="Y623" i="1"/>
  <c r="W623" i="1" s="1"/>
  <c r="X623" i="1"/>
  <c r="U623" i="1"/>
  <c r="AC622" i="1"/>
  <c r="AB622" i="1"/>
  <c r="AA622" i="1"/>
  <c r="Z622" i="1"/>
  <c r="Y622" i="1"/>
  <c r="W622" i="1" s="1"/>
  <c r="X622" i="1"/>
  <c r="U622" i="1"/>
  <c r="AC621" i="1"/>
  <c r="AB621" i="1"/>
  <c r="AA621" i="1"/>
  <c r="Z621" i="1"/>
  <c r="Y621" i="1"/>
  <c r="W621" i="1" s="1"/>
  <c r="X621" i="1"/>
  <c r="U621" i="1"/>
  <c r="AC620" i="1"/>
  <c r="AB620" i="1"/>
  <c r="AA620" i="1"/>
  <c r="Z620" i="1"/>
  <c r="Y620" i="1"/>
  <c r="W620" i="1" s="1"/>
  <c r="X620" i="1"/>
  <c r="U620" i="1"/>
  <c r="AC619" i="1"/>
  <c r="AB619" i="1"/>
  <c r="AA619" i="1"/>
  <c r="Z619" i="1"/>
  <c r="Y619" i="1"/>
  <c r="W619" i="1" s="1"/>
  <c r="X619" i="1"/>
  <c r="U619" i="1"/>
  <c r="AC618" i="1"/>
  <c r="AB618" i="1"/>
  <c r="AA618" i="1"/>
  <c r="Z618" i="1"/>
  <c r="Y618" i="1"/>
  <c r="W618" i="1" s="1"/>
  <c r="X618" i="1"/>
  <c r="U618" i="1"/>
  <c r="AC617" i="1"/>
  <c r="AB617" i="1"/>
  <c r="AA617" i="1"/>
  <c r="Z617" i="1"/>
  <c r="Y617" i="1"/>
  <c r="W617" i="1" s="1"/>
  <c r="X617" i="1"/>
  <c r="U617" i="1"/>
  <c r="AC616" i="1"/>
  <c r="AB616" i="1"/>
  <c r="AA616" i="1"/>
  <c r="Z616" i="1"/>
  <c r="Y616" i="1"/>
  <c r="W616" i="1" s="1"/>
  <c r="X616" i="1"/>
  <c r="U616" i="1"/>
  <c r="AC615" i="1"/>
  <c r="AB615" i="1"/>
  <c r="AA615" i="1"/>
  <c r="Z615" i="1"/>
  <c r="Y615" i="1"/>
  <c r="W615" i="1" s="1"/>
  <c r="X615" i="1"/>
  <c r="U615" i="1"/>
  <c r="AC614" i="1"/>
  <c r="AB614" i="1"/>
  <c r="AA614" i="1"/>
  <c r="Z614" i="1"/>
  <c r="Y614" i="1"/>
  <c r="W614" i="1" s="1"/>
  <c r="X614" i="1"/>
  <c r="U614" i="1"/>
  <c r="AC613" i="1"/>
  <c r="AB613" i="1"/>
  <c r="AA613" i="1"/>
  <c r="Z613" i="1"/>
  <c r="Y613" i="1"/>
  <c r="W613" i="1" s="1"/>
  <c r="X613" i="1"/>
  <c r="U613" i="1"/>
  <c r="AC612" i="1"/>
  <c r="AB612" i="1"/>
  <c r="AA612" i="1"/>
  <c r="Z612" i="1"/>
  <c r="Y612" i="1"/>
  <c r="W612" i="1" s="1"/>
  <c r="X612" i="1"/>
  <c r="U612" i="1"/>
  <c r="AC611" i="1"/>
  <c r="AB611" i="1"/>
  <c r="AA611" i="1"/>
  <c r="Z611" i="1"/>
  <c r="Y611" i="1"/>
  <c r="W611" i="1" s="1"/>
  <c r="X611" i="1"/>
  <c r="U611" i="1"/>
  <c r="AC610" i="1"/>
  <c r="AB610" i="1"/>
  <c r="AA610" i="1"/>
  <c r="Z610" i="1"/>
  <c r="Y610" i="1"/>
  <c r="W610" i="1" s="1"/>
  <c r="X610" i="1"/>
  <c r="U610" i="1"/>
  <c r="AC609" i="1"/>
  <c r="AB609" i="1"/>
  <c r="AA609" i="1"/>
  <c r="Z609" i="1"/>
  <c r="Y609" i="1"/>
  <c r="W609" i="1" s="1"/>
  <c r="X609" i="1"/>
  <c r="U609" i="1"/>
  <c r="AC608" i="1"/>
  <c r="AB608" i="1"/>
  <c r="AA608" i="1"/>
  <c r="Z608" i="1"/>
  <c r="Y608" i="1"/>
  <c r="W608" i="1" s="1"/>
  <c r="X608" i="1"/>
  <c r="U608" i="1"/>
  <c r="AC607" i="1"/>
  <c r="AB607" i="1"/>
  <c r="AA607" i="1"/>
  <c r="Z607" i="1"/>
  <c r="Y607" i="1"/>
  <c r="W607" i="1" s="1"/>
  <c r="X607" i="1"/>
  <c r="U607" i="1"/>
  <c r="AC606" i="1"/>
  <c r="AB606" i="1"/>
  <c r="AA606" i="1"/>
  <c r="Z606" i="1"/>
  <c r="Y606" i="1"/>
  <c r="W606" i="1" s="1"/>
  <c r="X606" i="1"/>
  <c r="U606" i="1"/>
  <c r="AC605" i="1"/>
  <c r="AB605" i="1"/>
  <c r="AA605" i="1"/>
  <c r="Z605" i="1"/>
  <c r="Y605" i="1"/>
  <c r="W605" i="1" s="1"/>
  <c r="X605" i="1"/>
  <c r="U605" i="1"/>
  <c r="AC604" i="1"/>
  <c r="AB604" i="1"/>
  <c r="AA604" i="1"/>
  <c r="Z604" i="1"/>
  <c r="Y604" i="1"/>
  <c r="W604" i="1" s="1"/>
  <c r="X604" i="1"/>
  <c r="U604" i="1"/>
  <c r="AC603" i="1"/>
  <c r="AB603" i="1"/>
  <c r="AA603" i="1"/>
  <c r="Z603" i="1"/>
  <c r="Y603" i="1"/>
  <c r="W603" i="1" s="1"/>
  <c r="X603" i="1"/>
  <c r="U603" i="1"/>
  <c r="AC602" i="1"/>
  <c r="AB602" i="1"/>
  <c r="AA602" i="1"/>
  <c r="Z602" i="1"/>
  <c r="Y602" i="1"/>
  <c r="W602" i="1" s="1"/>
  <c r="X602" i="1"/>
  <c r="U602" i="1"/>
  <c r="AC601" i="1"/>
  <c r="AB601" i="1"/>
  <c r="AA601" i="1"/>
  <c r="Z601" i="1"/>
  <c r="Y601" i="1"/>
  <c r="W601" i="1" s="1"/>
  <c r="X601" i="1"/>
  <c r="U601" i="1"/>
  <c r="AC600" i="1"/>
  <c r="AB600" i="1"/>
  <c r="AA600" i="1"/>
  <c r="Z600" i="1"/>
  <c r="Y600" i="1"/>
  <c r="W600" i="1" s="1"/>
  <c r="X600" i="1"/>
  <c r="U600" i="1"/>
  <c r="AC599" i="1"/>
  <c r="AB599" i="1"/>
  <c r="AA599" i="1"/>
  <c r="Z599" i="1"/>
  <c r="Y599" i="1"/>
  <c r="W599" i="1" s="1"/>
  <c r="X599" i="1"/>
  <c r="U599" i="1"/>
  <c r="AC598" i="1"/>
  <c r="AB598" i="1"/>
  <c r="AA598" i="1"/>
  <c r="Z598" i="1"/>
  <c r="Y598" i="1"/>
  <c r="W598" i="1" s="1"/>
  <c r="X598" i="1"/>
  <c r="U598" i="1"/>
  <c r="AC597" i="1"/>
  <c r="AB597" i="1"/>
  <c r="AA597" i="1"/>
  <c r="Z597" i="1"/>
  <c r="Y597" i="1"/>
  <c r="W597" i="1" s="1"/>
  <c r="X597" i="1"/>
  <c r="U597" i="1"/>
  <c r="AC596" i="1"/>
  <c r="AB596" i="1"/>
  <c r="AA596" i="1"/>
  <c r="Z596" i="1"/>
  <c r="Y596" i="1"/>
  <c r="W596" i="1" s="1"/>
  <c r="X596" i="1"/>
  <c r="U596" i="1"/>
  <c r="AC595" i="1"/>
  <c r="AB595" i="1"/>
  <c r="AA595" i="1"/>
  <c r="Z595" i="1"/>
  <c r="Y595" i="1"/>
  <c r="W595" i="1" s="1"/>
  <c r="X595" i="1"/>
  <c r="U595" i="1"/>
  <c r="AC594" i="1"/>
  <c r="AB594" i="1"/>
  <c r="AA594" i="1"/>
  <c r="Z594" i="1"/>
  <c r="Y594" i="1"/>
  <c r="W594" i="1" s="1"/>
  <c r="X594" i="1"/>
  <c r="U594" i="1"/>
  <c r="AC593" i="1"/>
  <c r="AB593" i="1"/>
  <c r="AA593" i="1"/>
  <c r="Z593" i="1"/>
  <c r="Y593" i="1"/>
  <c r="W593" i="1" s="1"/>
  <c r="X593" i="1"/>
  <c r="U593" i="1"/>
  <c r="AC592" i="1"/>
  <c r="AB592" i="1"/>
  <c r="AA592" i="1"/>
  <c r="Z592" i="1"/>
  <c r="Y592" i="1"/>
  <c r="W592" i="1" s="1"/>
  <c r="X592" i="1"/>
  <c r="U592" i="1"/>
  <c r="AC591" i="1"/>
  <c r="AB591" i="1"/>
  <c r="AA591" i="1"/>
  <c r="Z591" i="1"/>
  <c r="Y591" i="1"/>
  <c r="W591" i="1" s="1"/>
  <c r="X591" i="1"/>
  <c r="U591" i="1"/>
  <c r="AC590" i="1"/>
  <c r="AB590" i="1"/>
  <c r="AA590" i="1"/>
  <c r="Z590" i="1"/>
  <c r="Y590" i="1"/>
  <c r="W590" i="1" s="1"/>
  <c r="X590" i="1"/>
  <c r="U590" i="1"/>
  <c r="AC589" i="1"/>
  <c r="AB589" i="1"/>
  <c r="AA589" i="1"/>
  <c r="Z589" i="1"/>
  <c r="Y589" i="1"/>
  <c r="W589" i="1" s="1"/>
  <c r="X589" i="1"/>
  <c r="U589" i="1"/>
  <c r="AC588" i="1"/>
  <c r="AB588" i="1"/>
  <c r="AA588" i="1"/>
  <c r="Z588" i="1"/>
  <c r="Y588" i="1"/>
  <c r="W588" i="1" s="1"/>
  <c r="X588" i="1"/>
  <c r="U588" i="1"/>
  <c r="AC587" i="1"/>
  <c r="AB587" i="1"/>
  <c r="AA587" i="1"/>
  <c r="Z587" i="1"/>
  <c r="Y587" i="1"/>
  <c r="W587" i="1" s="1"/>
  <c r="X587" i="1"/>
  <c r="U587" i="1"/>
  <c r="AC586" i="1"/>
  <c r="AB586" i="1"/>
  <c r="AA586" i="1"/>
  <c r="Z586" i="1"/>
  <c r="Y586" i="1"/>
  <c r="W586" i="1" s="1"/>
  <c r="X586" i="1"/>
  <c r="U586" i="1"/>
  <c r="AC585" i="1"/>
  <c r="AB585" i="1"/>
  <c r="AA585" i="1"/>
  <c r="Z585" i="1"/>
  <c r="Y585" i="1"/>
  <c r="W585" i="1" s="1"/>
  <c r="X585" i="1"/>
  <c r="U585" i="1"/>
  <c r="AC584" i="1"/>
  <c r="AB584" i="1"/>
  <c r="AA584" i="1"/>
  <c r="Z584" i="1"/>
  <c r="Y584" i="1"/>
  <c r="W584" i="1" s="1"/>
  <c r="X584" i="1"/>
  <c r="U584" i="1"/>
  <c r="AC583" i="1"/>
  <c r="AB583" i="1"/>
  <c r="AA583" i="1"/>
  <c r="Z583" i="1"/>
  <c r="Y583" i="1"/>
  <c r="W583" i="1" s="1"/>
  <c r="X583" i="1"/>
  <c r="U583" i="1"/>
  <c r="AC582" i="1"/>
  <c r="AB582" i="1"/>
  <c r="AA582" i="1"/>
  <c r="Z582" i="1"/>
  <c r="Y582" i="1"/>
  <c r="W582" i="1" s="1"/>
  <c r="X582" i="1"/>
  <c r="U582" i="1"/>
  <c r="AC581" i="1"/>
  <c r="AB581" i="1"/>
  <c r="AA581" i="1"/>
  <c r="Z581" i="1"/>
  <c r="Y581" i="1"/>
  <c r="W581" i="1" s="1"/>
  <c r="X581" i="1"/>
  <c r="U581" i="1"/>
  <c r="AC580" i="1"/>
  <c r="AB580" i="1"/>
  <c r="AA580" i="1"/>
  <c r="Z580" i="1"/>
  <c r="Y580" i="1"/>
  <c r="W580" i="1" s="1"/>
  <c r="X580" i="1"/>
  <c r="U580" i="1"/>
  <c r="AC579" i="1"/>
  <c r="AB579" i="1"/>
  <c r="AA579" i="1"/>
  <c r="Z579" i="1"/>
  <c r="Y579" i="1"/>
  <c r="W579" i="1" s="1"/>
  <c r="X579" i="1"/>
  <c r="U579" i="1"/>
  <c r="AC578" i="1"/>
  <c r="AB578" i="1"/>
  <c r="AA578" i="1"/>
  <c r="Z578" i="1"/>
  <c r="Y578" i="1"/>
  <c r="W578" i="1" s="1"/>
  <c r="X578" i="1"/>
  <c r="U578" i="1"/>
  <c r="AC577" i="1"/>
  <c r="AB577" i="1"/>
  <c r="AA577" i="1"/>
  <c r="Z577" i="1"/>
  <c r="Y577" i="1"/>
  <c r="W577" i="1" s="1"/>
  <c r="X577" i="1"/>
  <c r="U577" i="1"/>
  <c r="AC576" i="1"/>
  <c r="AB576" i="1"/>
  <c r="AA576" i="1"/>
  <c r="Z576" i="1"/>
  <c r="Y576" i="1"/>
  <c r="W576" i="1" s="1"/>
  <c r="X576" i="1"/>
  <c r="U576" i="1"/>
  <c r="AC575" i="1"/>
  <c r="AB575" i="1"/>
  <c r="AA575" i="1"/>
  <c r="Z575" i="1"/>
  <c r="Y575" i="1"/>
  <c r="W575" i="1" s="1"/>
  <c r="X575" i="1"/>
  <c r="U575" i="1"/>
  <c r="AC574" i="1"/>
  <c r="AB574" i="1"/>
  <c r="AA574" i="1"/>
  <c r="Z574" i="1"/>
  <c r="Y574" i="1"/>
  <c r="W574" i="1" s="1"/>
  <c r="X574" i="1"/>
  <c r="U574" i="1"/>
  <c r="AC573" i="1"/>
  <c r="AB573" i="1"/>
  <c r="AA573" i="1"/>
  <c r="Z573" i="1"/>
  <c r="Y573" i="1"/>
  <c r="W573" i="1" s="1"/>
  <c r="X573" i="1"/>
  <c r="U573" i="1"/>
  <c r="AC572" i="1"/>
  <c r="AB572" i="1"/>
  <c r="AA572" i="1"/>
  <c r="Z572" i="1"/>
  <c r="Y572" i="1"/>
  <c r="W572" i="1" s="1"/>
  <c r="X572" i="1"/>
  <c r="U572" i="1"/>
  <c r="AC571" i="1"/>
  <c r="AB571" i="1"/>
  <c r="AA571" i="1"/>
  <c r="Z571" i="1"/>
  <c r="Y571" i="1"/>
  <c r="W571" i="1" s="1"/>
  <c r="X571" i="1"/>
  <c r="U571" i="1"/>
  <c r="AC570" i="1"/>
  <c r="AB570" i="1"/>
  <c r="AA570" i="1"/>
  <c r="Z570" i="1"/>
  <c r="Y570" i="1"/>
  <c r="W570" i="1" s="1"/>
  <c r="X570" i="1"/>
  <c r="U570" i="1"/>
  <c r="AC569" i="1"/>
  <c r="AB569" i="1"/>
  <c r="AA569" i="1"/>
  <c r="Z569" i="1"/>
  <c r="Y569" i="1"/>
  <c r="W569" i="1" s="1"/>
  <c r="X569" i="1"/>
  <c r="U569" i="1"/>
  <c r="AC568" i="1"/>
  <c r="AB568" i="1"/>
  <c r="AA568" i="1"/>
  <c r="Z568" i="1"/>
  <c r="Y568" i="1"/>
  <c r="W568" i="1" s="1"/>
  <c r="X568" i="1"/>
  <c r="U568" i="1"/>
  <c r="AC567" i="1"/>
  <c r="AB567" i="1"/>
  <c r="AA567" i="1"/>
  <c r="Z567" i="1"/>
  <c r="Y567" i="1"/>
  <c r="W567" i="1" s="1"/>
  <c r="X567" i="1"/>
  <c r="U567" i="1"/>
  <c r="AC566" i="1"/>
  <c r="AB566" i="1"/>
  <c r="AA566" i="1"/>
  <c r="Z566" i="1"/>
  <c r="Y566" i="1"/>
  <c r="W566" i="1" s="1"/>
  <c r="X566" i="1"/>
  <c r="U566" i="1"/>
  <c r="AC565" i="1"/>
  <c r="AB565" i="1"/>
  <c r="AA565" i="1"/>
  <c r="Z565" i="1"/>
  <c r="Y565" i="1"/>
  <c r="W565" i="1" s="1"/>
  <c r="X565" i="1"/>
  <c r="U565" i="1"/>
  <c r="AC564" i="1"/>
  <c r="AB564" i="1"/>
  <c r="AA564" i="1"/>
  <c r="Z564" i="1"/>
  <c r="Y564" i="1"/>
  <c r="W564" i="1" s="1"/>
  <c r="X564" i="1"/>
  <c r="U564" i="1"/>
  <c r="AC563" i="1"/>
  <c r="AB563" i="1"/>
  <c r="AA563" i="1"/>
  <c r="Z563" i="1"/>
  <c r="Y563" i="1"/>
  <c r="W563" i="1" s="1"/>
  <c r="X563" i="1"/>
  <c r="U563" i="1"/>
  <c r="AC562" i="1"/>
  <c r="AB562" i="1"/>
  <c r="AA562" i="1"/>
  <c r="Z562" i="1"/>
  <c r="Y562" i="1"/>
  <c r="W562" i="1" s="1"/>
  <c r="X562" i="1"/>
  <c r="U562" i="1"/>
  <c r="AC561" i="1"/>
  <c r="AB561" i="1"/>
  <c r="AA561" i="1"/>
  <c r="Z561" i="1"/>
  <c r="Y561" i="1"/>
  <c r="W561" i="1" s="1"/>
  <c r="X561" i="1"/>
  <c r="U561" i="1"/>
  <c r="AC560" i="1"/>
  <c r="AB560" i="1"/>
  <c r="AA560" i="1"/>
  <c r="Z560" i="1"/>
  <c r="Y560" i="1"/>
  <c r="W560" i="1" s="1"/>
  <c r="X560" i="1"/>
  <c r="U560" i="1"/>
  <c r="AC559" i="1"/>
  <c r="AB559" i="1"/>
  <c r="AA559" i="1"/>
  <c r="Z559" i="1"/>
  <c r="Y559" i="1"/>
  <c r="W559" i="1" s="1"/>
  <c r="X559" i="1"/>
  <c r="U559" i="1"/>
  <c r="AC558" i="1"/>
  <c r="AB558" i="1"/>
  <c r="AA558" i="1"/>
  <c r="Z558" i="1"/>
  <c r="Y558" i="1"/>
  <c r="W558" i="1" s="1"/>
  <c r="X558" i="1"/>
  <c r="U558" i="1"/>
  <c r="AC557" i="1"/>
  <c r="AB557" i="1"/>
  <c r="AA557" i="1"/>
  <c r="Z557" i="1"/>
  <c r="Y557" i="1"/>
  <c r="W557" i="1" s="1"/>
  <c r="X557" i="1"/>
  <c r="U557" i="1"/>
  <c r="AC556" i="1"/>
  <c r="AB556" i="1"/>
  <c r="AA556" i="1"/>
  <c r="Z556" i="1"/>
  <c r="Y556" i="1"/>
  <c r="W556" i="1" s="1"/>
  <c r="X556" i="1"/>
  <c r="U556" i="1"/>
  <c r="AC555" i="1"/>
  <c r="AB555" i="1"/>
  <c r="AA555" i="1"/>
  <c r="Z555" i="1"/>
  <c r="Y555" i="1"/>
  <c r="W555" i="1" s="1"/>
  <c r="X555" i="1"/>
  <c r="U555" i="1"/>
  <c r="AC554" i="1"/>
  <c r="AB554" i="1"/>
  <c r="AA554" i="1"/>
  <c r="Z554" i="1"/>
  <c r="Y554" i="1"/>
  <c r="W554" i="1" s="1"/>
  <c r="X554" i="1"/>
  <c r="U554" i="1"/>
  <c r="AC553" i="1"/>
  <c r="AB553" i="1"/>
  <c r="AA553" i="1"/>
  <c r="Z553" i="1"/>
  <c r="Y553" i="1"/>
  <c r="W553" i="1" s="1"/>
  <c r="X553" i="1"/>
  <c r="U553" i="1"/>
  <c r="AC552" i="1"/>
  <c r="AB552" i="1"/>
  <c r="AA552" i="1"/>
  <c r="Z552" i="1"/>
  <c r="Y552" i="1"/>
  <c r="W552" i="1" s="1"/>
  <c r="X552" i="1"/>
  <c r="U552" i="1"/>
  <c r="AC551" i="1"/>
  <c r="AB551" i="1"/>
  <c r="AA551" i="1"/>
  <c r="Z551" i="1"/>
  <c r="Y551" i="1"/>
  <c r="W551" i="1" s="1"/>
  <c r="X551" i="1"/>
  <c r="U551" i="1"/>
  <c r="AC550" i="1"/>
  <c r="AB550" i="1"/>
  <c r="AA550" i="1"/>
  <c r="Z550" i="1"/>
  <c r="Y550" i="1"/>
  <c r="W550" i="1" s="1"/>
  <c r="X550" i="1"/>
  <c r="U550" i="1"/>
  <c r="AC549" i="1"/>
  <c r="AB549" i="1"/>
  <c r="AA549" i="1"/>
  <c r="Z549" i="1"/>
  <c r="Y549" i="1"/>
  <c r="W549" i="1" s="1"/>
  <c r="X549" i="1"/>
  <c r="U549" i="1"/>
  <c r="AC548" i="1"/>
  <c r="AB548" i="1"/>
  <c r="AA548" i="1"/>
  <c r="Z548" i="1"/>
  <c r="Y548" i="1"/>
  <c r="W548" i="1" s="1"/>
  <c r="X548" i="1"/>
  <c r="U548" i="1"/>
  <c r="AC547" i="1"/>
  <c r="AB547" i="1"/>
  <c r="AA547" i="1"/>
  <c r="Z547" i="1"/>
  <c r="Y547" i="1"/>
  <c r="W547" i="1" s="1"/>
  <c r="X547" i="1"/>
  <c r="U547" i="1"/>
  <c r="AC546" i="1"/>
  <c r="AB546" i="1"/>
  <c r="AA546" i="1"/>
  <c r="Z546" i="1"/>
  <c r="Y546" i="1"/>
  <c r="W546" i="1" s="1"/>
  <c r="X546" i="1"/>
  <c r="U546" i="1"/>
  <c r="AC545" i="1"/>
  <c r="AB545" i="1"/>
  <c r="AA545" i="1"/>
  <c r="Z545" i="1"/>
  <c r="Y545" i="1"/>
  <c r="W545" i="1" s="1"/>
  <c r="X545" i="1"/>
  <c r="U545" i="1"/>
  <c r="AC544" i="1"/>
  <c r="AB544" i="1"/>
  <c r="AA544" i="1"/>
  <c r="Z544" i="1"/>
  <c r="Y544" i="1"/>
  <c r="W544" i="1" s="1"/>
  <c r="X544" i="1"/>
  <c r="U544" i="1"/>
  <c r="AC543" i="1"/>
  <c r="AB543" i="1"/>
  <c r="AA543" i="1"/>
  <c r="Z543" i="1"/>
  <c r="Y543" i="1"/>
  <c r="W543" i="1" s="1"/>
  <c r="X543" i="1"/>
  <c r="U543" i="1"/>
  <c r="AC542" i="1"/>
  <c r="AB542" i="1"/>
  <c r="AA542" i="1"/>
  <c r="Z542" i="1"/>
  <c r="Y542" i="1"/>
  <c r="W542" i="1" s="1"/>
  <c r="X542" i="1"/>
  <c r="U542" i="1"/>
  <c r="AC541" i="1"/>
  <c r="AB541" i="1"/>
  <c r="AA541" i="1"/>
  <c r="Z541" i="1"/>
  <c r="Y541" i="1"/>
  <c r="W541" i="1" s="1"/>
  <c r="X541" i="1"/>
  <c r="U541" i="1"/>
  <c r="AC540" i="1"/>
  <c r="AB540" i="1"/>
  <c r="AA540" i="1"/>
  <c r="Z540" i="1"/>
  <c r="Y540" i="1"/>
  <c r="W540" i="1" s="1"/>
  <c r="X540" i="1"/>
  <c r="U540" i="1"/>
  <c r="AC539" i="1"/>
  <c r="AB539" i="1"/>
  <c r="AA539" i="1"/>
  <c r="Z539" i="1"/>
  <c r="Y539" i="1"/>
  <c r="W539" i="1" s="1"/>
  <c r="X539" i="1"/>
  <c r="U539" i="1"/>
  <c r="AC538" i="1"/>
  <c r="AB538" i="1"/>
  <c r="AA538" i="1"/>
  <c r="Z538" i="1"/>
  <c r="Y538" i="1"/>
  <c r="W538" i="1" s="1"/>
  <c r="X538" i="1"/>
  <c r="U538" i="1"/>
  <c r="AC537" i="1"/>
  <c r="AB537" i="1"/>
  <c r="AA537" i="1"/>
  <c r="Z537" i="1"/>
  <c r="Y537" i="1"/>
  <c r="W537" i="1" s="1"/>
  <c r="X537" i="1"/>
  <c r="U537" i="1"/>
  <c r="AC536" i="1"/>
  <c r="AB536" i="1"/>
  <c r="AA536" i="1"/>
  <c r="Z536" i="1"/>
  <c r="Y536" i="1"/>
  <c r="W536" i="1" s="1"/>
  <c r="X536" i="1"/>
  <c r="U536" i="1"/>
  <c r="AC535" i="1"/>
  <c r="AB535" i="1"/>
  <c r="AA535" i="1"/>
  <c r="Z535" i="1"/>
  <c r="Y535" i="1"/>
  <c r="W535" i="1" s="1"/>
  <c r="X535" i="1"/>
  <c r="U535" i="1"/>
  <c r="AC534" i="1"/>
  <c r="AB534" i="1"/>
  <c r="AA534" i="1"/>
  <c r="Z534" i="1"/>
  <c r="Y534" i="1"/>
  <c r="W534" i="1" s="1"/>
  <c r="X534" i="1"/>
  <c r="U534" i="1"/>
  <c r="AC533" i="1"/>
  <c r="AB533" i="1"/>
  <c r="AA533" i="1"/>
  <c r="Z533" i="1"/>
  <c r="Y533" i="1"/>
  <c r="W533" i="1" s="1"/>
  <c r="X533" i="1"/>
  <c r="U533" i="1"/>
  <c r="AC532" i="1"/>
  <c r="AB532" i="1"/>
  <c r="AA532" i="1"/>
  <c r="Z532" i="1"/>
  <c r="Y532" i="1"/>
  <c r="W532" i="1" s="1"/>
  <c r="X532" i="1"/>
  <c r="U532" i="1"/>
  <c r="AC531" i="1"/>
  <c r="AB531" i="1"/>
  <c r="AA531" i="1"/>
  <c r="Z531" i="1"/>
  <c r="Y531" i="1"/>
  <c r="W531" i="1" s="1"/>
  <c r="X531" i="1"/>
  <c r="U531" i="1"/>
  <c r="AC530" i="1"/>
  <c r="AB530" i="1"/>
  <c r="AA530" i="1"/>
  <c r="Z530" i="1"/>
  <c r="Y530" i="1"/>
  <c r="W530" i="1" s="1"/>
  <c r="X530" i="1"/>
  <c r="U530" i="1"/>
  <c r="AC529" i="1"/>
  <c r="AB529" i="1"/>
  <c r="AA529" i="1"/>
  <c r="Z529" i="1"/>
  <c r="Y529" i="1"/>
  <c r="W529" i="1" s="1"/>
  <c r="X529" i="1"/>
  <c r="U529" i="1"/>
  <c r="AC528" i="1"/>
  <c r="AB528" i="1"/>
  <c r="AA528" i="1"/>
  <c r="Z528" i="1"/>
  <c r="Y528" i="1"/>
  <c r="W528" i="1" s="1"/>
  <c r="X528" i="1"/>
  <c r="U528" i="1"/>
  <c r="AC527" i="1"/>
  <c r="AB527" i="1"/>
  <c r="AA527" i="1"/>
  <c r="Z527" i="1"/>
  <c r="Y527" i="1"/>
  <c r="W527" i="1" s="1"/>
  <c r="X527" i="1"/>
  <c r="U527" i="1"/>
  <c r="AC526" i="1"/>
  <c r="AB526" i="1"/>
  <c r="AA526" i="1"/>
  <c r="Z526" i="1"/>
  <c r="Y526" i="1"/>
  <c r="W526" i="1" s="1"/>
  <c r="X526" i="1"/>
  <c r="U526" i="1"/>
  <c r="AC525" i="1"/>
  <c r="AB525" i="1"/>
  <c r="AA525" i="1"/>
  <c r="Z525" i="1"/>
  <c r="Y525" i="1"/>
  <c r="W525" i="1" s="1"/>
  <c r="X525" i="1"/>
  <c r="U525" i="1"/>
  <c r="AC524" i="1"/>
  <c r="AB524" i="1"/>
  <c r="AA524" i="1"/>
  <c r="Z524" i="1"/>
  <c r="Y524" i="1"/>
  <c r="W524" i="1" s="1"/>
  <c r="X524" i="1"/>
  <c r="U524" i="1"/>
  <c r="AC523" i="1"/>
  <c r="AB523" i="1"/>
  <c r="AA523" i="1"/>
  <c r="Z523" i="1"/>
  <c r="Y523" i="1"/>
  <c r="W523" i="1" s="1"/>
  <c r="X523" i="1"/>
  <c r="U523" i="1"/>
  <c r="AC522" i="1"/>
  <c r="AB522" i="1"/>
  <c r="AA522" i="1"/>
  <c r="Z522" i="1"/>
  <c r="Y522" i="1"/>
  <c r="W522" i="1" s="1"/>
  <c r="X522" i="1"/>
  <c r="U522" i="1"/>
  <c r="AC521" i="1"/>
  <c r="AB521" i="1"/>
  <c r="AA521" i="1"/>
  <c r="Z521" i="1"/>
  <c r="Y521" i="1"/>
  <c r="W521" i="1" s="1"/>
  <c r="X521" i="1"/>
  <c r="U521" i="1"/>
  <c r="AC520" i="1"/>
  <c r="AB520" i="1"/>
  <c r="AA520" i="1"/>
  <c r="Z520" i="1"/>
  <c r="Y520" i="1"/>
  <c r="W520" i="1" s="1"/>
  <c r="X520" i="1"/>
  <c r="U520" i="1"/>
  <c r="AC519" i="1"/>
  <c r="AB519" i="1"/>
  <c r="AA519" i="1"/>
  <c r="Z519" i="1"/>
  <c r="Y519" i="1"/>
  <c r="W519" i="1" s="1"/>
  <c r="X519" i="1"/>
  <c r="U519" i="1"/>
  <c r="AC518" i="1"/>
  <c r="AB518" i="1"/>
  <c r="AA518" i="1"/>
  <c r="Z518" i="1"/>
  <c r="Y518" i="1"/>
  <c r="W518" i="1" s="1"/>
  <c r="X518" i="1"/>
  <c r="U518" i="1"/>
  <c r="AC517" i="1"/>
  <c r="AB517" i="1"/>
  <c r="AA517" i="1"/>
  <c r="Z517" i="1"/>
  <c r="Y517" i="1"/>
  <c r="W517" i="1" s="1"/>
  <c r="X517" i="1"/>
  <c r="U517" i="1"/>
  <c r="AC516" i="1"/>
  <c r="AB516" i="1"/>
  <c r="AA516" i="1"/>
  <c r="Z516" i="1"/>
  <c r="Y516" i="1"/>
  <c r="W516" i="1" s="1"/>
  <c r="X516" i="1"/>
  <c r="U516" i="1"/>
  <c r="AC515" i="1"/>
  <c r="AB515" i="1"/>
  <c r="AA515" i="1"/>
  <c r="Z515" i="1"/>
  <c r="Y515" i="1"/>
  <c r="W515" i="1" s="1"/>
  <c r="X515" i="1"/>
  <c r="U515" i="1"/>
  <c r="AC514" i="1"/>
  <c r="AB514" i="1"/>
  <c r="AA514" i="1"/>
  <c r="Z514" i="1"/>
  <c r="Y514" i="1"/>
  <c r="W514" i="1" s="1"/>
  <c r="X514" i="1"/>
  <c r="U514" i="1"/>
  <c r="AC513" i="1"/>
  <c r="AB513" i="1"/>
  <c r="AA513" i="1"/>
  <c r="Z513" i="1"/>
  <c r="Y513" i="1"/>
  <c r="W513" i="1" s="1"/>
  <c r="X513" i="1"/>
  <c r="U513" i="1"/>
  <c r="AC512" i="1"/>
  <c r="AB512" i="1"/>
  <c r="AA512" i="1"/>
  <c r="Z512" i="1"/>
  <c r="Y512" i="1"/>
  <c r="W512" i="1" s="1"/>
  <c r="X512" i="1"/>
  <c r="U512" i="1"/>
  <c r="AC511" i="1"/>
  <c r="AB511" i="1"/>
  <c r="AA511" i="1"/>
  <c r="Z511" i="1"/>
  <c r="Y511" i="1"/>
  <c r="W511" i="1" s="1"/>
  <c r="X511" i="1"/>
  <c r="U511" i="1"/>
  <c r="AC510" i="1"/>
  <c r="AB510" i="1"/>
  <c r="AA510" i="1"/>
  <c r="Z510" i="1"/>
  <c r="Y510" i="1"/>
  <c r="W510" i="1" s="1"/>
  <c r="X510" i="1"/>
  <c r="U510" i="1"/>
  <c r="AC509" i="1"/>
  <c r="AB509" i="1"/>
  <c r="AA509" i="1"/>
  <c r="Z509" i="1"/>
  <c r="Y509" i="1"/>
  <c r="W509" i="1" s="1"/>
  <c r="X509" i="1"/>
  <c r="U509" i="1"/>
  <c r="AC508" i="1"/>
  <c r="AB508" i="1"/>
  <c r="AA508" i="1"/>
  <c r="Z508" i="1"/>
  <c r="Y508" i="1"/>
  <c r="W508" i="1" s="1"/>
  <c r="X508" i="1"/>
  <c r="U508" i="1"/>
  <c r="AC507" i="1"/>
  <c r="AB507" i="1"/>
  <c r="AA507" i="1"/>
  <c r="Z507" i="1"/>
  <c r="Y507" i="1"/>
  <c r="W507" i="1" s="1"/>
  <c r="X507" i="1"/>
  <c r="U507" i="1"/>
  <c r="AC506" i="1"/>
  <c r="AB506" i="1"/>
  <c r="AA506" i="1"/>
  <c r="Z506" i="1"/>
  <c r="Y506" i="1"/>
  <c r="W506" i="1" s="1"/>
  <c r="X506" i="1"/>
  <c r="U506" i="1"/>
  <c r="AC505" i="1"/>
  <c r="AB505" i="1"/>
  <c r="AA505" i="1"/>
  <c r="Z505" i="1"/>
  <c r="Y505" i="1"/>
  <c r="W505" i="1" s="1"/>
  <c r="X505" i="1"/>
  <c r="U505" i="1"/>
  <c r="AC504" i="1"/>
  <c r="AB504" i="1"/>
  <c r="AA504" i="1"/>
  <c r="Z504" i="1"/>
  <c r="Y504" i="1"/>
  <c r="W504" i="1" s="1"/>
  <c r="X504" i="1"/>
  <c r="U504" i="1"/>
  <c r="AC503" i="1"/>
  <c r="AB503" i="1"/>
  <c r="AA503" i="1"/>
  <c r="Z503" i="1"/>
  <c r="Y503" i="1"/>
  <c r="W503" i="1" s="1"/>
  <c r="X503" i="1"/>
  <c r="U503" i="1"/>
  <c r="AC502" i="1"/>
  <c r="AB502" i="1"/>
  <c r="AA502" i="1"/>
  <c r="Z502" i="1"/>
  <c r="Y502" i="1"/>
  <c r="W502" i="1" s="1"/>
  <c r="X502" i="1"/>
  <c r="U502" i="1"/>
  <c r="AC501" i="1"/>
  <c r="AB501" i="1"/>
  <c r="AA501" i="1"/>
  <c r="Z501" i="1"/>
  <c r="Y501" i="1"/>
  <c r="W501" i="1" s="1"/>
  <c r="X501" i="1"/>
  <c r="U501" i="1"/>
  <c r="AC500" i="1"/>
  <c r="AB500" i="1"/>
  <c r="AA500" i="1"/>
  <c r="Z500" i="1"/>
  <c r="Y500" i="1"/>
  <c r="W500" i="1" s="1"/>
  <c r="X500" i="1"/>
  <c r="U500" i="1"/>
  <c r="AC499" i="1"/>
  <c r="AB499" i="1"/>
  <c r="AA499" i="1"/>
  <c r="Z499" i="1"/>
  <c r="Y499" i="1"/>
  <c r="W499" i="1" s="1"/>
  <c r="X499" i="1"/>
  <c r="U499" i="1"/>
  <c r="AC498" i="1"/>
  <c r="AB498" i="1"/>
  <c r="AA498" i="1"/>
  <c r="Z498" i="1"/>
  <c r="Y498" i="1"/>
  <c r="W498" i="1" s="1"/>
  <c r="X498" i="1"/>
  <c r="U498" i="1"/>
  <c r="AC497" i="1"/>
  <c r="AB497" i="1"/>
  <c r="AA497" i="1"/>
  <c r="Z497" i="1"/>
  <c r="Y497" i="1"/>
  <c r="W497" i="1" s="1"/>
  <c r="X497" i="1"/>
  <c r="U497" i="1"/>
  <c r="AC496" i="1"/>
  <c r="AB496" i="1"/>
  <c r="AA496" i="1"/>
  <c r="Z496" i="1"/>
  <c r="Y496" i="1"/>
  <c r="W496" i="1" s="1"/>
  <c r="X496" i="1"/>
  <c r="U496" i="1"/>
  <c r="AC495" i="1"/>
  <c r="AB495" i="1"/>
  <c r="AA495" i="1"/>
  <c r="Z495" i="1"/>
  <c r="Y495" i="1"/>
  <c r="W495" i="1" s="1"/>
  <c r="X495" i="1"/>
  <c r="U495" i="1"/>
  <c r="AC494" i="1"/>
  <c r="AB494" i="1"/>
  <c r="AA494" i="1"/>
  <c r="Z494" i="1"/>
  <c r="Y494" i="1"/>
  <c r="W494" i="1" s="1"/>
  <c r="X494" i="1"/>
  <c r="U494" i="1"/>
  <c r="AC493" i="1"/>
  <c r="AB493" i="1"/>
  <c r="AA493" i="1"/>
  <c r="Z493" i="1"/>
  <c r="Y493" i="1"/>
  <c r="W493" i="1" s="1"/>
  <c r="X493" i="1"/>
  <c r="U493" i="1"/>
  <c r="AC492" i="1"/>
  <c r="AB492" i="1"/>
  <c r="AA492" i="1"/>
  <c r="Z492" i="1"/>
  <c r="Y492" i="1"/>
  <c r="W492" i="1" s="1"/>
  <c r="X492" i="1"/>
  <c r="U492" i="1"/>
  <c r="AC491" i="1"/>
  <c r="AB491" i="1"/>
  <c r="AA491" i="1"/>
  <c r="Z491" i="1"/>
  <c r="Y491" i="1"/>
  <c r="W491" i="1" s="1"/>
  <c r="X491" i="1"/>
  <c r="U491" i="1"/>
  <c r="AC490" i="1"/>
  <c r="AB490" i="1"/>
  <c r="AA490" i="1"/>
  <c r="Z490" i="1"/>
  <c r="Y490" i="1"/>
  <c r="W490" i="1" s="1"/>
  <c r="X490" i="1"/>
  <c r="U490" i="1"/>
  <c r="AC489" i="1"/>
  <c r="AB489" i="1"/>
  <c r="AA489" i="1"/>
  <c r="Z489" i="1"/>
  <c r="Y489" i="1"/>
  <c r="W489" i="1" s="1"/>
  <c r="X489" i="1"/>
  <c r="U489" i="1"/>
  <c r="AC488" i="1"/>
  <c r="AB488" i="1"/>
  <c r="AA488" i="1"/>
  <c r="Z488" i="1"/>
  <c r="Y488" i="1"/>
  <c r="W488" i="1" s="1"/>
  <c r="X488" i="1"/>
  <c r="U488" i="1"/>
  <c r="AC487" i="1"/>
  <c r="AB487" i="1"/>
  <c r="AA487" i="1"/>
  <c r="Z487" i="1"/>
  <c r="Y487" i="1"/>
  <c r="W487" i="1" s="1"/>
  <c r="X487" i="1"/>
  <c r="U487" i="1"/>
  <c r="AC486" i="1"/>
  <c r="AB486" i="1"/>
  <c r="AA486" i="1"/>
  <c r="Z486" i="1"/>
  <c r="Y486" i="1"/>
  <c r="W486" i="1" s="1"/>
  <c r="X486" i="1"/>
  <c r="U486" i="1"/>
  <c r="AC485" i="1"/>
  <c r="AB485" i="1"/>
  <c r="AA485" i="1"/>
  <c r="Z485" i="1"/>
  <c r="Y485" i="1"/>
  <c r="W485" i="1" s="1"/>
  <c r="X485" i="1"/>
  <c r="U485" i="1"/>
  <c r="AC484" i="1"/>
  <c r="AB484" i="1"/>
  <c r="AA484" i="1"/>
  <c r="Z484" i="1"/>
  <c r="Y484" i="1"/>
  <c r="W484" i="1" s="1"/>
  <c r="X484" i="1"/>
  <c r="U484" i="1"/>
  <c r="AC483" i="1"/>
  <c r="AB483" i="1"/>
  <c r="AA483" i="1"/>
  <c r="Z483" i="1"/>
  <c r="Y483" i="1"/>
  <c r="W483" i="1" s="1"/>
  <c r="X483" i="1"/>
  <c r="U483" i="1"/>
  <c r="AC482" i="1"/>
  <c r="AB482" i="1"/>
  <c r="AA482" i="1"/>
  <c r="Z482" i="1"/>
  <c r="Y482" i="1"/>
  <c r="W482" i="1" s="1"/>
  <c r="X482" i="1"/>
  <c r="U482" i="1"/>
  <c r="AC481" i="1"/>
  <c r="AB481" i="1"/>
  <c r="AA481" i="1"/>
  <c r="Z481" i="1"/>
  <c r="Y481" i="1"/>
  <c r="W481" i="1" s="1"/>
  <c r="X481" i="1"/>
  <c r="U481" i="1"/>
  <c r="AC480" i="1"/>
  <c r="AB480" i="1"/>
  <c r="AA480" i="1"/>
  <c r="Z480" i="1"/>
  <c r="Y480" i="1"/>
  <c r="W480" i="1" s="1"/>
  <c r="X480" i="1"/>
  <c r="U480" i="1"/>
  <c r="AC479" i="1"/>
  <c r="AB479" i="1"/>
  <c r="AA479" i="1"/>
  <c r="Z479" i="1"/>
  <c r="Y479" i="1"/>
  <c r="W479" i="1" s="1"/>
  <c r="X479" i="1"/>
  <c r="U479" i="1"/>
  <c r="AC478" i="1"/>
  <c r="AB478" i="1"/>
  <c r="AA478" i="1"/>
  <c r="Z478" i="1"/>
  <c r="Y478" i="1"/>
  <c r="W478" i="1" s="1"/>
  <c r="X478" i="1"/>
  <c r="U478" i="1"/>
  <c r="AC477" i="1"/>
  <c r="AB477" i="1"/>
  <c r="AA477" i="1"/>
  <c r="Z477" i="1"/>
  <c r="Y477" i="1"/>
  <c r="W477" i="1" s="1"/>
  <c r="X477" i="1"/>
  <c r="U477" i="1"/>
  <c r="AC476" i="1"/>
  <c r="AB476" i="1"/>
  <c r="AA476" i="1"/>
  <c r="Z476" i="1"/>
  <c r="Y476" i="1"/>
  <c r="W476" i="1" s="1"/>
  <c r="X476" i="1"/>
  <c r="U476" i="1"/>
  <c r="AC475" i="1"/>
  <c r="AB475" i="1"/>
  <c r="AA475" i="1"/>
  <c r="Z475" i="1"/>
  <c r="Y475" i="1"/>
  <c r="W475" i="1" s="1"/>
  <c r="X475" i="1"/>
  <c r="U475" i="1"/>
  <c r="AC474" i="1"/>
  <c r="AB474" i="1"/>
  <c r="AA474" i="1"/>
  <c r="Z474" i="1"/>
  <c r="Y474" i="1"/>
  <c r="W474" i="1" s="1"/>
  <c r="X474" i="1"/>
  <c r="U474" i="1"/>
  <c r="AC473" i="1"/>
  <c r="AB473" i="1"/>
  <c r="AA473" i="1"/>
  <c r="Z473" i="1"/>
  <c r="Y473" i="1"/>
  <c r="W473" i="1" s="1"/>
  <c r="X473" i="1"/>
  <c r="U473" i="1"/>
  <c r="AC472" i="1"/>
  <c r="AB472" i="1"/>
  <c r="AA472" i="1"/>
  <c r="Z472" i="1"/>
  <c r="Y472" i="1"/>
  <c r="W472" i="1" s="1"/>
  <c r="X472" i="1"/>
  <c r="U472" i="1"/>
  <c r="AC471" i="1"/>
  <c r="AB471" i="1"/>
  <c r="AA471" i="1"/>
  <c r="Z471" i="1"/>
  <c r="Y471" i="1"/>
  <c r="W471" i="1" s="1"/>
  <c r="X471" i="1"/>
  <c r="U471" i="1"/>
  <c r="AC470" i="1"/>
  <c r="AB470" i="1"/>
  <c r="AA470" i="1"/>
  <c r="Z470" i="1"/>
  <c r="Y470" i="1"/>
  <c r="W470" i="1" s="1"/>
  <c r="X470" i="1"/>
  <c r="U470" i="1"/>
  <c r="AC469" i="1"/>
  <c r="AB469" i="1"/>
  <c r="AA469" i="1"/>
  <c r="Z469" i="1"/>
  <c r="Y469" i="1"/>
  <c r="W469" i="1" s="1"/>
  <c r="X469" i="1"/>
  <c r="U469" i="1"/>
  <c r="AC468" i="1"/>
  <c r="AB468" i="1"/>
  <c r="AA468" i="1"/>
  <c r="Z468" i="1"/>
  <c r="Y468" i="1"/>
  <c r="W468" i="1" s="1"/>
  <c r="X468" i="1"/>
  <c r="U468" i="1"/>
  <c r="AC467" i="1"/>
  <c r="AB467" i="1"/>
  <c r="AA467" i="1"/>
  <c r="Z467" i="1"/>
  <c r="Y467" i="1"/>
  <c r="W467" i="1" s="1"/>
  <c r="X467" i="1"/>
  <c r="U467" i="1"/>
  <c r="AC466" i="1"/>
  <c r="AB466" i="1"/>
  <c r="AA466" i="1"/>
  <c r="Z466" i="1"/>
  <c r="Y466" i="1"/>
  <c r="W466" i="1" s="1"/>
  <c r="X466" i="1"/>
  <c r="U466" i="1"/>
  <c r="AC465" i="1"/>
  <c r="AB465" i="1"/>
  <c r="AA465" i="1"/>
  <c r="Z465" i="1"/>
  <c r="Y465" i="1"/>
  <c r="W465" i="1" s="1"/>
  <c r="X465" i="1"/>
  <c r="U465" i="1"/>
  <c r="AC464" i="1"/>
  <c r="AB464" i="1"/>
  <c r="AA464" i="1"/>
  <c r="Z464" i="1"/>
  <c r="Y464" i="1"/>
  <c r="W464" i="1" s="1"/>
  <c r="X464" i="1"/>
  <c r="U464" i="1"/>
  <c r="AC463" i="1"/>
  <c r="AB463" i="1"/>
  <c r="AA463" i="1"/>
  <c r="Z463" i="1"/>
  <c r="Y463" i="1"/>
  <c r="W463" i="1" s="1"/>
  <c r="X463" i="1"/>
  <c r="U463" i="1"/>
  <c r="AC462" i="1"/>
  <c r="AB462" i="1"/>
  <c r="AA462" i="1"/>
  <c r="Z462" i="1"/>
  <c r="Y462" i="1"/>
  <c r="W462" i="1" s="1"/>
  <c r="X462" i="1"/>
  <c r="U462" i="1"/>
  <c r="AC461" i="1"/>
  <c r="AB461" i="1"/>
  <c r="AA461" i="1"/>
  <c r="Z461" i="1"/>
  <c r="Y461" i="1"/>
  <c r="W461" i="1" s="1"/>
  <c r="X461" i="1"/>
  <c r="U461" i="1"/>
  <c r="AC460" i="1"/>
  <c r="AB460" i="1"/>
  <c r="AA460" i="1"/>
  <c r="Z460" i="1"/>
  <c r="Y460" i="1"/>
  <c r="W460" i="1" s="1"/>
  <c r="X460" i="1"/>
  <c r="U460" i="1"/>
  <c r="AC459" i="1"/>
  <c r="AB459" i="1"/>
  <c r="AA459" i="1"/>
  <c r="Z459" i="1"/>
  <c r="Y459" i="1"/>
  <c r="W459" i="1" s="1"/>
  <c r="X459" i="1"/>
  <c r="U459" i="1"/>
  <c r="AC458" i="1"/>
  <c r="AB458" i="1"/>
  <c r="AA458" i="1"/>
  <c r="Z458" i="1"/>
  <c r="Y458" i="1"/>
  <c r="W458" i="1" s="1"/>
  <c r="X458" i="1"/>
  <c r="U458" i="1"/>
  <c r="AC457" i="1"/>
  <c r="AB457" i="1"/>
  <c r="AA457" i="1"/>
  <c r="Z457" i="1"/>
  <c r="Y457" i="1"/>
  <c r="W457" i="1" s="1"/>
  <c r="X457" i="1"/>
  <c r="U457" i="1"/>
  <c r="AC456" i="1"/>
  <c r="AB456" i="1"/>
  <c r="AA456" i="1"/>
  <c r="Z456" i="1"/>
  <c r="Y456" i="1"/>
  <c r="W456" i="1" s="1"/>
  <c r="X456" i="1"/>
  <c r="U456" i="1"/>
  <c r="AC455" i="1"/>
  <c r="AB455" i="1"/>
  <c r="AA455" i="1"/>
  <c r="Z455" i="1"/>
  <c r="Y455" i="1"/>
  <c r="W455" i="1" s="1"/>
  <c r="X455" i="1"/>
  <c r="U455" i="1"/>
  <c r="AC454" i="1"/>
  <c r="AB454" i="1"/>
  <c r="AA454" i="1"/>
  <c r="Z454" i="1"/>
  <c r="Y454" i="1"/>
  <c r="W454" i="1" s="1"/>
  <c r="X454" i="1"/>
  <c r="U454" i="1"/>
  <c r="AC453" i="1"/>
  <c r="AB453" i="1"/>
  <c r="AA453" i="1"/>
  <c r="Z453" i="1"/>
  <c r="Y453" i="1"/>
  <c r="W453" i="1" s="1"/>
  <c r="X453" i="1"/>
  <c r="U453" i="1"/>
  <c r="AC452" i="1"/>
  <c r="AB452" i="1"/>
  <c r="AA452" i="1"/>
  <c r="Z452" i="1"/>
  <c r="Y452" i="1"/>
  <c r="W452" i="1" s="1"/>
  <c r="X452" i="1"/>
  <c r="U452" i="1"/>
  <c r="AC451" i="1"/>
  <c r="AB451" i="1"/>
  <c r="AA451" i="1"/>
  <c r="Z451" i="1"/>
  <c r="Y451" i="1"/>
  <c r="W451" i="1" s="1"/>
  <c r="X451" i="1"/>
  <c r="U451" i="1"/>
  <c r="AC450" i="1"/>
  <c r="AB450" i="1"/>
  <c r="AA450" i="1"/>
  <c r="Z450" i="1"/>
  <c r="Y450" i="1"/>
  <c r="W450" i="1" s="1"/>
  <c r="X450" i="1"/>
  <c r="U450" i="1"/>
  <c r="AC449" i="1"/>
  <c r="AB449" i="1"/>
  <c r="AA449" i="1"/>
  <c r="Z449" i="1"/>
  <c r="Y449" i="1"/>
  <c r="W449" i="1" s="1"/>
  <c r="X449" i="1"/>
  <c r="U449" i="1"/>
  <c r="AC448" i="1"/>
  <c r="AB448" i="1"/>
  <c r="AA448" i="1"/>
  <c r="Z448" i="1"/>
  <c r="Y448" i="1"/>
  <c r="W448" i="1" s="1"/>
  <c r="X448" i="1"/>
  <c r="U448" i="1"/>
  <c r="AC447" i="1"/>
  <c r="AB447" i="1"/>
  <c r="AA447" i="1"/>
  <c r="Z447" i="1"/>
  <c r="Y447" i="1"/>
  <c r="W447" i="1" s="1"/>
  <c r="X447" i="1"/>
  <c r="U447" i="1"/>
  <c r="AC446" i="1"/>
  <c r="AB446" i="1"/>
  <c r="AA446" i="1"/>
  <c r="Z446" i="1"/>
  <c r="Y446" i="1"/>
  <c r="W446" i="1" s="1"/>
  <c r="X446" i="1"/>
  <c r="U446" i="1"/>
  <c r="AC445" i="1"/>
  <c r="AB445" i="1"/>
  <c r="AA445" i="1"/>
  <c r="Z445" i="1"/>
  <c r="Y445" i="1"/>
  <c r="W445" i="1" s="1"/>
  <c r="X445" i="1"/>
  <c r="U445" i="1"/>
  <c r="AC444" i="1"/>
  <c r="AB444" i="1"/>
  <c r="AA444" i="1"/>
  <c r="Z444" i="1"/>
  <c r="Y444" i="1"/>
  <c r="W444" i="1" s="1"/>
  <c r="X444" i="1"/>
  <c r="U444" i="1"/>
  <c r="AC443" i="1"/>
  <c r="AB443" i="1"/>
  <c r="AA443" i="1"/>
  <c r="Z443" i="1"/>
  <c r="Y443" i="1"/>
  <c r="W443" i="1" s="1"/>
  <c r="X443" i="1"/>
  <c r="U443" i="1"/>
  <c r="AC442" i="1"/>
  <c r="AB442" i="1"/>
  <c r="AA442" i="1"/>
  <c r="Z442" i="1"/>
  <c r="Y442" i="1"/>
  <c r="W442" i="1" s="1"/>
  <c r="X442" i="1"/>
  <c r="U442" i="1"/>
  <c r="AC441" i="1"/>
  <c r="AB441" i="1"/>
  <c r="AA441" i="1"/>
  <c r="Z441" i="1"/>
  <c r="Y441" i="1"/>
  <c r="W441" i="1" s="1"/>
  <c r="X441" i="1"/>
  <c r="U441" i="1"/>
  <c r="AC440" i="1"/>
  <c r="AB440" i="1"/>
  <c r="AA440" i="1"/>
  <c r="Z440" i="1"/>
  <c r="Y440" i="1"/>
  <c r="W440" i="1" s="1"/>
  <c r="X440" i="1"/>
  <c r="U440" i="1"/>
  <c r="AC439" i="1"/>
  <c r="AB439" i="1"/>
  <c r="AA439" i="1"/>
  <c r="Z439" i="1"/>
  <c r="Y439" i="1"/>
  <c r="W439" i="1" s="1"/>
  <c r="X439" i="1"/>
  <c r="U439" i="1"/>
  <c r="AC438" i="1"/>
  <c r="AB438" i="1"/>
  <c r="AA438" i="1"/>
  <c r="Z438" i="1"/>
  <c r="Y438" i="1"/>
  <c r="W438" i="1" s="1"/>
  <c r="X438" i="1"/>
  <c r="U438" i="1"/>
  <c r="AC437" i="1"/>
  <c r="AB437" i="1"/>
  <c r="AA437" i="1"/>
  <c r="Z437" i="1"/>
  <c r="Y437" i="1"/>
  <c r="W437" i="1" s="1"/>
  <c r="X437" i="1"/>
  <c r="U437" i="1"/>
  <c r="AC436" i="1"/>
  <c r="AB436" i="1"/>
  <c r="AA436" i="1"/>
  <c r="Z436" i="1"/>
  <c r="Y436" i="1"/>
  <c r="W436" i="1" s="1"/>
  <c r="X436" i="1"/>
  <c r="U436" i="1"/>
  <c r="AC435" i="1"/>
  <c r="AB435" i="1"/>
  <c r="AA435" i="1"/>
  <c r="Z435" i="1"/>
  <c r="Y435" i="1"/>
  <c r="W435" i="1" s="1"/>
  <c r="X435" i="1"/>
  <c r="U435" i="1"/>
  <c r="AC434" i="1"/>
  <c r="AB434" i="1"/>
  <c r="AA434" i="1"/>
  <c r="Z434" i="1"/>
  <c r="Y434" i="1"/>
  <c r="W434" i="1" s="1"/>
  <c r="X434" i="1"/>
  <c r="U434" i="1"/>
  <c r="AC433" i="1"/>
  <c r="AB433" i="1"/>
  <c r="AA433" i="1"/>
  <c r="Z433" i="1"/>
  <c r="Y433" i="1"/>
  <c r="W433" i="1" s="1"/>
  <c r="X433" i="1"/>
  <c r="U433" i="1"/>
  <c r="AC432" i="1"/>
  <c r="AB432" i="1"/>
  <c r="AA432" i="1"/>
  <c r="Z432" i="1"/>
  <c r="Y432" i="1"/>
  <c r="W432" i="1" s="1"/>
  <c r="X432" i="1"/>
  <c r="U432" i="1"/>
  <c r="AC431" i="1"/>
  <c r="AB431" i="1"/>
  <c r="AA431" i="1"/>
  <c r="Z431" i="1"/>
  <c r="Y431" i="1"/>
  <c r="W431" i="1" s="1"/>
  <c r="X431" i="1"/>
  <c r="U431" i="1"/>
  <c r="AC430" i="1"/>
  <c r="AB430" i="1"/>
  <c r="AA430" i="1"/>
  <c r="Z430" i="1"/>
  <c r="Y430" i="1"/>
  <c r="W430" i="1" s="1"/>
  <c r="X430" i="1"/>
  <c r="U430" i="1"/>
  <c r="AC429" i="1"/>
  <c r="AB429" i="1"/>
  <c r="AA429" i="1"/>
  <c r="Z429" i="1"/>
  <c r="Y429" i="1"/>
  <c r="W429" i="1" s="1"/>
  <c r="X429" i="1"/>
  <c r="U429" i="1"/>
  <c r="AC428" i="1"/>
  <c r="AB428" i="1"/>
  <c r="AA428" i="1"/>
  <c r="Z428" i="1"/>
  <c r="Y428" i="1"/>
  <c r="W428" i="1" s="1"/>
  <c r="X428" i="1"/>
  <c r="U428" i="1"/>
  <c r="AC427" i="1"/>
  <c r="AB427" i="1"/>
  <c r="AA427" i="1"/>
  <c r="Z427" i="1"/>
  <c r="Y427" i="1"/>
  <c r="W427" i="1" s="1"/>
  <c r="X427" i="1"/>
  <c r="U427" i="1"/>
  <c r="AC426" i="1"/>
  <c r="AB426" i="1"/>
  <c r="AA426" i="1"/>
  <c r="Z426" i="1"/>
  <c r="Y426" i="1"/>
  <c r="W426" i="1" s="1"/>
  <c r="X426" i="1"/>
  <c r="U426" i="1"/>
  <c r="AC425" i="1"/>
  <c r="AB425" i="1"/>
  <c r="AA425" i="1"/>
  <c r="Z425" i="1"/>
  <c r="Y425" i="1"/>
  <c r="W425" i="1" s="1"/>
  <c r="X425" i="1"/>
  <c r="U425" i="1"/>
  <c r="AC424" i="1"/>
  <c r="AB424" i="1"/>
  <c r="AA424" i="1"/>
  <c r="Z424" i="1"/>
  <c r="Y424" i="1"/>
  <c r="W424" i="1" s="1"/>
  <c r="X424" i="1"/>
  <c r="U424" i="1"/>
  <c r="AC423" i="1"/>
  <c r="AB423" i="1"/>
  <c r="AA423" i="1"/>
  <c r="Z423" i="1"/>
  <c r="Y423" i="1"/>
  <c r="W423" i="1" s="1"/>
  <c r="X423" i="1"/>
  <c r="U423" i="1"/>
  <c r="AC422" i="1"/>
  <c r="AB422" i="1"/>
  <c r="AA422" i="1"/>
  <c r="Z422" i="1"/>
  <c r="Y422" i="1"/>
  <c r="W422" i="1" s="1"/>
  <c r="X422" i="1"/>
  <c r="U422" i="1"/>
  <c r="AC421" i="1"/>
  <c r="AB421" i="1"/>
  <c r="AA421" i="1"/>
  <c r="Z421" i="1"/>
  <c r="Y421" i="1"/>
  <c r="W421" i="1" s="1"/>
  <c r="X421" i="1"/>
  <c r="U421" i="1"/>
  <c r="AC420" i="1"/>
  <c r="AB420" i="1"/>
  <c r="AA420" i="1"/>
  <c r="Z420" i="1"/>
  <c r="Y420" i="1"/>
  <c r="W420" i="1" s="1"/>
  <c r="X420" i="1"/>
  <c r="U420" i="1"/>
  <c r="AC419" i="1"/>
  <c r="AB419" i="1"/>
  <c r="AA419" i="1"/>
  <c r="Z419" i="1"/>
  <c r="Y419" i="1"/>
  <c r="W419" i="1" s="1"/>
  <c r="X419" i="1"/>
  <c r="U419" i="1"/>
  <c r="AC418" i="1"/>
  <c r="AB418" i="1"/>
  <c r="AA418" i="1"/>
  <c r="Z418" i="1"/>
  <c r="Y418" i="1"/>
  <c r="W418" i="1" s="1"/>
  <c r="X418" i="1"/>
  <c r="U418" i="1"/>
  <c r="AC417" i="1"/>
  <c r="AB417" i="1"/>
  <c r="AA417" i="1"/>
  <c r="Z417" i="1"/>
  <c r="Y417" i="1"/>
  <c r="W417" i="1" s="1"/>
  <c r="X417" i="1"/>
  <c r="U417" i="1"/>
  <c r="AC416" i="1"/>
  <c r="AB416" i="1"/>
  <c r="AA416" i="1"/>
  <c r="Z416" i="1"/>
  <c r="Y416" i="1"/>
  <c r="W416" i="1" s="1"/>
  <c r="X416" i="1"/>
  <c r="U416" i="1"/>
  <c r="AC415" i="1"/>
  <c r="AB415" i="1"/>
  <c r="AA415" i="1"/>
  <c r="Z415" i="1"/>
  <c r="Y415" i="1"/>
  <c r="W415" i="1" s="1"/>
  <c r="X415" i="1"/>
  <c r="U415" i="1"/>
  <c r="AC414" i="1"/>
  <c r="AB414" i="1"/>
  <c r="AA414" i="1"/>
  <c r="Z414" i="1"/>
  <c r="Y414" i="1"/>
  <c r="W414" i="1" s="1"/>
  <c r="X414" i="1"/>
  <c r="U414" i="1"/>
  <c r="AC413" i="1"/>
  <c r="AB413" i="1"/>
  <c r="AA413" i="1"/>
  <c r="Z413" i="1"/>
  <c r="Y413" i="1"/>
  <c r="W413" i="1" s="1"/>
  <c r="X413" i="1"/>
  <c r="U413" i="1"/>
  <c r="AC412" i="1"/>
  <c r="AB412" i="1"/>
  <c r="AA412" i="1"/>
  <c r="Z412" i="1"/>
  <c r="Y412" i="1"/>
  <c r="W412" i="1" s="1"/>
  <c r="X412" i="1"/>
  <c r="U412" i="1"/>
  <c r="AC411" i="1"/>
  <c r="AB411" i="1"/>
  <c r="AA411" i="1"/>
  <c r="Z411" i="1"/>
  <c r="Y411" i="1"/>
  <c r="W411" i="1" s="1"/>
  <c r="X411" i="1"/>
  <c r="U411" i="1"/>
  <c r="AC410" i="1"/>
  <c r="AB410" i="1"/>
  <c r="AA410" i="1"/>
  <c r="Z410" i="1"/>
  <c r="Y410" i="1"/>
  <c r="W410" i="1" s="1"/>
  <c r="X410" i="1"/>
  <c r="U410" i="1"/>
  <c r="AC409" i="1"/>
  <c r="AB409" i="1"/>
  <c r="AA409" i="1"/>
  <c r="Z409" i="1"/>
  <c r="Y409" i="1"/>
  <c r="W409" i="1" s="1"/>
  <c r="X409" i="1"/>
  <c r="U409" i="1"/>
  <c r="AC408" i="1"/>
  <c r="AB408" i="1"/>
  <c r="AA408" i="1"/>
  <c r="Z408" i="1"/>
  <c r="Y408" i="1"/>
  <c r="W408" i="1" s="1"/>
  <c r="X408" i="1"/>
  <c r="U408" i="1"/>
  <c r="AC407" i="1"/>
  <c r="AB407" i="1"/>
  <c r="AA407" i="1"/>
  <c r="Z407" i="1"/>
  <c r="Y407" i="1"/>
  <c r="W407" i="1" s="1"/>
  <c r="X407" i="1"/>
  <c r="U407" i="1"/>
  <c r="AC406" i="1"/>
  <c r="AB406" i="1"/>
  <c r="AA406" i="1"/>
  <c r="Z406" i="1"/>
  <c r="Y406" i="1"/>
  <c r="W406" i="1" s="1"/>
  <c r="X406" i="1"/>
  <c r="U406" i="1"/>
  <c r="AC405" i="1"/>
  <c r="AB405" i="1"/>
  <c r="AA405" i="1"/>
  <c r="Z405" i="1"/>
  <c r="Y405" i="1"/>
  <c r="W405" i="1" s="1"/>
  <c r="X405" i="1"/>
  <c r="U405" i="1"/>
  <c r="AC404" i="1"/>
  <c r="AB404" i="1"/>
  <c r="AA404" i="1"/>
  <c r="Z404" i="1"/>
  <c r="Y404" i="1"/>
  <c r="W404" i="1" s="1"/>
  <c r="X404" i="1"/>
  <c r="U404" i="1"/>
  <c r="AC403" i="1"/>
  <c r="AB403" i="1"/>
  <c r="AA403" i="1"/>
  <c r="Z403" i="1"/>
  <c r="Y403" i="1"/>
  <c r="W403" i="1" s="1"/>
  <c r="X403" i="1"/>
  <c r="U403" i="1"/>
  <c r="AC402" i="1"/>
  <c r="AB402" i="1"/>
  <c r="AA402" i="1"/>
  <c r="Z402" i="1"/>
  <c r="Y402" i="1"/>
  <c r="W402" i="1" s="1"/>
  <c r="X402" i="1"/>
  <c r="U402" i="1"/>
  <c r="AC401" i="1"/>
  <c r="AB401" i="1"/>
  <c r="AA401" i="1"/>
  <c r="Z401" i="1"/>
  <c r="Y401" i="1"/>
  <c r="W401" i="1" s="1"/>
  <c r="X401" i="1"/>
  <c r="U401" i="1"/>
  <c r="AC400" i="1"/>
  <c r="AB400" i="1"/>
  <c r="AA400" i="1"/>
  <c r="Z400" i="1"/>
  <c r="Y400" i="1"/>
  <c r="W400" i="1" s="1"/>
  <c r="X400" i="1"/>
  <c r="U400" i="1"/>
  <c r="AC399" i="1"/>
  <c r="AB399" i="1"/>
  <c r="AA399" i="1"/>
  <c r="Z399" i="1"/>
  <c r="Y399" i="1"/>
  <c r="W399" i="1" s="1"/>
  <c r="X399" i="1"/>
  <c r="U399" i="1"/>
  <c r="AC398" i="1"/>
  <c r="AB398" i="1"/>
  <c r="AA398" i="1"/>
  <c r="Z398" i="1"/>
  <c r="Y398" i="1"/>
  <c r="W398" i="1" s="1"/>
  <c r="X398" i="1"/>
  <c r="U398" i="1"/>
  <c r="AC397" i="1"/>
  <c r="AB397" i="1"/>
  <c r="AA397" i="1"/>
  <c r="Z397" i="1"/>
  <c r="Y397" i="1"/>
  <c r="W397" i="1" s="1"/>
  <c r="X397" i="1"/>
  <c r="U397" i="1"/>
  <c r="AC396" i="1"/>
  <c r="AB396" i="1"/>
  <c r="AA396" i="1"/>
  <c r="Z396" i="1"/>
  <c r="Y396" i="1"/>
  <c r="W396" i="1" s="1"/>
  <c r="X396" i="1"/>
  <c r="U396" i="1"/>
  <c r="AC395" i="1"/>
  <c r="AB395" i="1"/>
  <c r="AA395" i="1"/>
  <c r="Z395" i="1"/>
  <c r="Y395" i="1"/>
  <c r="W395" i="1" s="1"/>
  <c r="X395" i="1"/>
  <c r="U395" i="1"/>
  <c r="AC394" i="1"/>
  <c r="AB394" i="1"/>
  <c r="AA394" i="1"/>
  <c r="Z394" i="1"/>
  <c r="Y394" i="1"/>
  <c r="W394" i="1" s="1"/>
  <c r="X394" i="1"/>
  <c r="U394" i="1"/>
  <c r="AC393" i="1"/>
  <c r="AB393" i="1"/>
  <c r="AA393" i="1"/>
  <c r="Z393" i="1"/>
  <c r="Y393" i="1"/>
  <c r="W393" i="1" s="1"/>
  <c r="X393" i="1"/>
  <c r="U393" i="1"/>
  <c r="AC392" i="1"/>
  <c r="AB392" i="1"/>
  <c r="AA392" i="1"/>
  <c r="Z392" i="1"/>
  <c r="Y392" i="1"/>
  <c r="W392" i="1" s="1"/>
  <c r="X392" i="1"/>
  <c r="U392" i="1"/>
  <c r="AC391" i="1"/>
  <c r="AB391" i="1"/>
  <c r="AA391" i="1"/>
  <c r="Z391" i="1"/>
  <c r="Y391" i="1"/>
  <c r="W391" i="1" s="1"/>
  <c r="X391" i="1"/>
  <c r="U391" i="1"/>
  <c r="AC390" i="1"/>
  <c r="AB390" i="1"/>
  <c r="AA390" i="1"/>
  <c r="Z390" i="1"/>
  <c r="Y390" i="1"/>
  <c r="W390" i="1" s="1"/>
  <c r="X390" i="1"/>
  <c r="U390" i="1"/>
  <c r="AC389" i="1"/>
  <c r="AB389" i="1"/>
  <c r="AA389" i="1"/>
  <c r="Z389" i="1"/>
  <c r="Y389" i="1"/>
  <c r="W389" i="1" s="1"/>
  <c r="X389" i="1"/>
  <c r="U389" i="1"/>
  <c r="AC388" i="1"/>
  <c r="AB388" i="1"/>
  <c r="AA388" i="1"/>
  <c r="Z388" i="1"/>
  <c r="Y388" i="1"/>
  <c r="W388" i="1" s="1"/>
  <c r="X388" i="1"/>
  <c r="U388" i="1"/>
  <c r="AC387" i="1"/>
  <c r="AB387" i="1"/>
  <c r="AA387" i="1"/>
  <c r="Z387" i="1"/>
  <c r="Y387" i="1"/>
  <c r="W387" i="1" s="1"/>
  <c r="X387" i="1"/>
  <c r="U387" i="1"/>
  <c r="AC386" i="1"/>
  <c r="AB386" i="1"/>
  <c r="AA386" i="1"/>
  <c r="Z386" i="1"/>
  <c r="Y386" i="1"/>
  <c r="W386" i="1" s="1"/>
  <c r="X386" i="1"/>
  <c r="U386" i="1"/>
  <c r="AC385" i="1"/>
  <c r="AB385" i="1"/>
  <c r="AA385" i="1"/>
  <c r="Z385" i="1"/>
  <c r="Y385" i="1"/>
  <c r="W385" i="1" s="1"/>
  <c r="X385" i="1"/>
  <c r="U385" i="1"/>
  <c r="AC384" i="1"/>
  <c r="AB384" i="1"/>
  <c r="AA384" i="1"/>
  <c r="Z384" i="1"/>
  <c r="Y384" i="1"/>
  <c r="W384" i="1" s="1"/>
  <c r="X384" i="1"/>
  <c r="U384" i="1"/>
  <c r="AC383" i="1"/>
  <c r="AB383" i="1"/>
  <c r="AA383" i="1"/>
  <c r="Z383" i="1"/>
  <c r="Y383" i="1"/>
  <c r="W383" i="1" s="1"/>
  <c r="X383" i="1"/>
  <c r="U383" i="1"/>
  <c r="AC382" i="1"/>
  <c r="AB382" i="1"/>
  <c r="AA382" i="1"/>
  <c r="Z382" i="1"/>
  <c r="Y382" i="1"/>
  <c r="W382" i="1" s="1"/>
  <c r="X382" i="1"/>
  <c r="U382" i="1"/>
  <c r="AC381" i="1"/>
  <c r="AB381" i="1"/>
  <c r="AA381" i="1"/>
  <c r="Z381" i="1"/>
  <c r="Y381" i="1"/>
  <c r="W381" i="1" s="1"/>
  <c r="X381" i="1"/>
  <c r="U381" i="1"/>
  <c r="AC380" i="1"/>
  <c r="AB380" i="1"/>
  <c r="AA380" i="1"/>
  <c r="Z380" i="1"/>
  <c r="Y380" i="1"/>
  <c r="W380" i="1" s="1"/>
  <c r="X380" i="1"/>
  <c r="U380" i="1"/>
  <c r="AC379" i="1"/>
  <c r="AB379" i="1"/>
  <c r="AA379" i="1"/>
  <c r="Z379" i="1"/>
  <c r="Y379" i="1"/>
  <c r="W379" i="1" s="1"/>
  <c r="X379" i="1"/>
  <c r="U379" i="1"/>
  <c r="AC378" i="1"/>
  <c r="AB378" i="1"/>
  <c r="AA378" i="1"/>
  <c r="Z378" i="1"/>
  <c r="Y378" i="1"/>
  <c r="W378" i="1" s="1"/>
  <c r="X378" i="1"/>
  <c r="U378" i="1"/>
  <c r="AC377" i="1"/>
  <c r="AB377" i="1"/>
  <c r="AA377" i="1"/>
  <c r="Z377" i="1"/>
  <c r="Y377" i="1"/>
  <c r="W377" i="1" s="1"/>
  <c r="X377" i="1"/>
  <c r="U377" i="1"/>
  <c r="AC376" i="1"/>
  <c r="AB376" i="1"/>
  <c r="AA376" i="1"/>
  <c r="Z376" i="1"/>
  <c r="Y376" i="1"/>
  <c r="W376" i="1" s="1"/>
  <c r="X376" i="1"/>
  <c r="U376" i="1"/>
  <c r="AC375" i="1"/>
  <c r="AB375" i="1"/>
  <c r="AA375" i="1"/>
  <c r="Z375" i="1"/>
  <c r="Y375" i="1"/>
  <c r="W375" i="1" s="1"/>
  <c r="X375" i="1"/>
  <c r="U375" i="1"/>
  <c r="AC374" i="1"/>
  <c r="AB374" i="1"/>
  <c r="AA374" i="1"/>
  <c r="Z374" i="1"/>
  <c r="Y374" i="1"/>
  <c r="W374" i="1" s="1"/>
  <c r="X374" i="1"/>
  <c r="U374" i="1"/>
  <c r="AC373" i="1"/>
  <c r="AB373" i="1"/>
  <c r="AA373" i="1"/>
  <c r="Z373" i="1"/>
  <c r="Y373" i="1"/>
  <c r="W373" i="1" s="1"/>
  <c r="X373" i="1"/>
  <c r="U373" i="1"/>
  <c r="AC372" i="1"/>
  <c r="AB372" i="1"/>
  <c r="AA372" i="1"/>
  <c r="Z372" i="1"/>
  <c r="Y372" i="1"/>
  <c r="W372" i="1" s="1"/>
  <c r="X372" i="1"/>
  <c r="U372" i="1"/>
  <c r="AC371" i="1"/>
  <c r="AB371" i="1"/>
  <c r="AA371" i="1"/>
  <c r="Z371" i="1"/>
  <c r="Y371" i="1"/>
  <c r="W371" i="1" s="1"/>
  <c r="X371" i="1"/>
  <c r="U371" i="1"/>
  <c r="AC370" i="1"/>
  <c r="AB370" i="1"/>
  <c r="AA370" i="1"/>
  <c r="Z370" i="1"/>
  <c r="Y370" i="1"/>
  <c r="W370" i="1" s="1"/>
  <c r="X370" i="1"/>
  <c r="U370" i="1"/>
  <c r="AC369" i="1"/>
  <c r="AB369" i="1"/>
  <c r="AA369" i="1"/>
  <c r="Z369" i="1"/>
  <c r="Y369" i="1"/>
  <c r="W369" i="1" s="1"/>
  <c r="X369" i="1"/>
  <c r="U369" i="1"/>
  <c r="AC368" i="1"/>
  <c r="AB368" i="1"/>
  <c r="AA368" i="1"/>
  <c r="Z368" i="1"/>
  <c r="Y368" i="1"/>
  <c r="W368" i="1" s="1"/>
  <c r="X368" i="1"/>
  <c r="U368" i="1"/>
  <c r="AC367" i="1"/>
  <c r="AB367" i="1"/>
  <c r="AA367" i="1"/>
  <c r="Z367" i="1"/>
  <c r="Y367" i="1"/>
  <c r="W367" i="1" s="1"/>
  <c r="X367" i="1"/>
  <c r="U367" i="1"/>
  <c r="AC366" i="1"/>
  <c r="AB366" i="1"/>
  <c r="AA366" i="1"/>
  <c r="Z366" i="1"/>
  <c r="Y366" i="1"/>
  <c r="W366" i="1" s="1"/>
  <c r="X366" i="1"/>
  <c r="U366" i="1"/>
  <c r="AC365" i="1"/>
  <c r="AB365" i="1"/>
  <c r="AA365" i="1"/>
  <c r="Z365" i="1"/>
  <c r="Y365" i="1"/>
  <c r="W365" i="1" s="1"/>
  <c r="X365" i="1"/>
  <c r="U365" i="1"/>
  <c r="AC364" i="1"/>
  <c r="AB364" i="1"/>
  <c r="AA364" i="1"/>
  <c r="Z364" i="1"/>
  <c r="Y364" i="1"/>
  <c r="W364" i="1" s="1"/>
  <c r="X364" i="1"/>
  <c r="U364" i="1"/>
  <c r="AC363" i="1"/>
  <c r="AB363" i="1"/>
  <c r="AA363" i="1"/>
  <c r="Z363" i="1"/>
  <c r="Y363" i="1"/>
  <c r="W363" i="1" s="1"/>
  <c r="X363" i="1"/>
  <c r="U363" i="1"/>
  <c r="AC362" i="1"/>
  <c r="AB362" i="1"/>
  <c r="AA362" i="1"/>
  <c r="Z362" i="1"/>
  <c r="Y362" i="1"/>
  <c r="W362" i="1" s="1"/>
  <c r="X362" i="1"/>
  <c r="U362" i="1"/>
  <c r="AC361" i="1"/>
  <c r="AB361" i="1"/>
  <c r="AA361" i="1"/>
  <c r="Z361" i="1"/>
  <c r="Y361" i="1"/>
  <c r="W361" i="1" s="1"/>
  <c r="X361" i="1"/>
  <c r="U361" i="1"/>
  <c r="AC360" i="1"/>
  <c r="AB360" i="1"/>
  <c r="AA360" i="1"/>
  <c r="Z360" i="1"/>
  <c r="Y360" i="1"/>
  <c r="W360" i="1" s="1"/>
  <c r="X360" i="1"/>
  <c r="U360" i="1"/>
  <c r="AC359" i="1"/>
  <c r="AB359" i="1"/>
  <c r="AA359" i="1"/>
  <c r="Z359" i="1"/>
  <c r="Y359" i="1"/>
  <c r="W359" i="1" s="1"/>
  <c r="X359" i="1"/>
  <c r="U359" i="1"/>
  <c r="AC358" i="1"/>
  <c r="AB358" i="1"/>
  <c r="AA358" i="1"/>
  <c r="Z358" i="1"/>
  <c r="Y358" i="1"/>
  <c r="W358" i="1" s="1"/>
  <c r="X358" i="1"/>
  <c r="U358" i="1"/>
  <c r="AC357" i="1"/>
  <c r="AB357" i="1"/>
  <c r="AA357" i="1"/>
  <c r="Z357" i="1"/>
  <c r="Y357" i="1"/>
  <c r="W357" i="1" s="1"/>
  <c r="X357" i="1"/>
  <c r="U357" i="1"/>
  <c r="AC356" i="1"/>
  <c r="AB356" i="1"/>
  <c r="AA356" i="1"/>
  <c r="Z356" i="1"/>
  <c r="Y356" i="1"/>
  <c r="W356" i="1" s="1"/>
  <c r="X356" i="1"/>
  <c r="U356" i="1"/>
  <c r="AC355" i="1"/>
  <c r="AB355" i="1"/>
  <c r="AA355" i="1"/>
  <c r="Z355" i="1"/>
  <c r="Y355" i="1"/>
  <c r="W355" i="1" s="1"/>
  <c r="X355" i="1"/>
  <c r="U355" i="1"/>
  <c r="AC354" i="1"/>
  <c r="AB354" i="1"/>
  <c r="AA354" i="1"/>
  <c r="Z354" i="1"/>
  <c r="Y354" i="1"/>
  <c r="W354" i="1" s="1"/>
  <c r="X354" i="1"/>
  <c r="U354" i="1"/>
  <c r="AC353" i="1"/>
  <c r="AB353" i="1"/>
  <c r="AA353" i="1"/>
  <c r="Z353" i="1"/>
  <c r="Y353" i="1"/>
  <c r="W353" i="1" s="1"/>
  <c r="X353" i="1"/>
  <c r="U353" i="1"/>
  <c r="AC352" i="1"/>
  <c r="AB352" i="1"/>
  <c r="AA352" i="1"/>
  <c r="Z352" i="1"/>
  <c r="Y352" i="1"/>
  <c r="W352" i="1" s="1"/>
  <c r="X352" i="1"/>
  <c r="U352" i="1"/>
  <c r="AC351" i="1"/>
  <c r="AB351" i="1"/>
  <c r="AA351" i="1"/>
  <c r="Z351" i="1"/>
  <c r="Y351" i="1"/>
  <c r="W351" i="1" s="1"/>
  <c r="X351" i="1"/>
  <c r="U351" i="1"/>
  <c r="AC350" i="1"/>
  <c r="AB350" i="1"/>
  <c r="AA350" i="1"/>
  <c r="Z350" i="1"/>
  <c r="Y350" i="1"/>
  <c r="W350" i="1" s="1"/>
  <c r="X350" i="1"/>
  <c r="U350" i="1"/>
  <c r="AC349" i="1"/>
  <c r="AB349" i="1"/>
  <c r="AA349" i="1"/>
  <c r="Z349" i="1"/>
  <c r="Y349" i="1"/>
  <c r="W349" i="1" s="1"/>
  <c r="X349" i="1"/>
  <c r="U349" i="1"/>
  <c r="AC348" i="1"/>
  <c r="AB348" i="1"/>
  <c r="AA348" i="1"/>
  <c r="Z348" i="1"/>
  <c r="Y348" i="1"/>
  <c r="W348" i="1" s="1"/>
  <c r="X348" i="1"/>
  <c r="U348" i="1"/>
  <c r="AC347" i="1"/>
  <c r="AB347" i="1"/>
  <c r="AA347" i="1"/>
  <c r="Z347" i="1"/>
  <c r="Y347" i="1"/>
  <c r="W347" i="1" s="1"/>
  <c r="X347" i="1"/>
  <c r="U347" i="1"/>
  <c r="AC346" i="1"/>
  <c r="AB346" i="1"/>
  <c r="AA346" i="1"/>
  <c r="Z346" i="1"/>
  <c r="Y346" i="1"/>
  <c r="W346" i="1" s="1"/>
  <c r="X346" i="1"/>
  <c r="U346" i="1"/>
  <c r="AC345" i="1"/>
  <c r="AB345" i="1"/>
  <c r="AA345" i="1"/>
  <c r="Z345" i="1"/>
  <c r="Y345" i="1"/>
  <c r="W345" i="1" s="1"/>
  <c r="X345" i="1"/>
  <c r="U345" i="1"/>
  <c r="AC344" i="1"/>
  <c r="AB344" i="1"/>
  <c r="AA344" i="1"/>
  <c r="Z344" i="1"/>
  <c r="Y344" i="1"/>
  <c r="W344" i="1" s="1"/>
  <c r="X344" i="1"/>
  <c r="U344" i="1"/>
  <c r="AC343" i="1"/>
  <c r="AB343" i="1"/>
  <c r="AA343" i="1"/>
  <c r="Z343" i="1"/>
  <c r="Y343" i="1"/>
  <c r="W343" i="1" s="1"/>
  <c r="X343" i="1"/>
  <c r="U343" i="1"/>
  <c r="AC342" i="1"/>
  <c r="AB342" i="1"/>
  <c r="AA342" i="1"/>
  <c r="Z342" i="1"/>
  <c r="Y342" i="1"/>
  <c r="W342" i="1" s="1"/>
  <c r="X342" i="1"/>
  <c r="U342" i="1"/>
  <c r="AC341" i="1"/>
  <c r="AB341" i="1"/>
  <c r="AA341" i="1"/>
  <c r="Z341" i="1"/>
  <c r="Y341" i="1"/>
  <c r="W341" i="1" s="1"/>
  <c r="X341" i="1"/>
  <c r="U341" i="1"/>
  <c r="AC340" i="1"/>
  <c r="AB340" i="1"/>
  <c r="AA340" i="1"/>
  <c r="Z340" i="1"/>
  <c r="Y340" i="1"/>
  <c r="W340" i="1" s="1"/>
  <c r="X340" i="1"/>
  <c r="U340" i="1"/>
  <c r="AC339" i="1"/>
  <c r="AB339" i="1"/>
  <c r="AA339" i="1"/>
  <c r="Z339" i="1"/>
  <c r="Y339" i="1"/>
  <c r="W339" i="1" s="1"/>
  <c r="X339" i="1"/>
  <c r="U339" i="1"/>
  <c r="AC338" i="1"/>
  <c r="AB338" i="1"/>
  <c r="AA338" i="1"/>
  <c r="Z338" i="1"/>
  <c r="Y338" i="1"/>
  <c r="W338" i="1" s="1"/>
  <c r="X338" i="1"/>
  <c r="U338" i="1"/>
  <c r="AC337" i="1"/>
  <c r="AB337" i="1"/>
  <c r="AA337" i="1"/>
  <c r="Z337" i="1"/>
  <c r="Y337" i="1"/>
  <c r="W337" i="1" s="1"/>
  <c r="X337" i="1"/>
  <c r="U337" i="1"/>
  <c r="AC336" i="1"/>
  <c r="AB336" i="1"/>
  <c r="AA336" i="1"/>
  <c r="Z336" i="1"/>
  <c r="Y336" i="1"/>
  <c r="W336" i="1" s="1"/>
  <c r="X336" i="1"/>
  <c r="U336" i="1"/>
  <c r="AC335" i="1"/>
  <c r="AB335" i="1"/>
  <c r="AA335" i="1"/>
  <c r="Z335" i="1"/>
  <c r="Y335" i="1"/>
  <c r="W335" i="1" s="1"/>
  <c r="X335" i="1"/>
  <c r="U335" i="1"/>
  <c r="AC334" i="1"/>
  <c r="AB334" i="1"/>
  <c r="AA334" i="1"/>
  <c r="Z334" i="1"/>
  <c r="Y334" i="1"/>
  <c r="W334" i="1" s="1"/>
  <c r="X334" i="1"/>
  <c r="U334" i="1"/>
  <c r="AC333" i="1"/>
  <c r="AB333" i="1"/>
  <c r="AA333" i="1"/>
  <c r="Z333" i="1"/>
  <c r="Y333" i="1"/>
  <c r="W333" i="1" s="1"/>
  <c r="X333" i="1"/>
  <c r="U333" i="1"/>
  <c r="AC332" i="1"/>
  <c r="AB332" i="1"/>
  <c r="AA332" i="1"/>
  <c r="Z332" i="1"/>
  <c r="Y332" i="1"/>
  <c r="W332" i="1" s="1"/>
  <c r="X332" i="1"/>
  <c r="U332" i="1"/>
  <c r="AC331" i="1"/>
  <c r="AB331" i="1"/>
  <c r="AA331" i="1"/>
  <c r="Z331" i="1"/>
  <c r="Y331" i="1"/>
  <c r="W331" i="1" s="1"/>
  <c r="X331" i="1"/>
  <c r="U331" i="1"/>
  <c r="AC330" i="1"/>
  <c r="AB330" i="1"/>
  <c r="AA330" i="1"/>
  <c r="Z330" i="1"/>
  <c r="Y330" i="1"/>
  <c r="W330" i="1" s="1"/>
  <c r="X330" i="1"/>
  <c r="U330" i="1"/>
  <c r="AC329" i="1"/>
  <c r="AB329" i="1"/>
  <c r="AA329" i="1"/>
  <c r="Z329" i="1"/>
  <c r="Y329" i="1"/>
  <c r="W329" i="1" s="1"/>
  <c r="X329" i="1"/>
  <c r="U329" i="1"/>
  <c r="AC328" i="1"/>
  <c r="AB328" i="1"/>
  <c r="AA328" i="1"/>
  <c r="Z328" i="1"/>
  <c r="Y328" i="1"/>
  <c r="W328" i="1" s="1"/>
  <c r="X328" i="1"/>
  <c r="U328" i="1"/>
  <c r="AC327" i="1"/>
  <c r="AB327" i="1"/>
  <c r="AA327" i="1"/>
  <c r="Z327" i="1"/>
  <c r="Y327" i="1"/>
  <c r="W327" i="1" s="1"/>
  <c r="X327" i="1"/>
  <c r="U327" i="1"/>
  <c r="AC326" i="1"/>
  <c r="AB326" i="1"/>
  <c r="AA326" i="1"/>
  <c r="Z326" i="1"/>
  <c r="Y326" i="1"/>
  <c r="W326" i="1" s="1"/>
  <c r="X326" i="1"/>
  <c r="U326" i="1"/>
  <c r="AC325" i="1"/>
  <c r="AB325" i="1"/>
  <c r="AA325" i="1"/>
  <c r="Z325" i="1"/>
  <c r="Y325" i="1"/>
  <c r="W325" i="1" s="1"/>
  <c r="X325" i="1"/>
  <c r="U325" i="1"/>
  <c r="AC324" i="1"/>
  <c r="AB324" i="1"/>
  <c r="AA324" i="1"/>
  <c r="Z324" i="1"/>
  <c r="Y324" i="1"/>
  <c r="W324" i="1" s="1"/>
  <c r="X324" i="1"/>
  <c r="U324" i="1"/>
  <c r="AC323" i="1"/>
  <c r="AB323" i="1"/>
  <c r="AA323" i="1"/>
  <c r="Z323" i="1"/>
  <c r="Y323" i="1"/>
  <c r="W323" i="1" s="1"/>
  <c r="X323" i="1"/>
  <c r="U323" i="1"/>
  <c r="AC322" i="1"/>
  <c r="AB322" i="1"/>
  <c r="AA322" i="1"/>
  <c r="Z322" i="1"/>
  <c r="Y322" i="1"/>
  <c r="W322" i="1" s="1"/>
  <c r="X322" i="1"/>
  <c r="U322" i="1"/>
  <c r="AC321" i="1"/>
  <c r="AB321" i="1"/>
  <c r="AA321" i="1"/>
  <c r="Z321" i="1"/>
  <c r="Y321" i="1"/>
  <c r="W321" i="1" s="1"/>
  <c r="X321" i="1"/>
  <c r="U321" i="1"/>
  <c r="AC320" i="1"/>
  <c r="AB320" i="1"/>
  <c r="AA320" i="1"/>
  <c r="Z320" i="1"/>
  <c r="Y320" i="1"/>
  <c r="W320" i="1" s="1"/>
  <c r="X320" i="1"/>
  <c r="U320" i="1"/>
  <c r="AC319" i="1"/>
  <c r="AB319" i="1"/>
  <c r="AA319" i="1"/>
  <c r="Z319" i="1"/>
  <c r="Y319" i="1"/>
  <c r="W319" i="1" s="1"/>
  <c r="X319" i="1"/>
  <c r="U319" i="1"/>
  <c r="AC318" i="1"/>
  <c r="AB318" i="1"/>
  <c r="AA318" i="1"/>
  <c r="Z318" i="1"/>
  <c r="Y318" i="1"/>
  <c r="W318" i="1" s="1"/>
  <c r="X318" i="1"/>
  <c r="U318" i="1"/>
  <c r="AC317" i="1"/>
  <c r="AB317" i="1"/>
  <c r="AA317" i="1"/>
  <c r="Z317" i="1"/>
  <c r="Y317" i="1"/>
  <c r="W317" i="1" s="1"/>
  <c r="X317" i="1"/>
  <c r="U317" i="1"/>
  <c r="AC316" i="1"/>
  <c r="AB316" i="1"/>
  <c r="AA316" i="1"/>
  <c r="Z316" i="1"/>
  <c r="Y316" i="1"/>
  <c r="W316" i="1" s="1"/>
  <c r="X316" i="1"/>
  <c r="U316" i="1"/>
  <c r="AC315" i="1"/>
  <c r="AB315" i="1"/>
  <c r="AA315" i="1"/>
  <c r="Z315" i="1"/>
  <c r="Y315" i="1"/>
  <c r="W315" i="1" s="1"/>
  <c r="X315" i="1"/>
  <c r="U315" i="1"/>
  <c r="AC314" i="1"/>
  <c r="AB314" i="1"/>
  <c r="AA314" i="1"/>
  <c r="Z314" i="1"/>
  <c r="Y314" i="1"/>
  <c r="W314" i="1" s="1"/>
  <c r="X314" i="1"/>
  <c r="U314" i="1"/>
  <c r="AC313" i="1"/>
  <c r="AB313" i="1"/>
  <c r="AA313" i="1"/>
  <c r="Z313" i="1"/>
  <c r="Y313" i="1"/>
  <c r="W313" i="1" s="1"/>
  <c r="X313" i="1"/>
  <c r="U313" i="1"/>
  <c r="AC312" i="1"/>
  <c r="AB312" i="1"/>
  <c r="AA312" i="1"/>
  <c r="Z312" i="1"/>
  <c r="Y312" i="1"/>
  <c r="W312" i="1" s="1"/>
  <c r="X312" i="1"/>
  <c r="U312" i="1"/>
  <c r="AC311" i="1"/>
  <c r="AB311" i="1"/>
  <c r="AA311" i="1"/>
  <c r="Z311" i="1"/>
  <c r="Y311" i="1"/>
  <c r="W311" i="1" s="1"/>
  <c r="X311" i="1"/>
  <c r="U311" i="1"/>
  <c r="AC310" i="1"/>
  <c r="AB310" i="1"/>
  <c r="AA310" i="1"/>
  <c r="Z310" i="1"/>
  <c r="Y310" i="1"/>
  <c r="W310" i="1" s="1"/>
  <c r="X310" i="1"/>
  <c r="U310" i="1"/>
  <c r="AC309" i="1"/>
  <c r="AB309" i="1"/>
  <c r="AA309" i="1"/>
  <c r="Z309" i="1"/>
  <c r="Y309" i="1"/>
  <c r="W309" i="1" s="1"/>
  <c r="X309" i="1"/>
  <c r="U309" i="1"/>
  <c r="AC308" i="1"/>
  <c r="AB308" i="1"/>
  <c r="AA308" i="1"/>
  <c r="Z308" i="1"/>
  <c r="Y308" i="1"/>
  <c r="W308" i="1" s="1"/>
  <c r="X308" i="1"/>
  <c r="U308" i="1"/>
  <c r="AC307" i="1"/>
  <c r="AB307" i="1"/>
  <c r="AA307" i="1"/>
  <c r="Z307" i="1"/>
  <c r="Y307" i="1"/>
  <c r="W307" i="1" s="1"/>
  <c r="X307" i="1"/>
  <c r="U307" i="1"/>
  <c r="AC306" i="1"/>
  <c r="AB306" i="1"/>
  <c r="AA306" i="1"/>
  <c r="Z306" i="1"/>
  <c r="Y306" i="1"/>
  <c r="W306" i="1" s="1"/>
  <c r="X306" i="1"/>
  <c r="U306" i="1"/>
  <c r="AC305" i="1"/>
  <c r="AB305" i="1"/>
  <c r="AA305" i="1"/>
  <c r="Z305" i="1"/>
  <c r="Y305" i="1"/>
  <c r="W305" i="1" s="1"/>
  <c r="X305" i="1"/>
  <c r="U305" i="1"/>
  <c r="AC304" i="1"/>
  <c r="AB304" i="1"/>
  <c r="AA304" i="1"/>
  <c r="Z304" i="1"/>
  <c r="Y304" i="1"/>
  <c r="W304" i="1" s="1"/>
  <c r="X304" i="1"/>
  <c r="U304" i="1"/>
  <c r="AC303" i="1"/>
  <c r="AB303" i="1"/>
  <c r="AA303" i="1"/>
  <c r="Z303" i="1"/>
  <c r="Y303" i="1"/>
  <c r="W303" i="1" s="1"/>
  <c r="X303" i="1"/>
  <c r="U303" i="1"/>
  <c r="AC302" i="1"/>
  <c r="AB302" i="1"/>
  <c r="AA302" i="1"/>
  <c r="Z302" i="1"/>
  <c r="Y302" i="1"/>
  <c r="W302" i="1" s="1"/>
  <c r="X302" i="1"/>
  <c r="U302" i="1"/>
  <c r="AC301" i="1"/>
  <c r="AB301" i="1"/>
  <c r="AA301" i="1"/>
  <c r="Z301" i="1"/>
  <c r="Y301" i="1"/>
  <c r="W301" i="1" s="1"/>
  <c r="X301" i="1"/>
  <c r="U301" i="1"/>
  <c r="AC300" i="1"/>
  <c r="AB300" i="1"/>
  <c r="AA300" i="1"/>
  <c r="Z300" i="1"/>
  <c r="Y300" i="1"/>
  <c r="W300" i="1" s="1"/>
  <c r="X300" i="1"/>
  <c r="U300" i="1"/>
  <c r="AC299" i="1"/>
  <c r="AB299" i="1"/>
  <c r="AA299" i="1"/>
  <c r="Z299" i="1"/>
  <c r="Y299" i="1"/>
  <c r="W299" i="1" s="1"/>
  <c r="X299" i="1"/>
  <c r="U299" i="1"/>
  <c r="AC298" i="1"/>
  <c r="AB298" i="1"/>
  <c r="AA298" i="1"/>
  <c r="Z298" i="1"/>
  <c r="Y298" i="1"/>
  <c r="W298" i="1" s="1"/>
  <c r="X298" i="1"/>
  <c r="U298" i="1"/>
  <c r="AC297" i="1"/>
  <c r="AB297" i="1"/>
  <c r="AA297" i="1"/>
  <c r="Z297" i="1"/>
  <c r="Y297" i="1"/>
  <c r="W297" i="1" s="1"/>
  <c r="X297" i="1"/>
  <c r="U297" i="1"/>
  <c r="AC296" i="1"/>
  <c r="AB296" i="1"/>
  <c r="AA296" i="1"/>
  <c r="Z296" i="1"/>
  <c r="Y296" i="1"/>
  <c r="W296" i="1" s="1"/>
  <c r="X296" i="1"/>
  <c r="U296" i="1"/>
  <c r="AC295" i="1"/>
  <c r="AB295" i="1"/>
  <c r="AA295" i="1"/>
  <c r="Z295" i="1"/>
  <c r="Y295" i="1"/>
  <c r="W295" i="1" s="1"/>
  <c r="X295" i="1"/>
  <c r="U295" i="1"/>
  <c r="AC294" i="1"/>
  <c r="AB294" i="1"/>
  <c r="AA294" i="1"/>
  <c r="Z294" i="1"/>
  <c r="Y294" i="1"/>
  <c r="W294" i="1" s="1"/>
  <c r="X294" i="1"/>
  <c r="U294" i="1"/>
  <c r="AC293" i="1"/>
  <c r="AB293" i="1"/>
  <c r="AA293" i="1"/>
  <c r="Z293" i="1"/>
  <c r="Y293" i="1"/>
  <c r="W293" i="1" s="1"/>
  <c r="X293" i="1"/>
  <c r="U293" i="1"/>
  <c r="AC292" i="1"/>
  <c r="AB292" i="1"/>
  <c r="AA292" i="1"/>
  <c r="Z292" i="1"/>
  <c r="Y292" i="1"/>
  <c r="W292" i="1" s="1"/>
  <c r="X292" i="1"/>
  <c r="U292" i="1"/>
  <c r="AC291" i="1"/>
  <c r="AB291" i="1"/>
  <c r="AA291" i="1"/>
  <c r="Z291" i="1"/>
  <c r="Y291" i="1"/>
  <c r="W291" i="1" s="1"/>
  <c r="X291" i="1"/>
  <c r="U291" i="1"/>
  <c r="AC290" i="1"/>
  <c r="AB290" i="1"/>
  <c r="AA290" i="1"/>
  <c r="Z290" i="1"/>
  <c r="Y290" i="1"/>
  <c r="W290" i="1" s="1"/>
  <c r="X290" i="1"/>
  <c r="U290" i="1"/>
  <c r="AC289" i="1"/>
  <c r="AB289" i="1"/>
  <c r="AA289" i="1"/>
  <c r="Z289" i="1"/>
  <c r="Y289" i="1"/>
  <c r="W289" i="1" s="1"/>
  <c r="X289" i="1"/>
  <c r="U289" i="1"/>
  <c r="AC288" i="1"/>
  <c r="AB288" i="1"/>
  <c r="AA288" i="1"/>
  <c r="Z288" i="1"/>
  <c r="Y288" i="1"/>
  <c r="W288" i="1" s="1"/>
  <c r="X288" i="1"/>
  <c r="U288" i="1"/>
  <c r="AC287" i="1"/>
  <c r="AB287" i="1"/>
  <c r="AA287" i="1"/>
  <c r="Z287" i="1"/>
  <c r="Y287" i="1"/>
  <c r="W287" i="1" s="1"/>
  <c r="X287" i="1"/>
  <c r="U287" i="1"/>
  <c r="AC286" i="1"/>
  <c r="AB286" i="1"/>
  <c r="AA286" i="1"/>
  <c r="Z286" i="1"/>
  <c r="Y286" i="1"/>
  <c r="W286" i="1" s="1"/>
  <c r="X286" i="1"/>
  <c r="U286" i="1"/>
  <c r="AC285" i="1"/>
  <c r="AB285" i="1"/>
  <c r="AA285" i="1"/>
  <c r="Z285" i="1"/>
  <c r="Y285" i="1"/>
  <c r="W285" i="1" s="1"/>
  <c r="X285" i="1"/>
  <c r="U285" i="1"/>
  <c r="AC284" i="1"/>
  <c r="AB284" i="1"/>
  <c r="AA284" i="1"/>
  <c r="Z284" i="1"/>
  <c r="Y284" i="1"/>
  <c r="W284" i="1" s="1"/>
  <c r="X284" i="1"/>
  <c r="U284" i="1"/>
  <c r="AC283" i="1"/>
  <c r="AB283" i="1"/>
  <c r="AA283" i="1"/>
  <c r="Z283" i="1"/>
  <c r="Y283" i="1"/>
  <c r="W283" i="1" s="1"/>
  <c r="X283" i="1"/>
  <c r="U283" i="1"/>
  <c r="AC282" i="1"/>
  <c r="AB282" i="1"/>
  <c r="AA282" i="1"/>
  <c r="Z282" i="1"/>
  <c r="Y282" i="1"/>
  <c r="W282" i="1" s="1"/>
  <c r="X282" i="1"/>
  <c r="U282" i="1"/>
  <c r="AC281" i="1"/>
  <c r="AB281" i="1"/>
  <c r="AA281" i="1"/>
  <c r="Z281" i="1"/>
  <c r="Y281" i="1"/>
  <c r="W281" i="1" s="1"/>
  <c r="X281" i="1"/>
  <c r="U281" i="1"/>
  <c r="AC280" i="1"/>
  <c r="AB280" i="1"/>
  <c r="AA280" i="1"/>
  <c r="Z280" i="1"/>
  <c r="Y280" i="1"/>
  <c r="W280" i="1" s="1"/>
  <c r="X280" i="1"/>
  <c r="U280" i="1"/>
  <c r="AC279" i="1"/>
  <c r="AB279" i="1"/>
  <c r="AA279" i="1"/>
  <c r="Z279" i="1"/>
  <c r="Y279" i="1"/>
  <c r="W279" i="1" s="1"/>
  <c r="X279" i="1"/>
  <c r="U279" i="1"/>
  <c r="AC278" i="1"/>
  <c r="AB278" i="1"/>
  <c r="AA278" i="1"/>
  <c r="Z278" i="1"/>
  <c r="Y278" i="1"/>
  <c r="W278" i="1" s="1"/>
  <c r="X278" i="1"/>
  <c r="U278" i="1"/>
  <c r="AC277" i="1"/>
  <c r="AB277" i="1"/>
  <c r="AA277" i="1"/>
  <c r="Z277" i="1"/>
  <c r="Y277" i="1"/>
  <c r="W277" i="1" s="1"/>
  <c r="X277" i="1"/>
  <c r="U277" i="1"/>
  <c r="AC276" i="1"/>
  <c r="AB276" i="1"/>
  <c r="AA276" i="1"/>
  <c r="Z276" i="1"/>
  <c r="Y276" i="1"/>
  <c r="W276" i="1" s="1"/>
  <c r="X276" i="1"/>
  <c r="U276" i="1"/>
  <c r="AC275" i="1"/>
  <c r="AB275" i="1"/>
  <c r="AA275" i="1"/>
  <c r="Z275" i="1"/>
  <c r="Y275" i="1"/>
  <c r="W275" i="1" s="1"/>
  <c r="X275" i="1"/>
  <c r="U275" i="1"/>
  <c r="AC274" i="1"/>
  <c r="AB274" i="1"/>
  <c r="AA274" i="1"/>
  <c r="Z274" i="1"/>
  <c r="Y274" i="1"/>
  <c r="W274" i="1" s="1"/>
  <c r="X274" i="1"/>
  <c r="U274" i="1"/>
  <c r="AC273" i="1"/>
  <c r="AB273" i="1"/>
  <c r="AA273" i="1"/>
  <c r="Z273" i="1"/>
  <c r="Y273" i="1"/>
  <c r="W273" i="1" s="1"/>
  <c r="X273" i="1"/>
  <c r="U273" i="1"/>
  <c r="AC272" i="1"/>
  <c r="AB272" i="1"/>
  <c r="AA272" i="1"/>
  <c r="Z272" i="1"/>
  <c r="Y272" i="1"/>
  <c r="W272" i="1" s="1"/>
  <c r="X272" i="1"/>
  <c r="U272" i="1"/>
  <c r="AC271" i="1"/>
  <c r="AB271" i="1"/>
  <c r="AA271" i="1"/>
  <c r="Z271" i="1"/>
  <c r="Y271" i="1"/>
  <c r="W271" i="1" s="1"/>
  <c r="X271" i="1"/>
  <c r="U271" i="1"/>
  <c r="AC270" i="1"/>
  <c r="AB270" i="1"/>
  <c r="AA270" i="1"/>
  <c r="Z270" i="1"/>
  <c r="Y270" i="1"/>
  <c r="W270" i="1" s="1"/>
  <c r="X270" i="1"/>
  <c r="U270" i="1"/>
  <c r="AC269" i="1"/>
  <c r="AB269" i="1"/>
  <c r="AA269" i="1"/>
  <c r="Z269" i="1"/>
  <c r="Y269" i="1"/>
  <c r="W269" i="1" s="1"/>
  <c r="X269" i="1"/>
  <c r="U269" i="1"/>
  <c r="AC268" i="1"/>
  <c r="AB268" i="1"/>
  <c r="AA268" i="1"/>
  <c r="Z268" i="1"/>
  <c r="Y268" i="1"/>
  <c r="W268" i="1" s="1"/>
  <c r="X268" i="1"/>
  <c r="U268" i="1"/>
  <c r="AC267" i="1"/>
  <c r="AB267" i="1"/>
  <c r="AA267" i="1"/>
  <c r="Z267" i="1"/>
  <c r="Y267" i="1"/>
  <c r="W267" i="1" s="1"/>
  <c r="X267" i="1"/>
  <c r="U267" i="1"/>
  <c r="AC266" i="1"/>
  <c r="AB266" i="1"/>
  <c r="AA266" i="1"/>
  <c r="Z266" i="1"/>
  <c r="Y266" i="1"/>
  <c r="W266" i="1" s="1"/>
  <c r="X266" i="1"/>
  <c r="U266" i="1"/>
  <c r="AC265" i="1"/>
  <c r="AB265" i="1"/>
  <c r="AA265" i="1"/>
  <c r="Z265" i="1"/>
  <c r="Y265" i="1"/>
  <c r="W265" i="1" s="1"/>
  <c r="X265" i="1"/>
  <c r="U265" i="1"/>
  <c r="AC264" i="1"/>
  <c r="AB264" i="1"/>
  <c r="AA264" i="1"/>
  <c r="Z264" i="1"/>
  <c r="Y264" i="1"/>
  <c r="W264" i="1" s="1"/>
  <c r="X264" i="1"/>
  <c r="U264" i="1"/>
  <c r="AC263" i="1"/>
  <c r="AB263" i="1"/>
  <c r="AA263" i="1"/>
  <c r="Z263" i="1"/>
  <c r="Y263" i="1"/>
  <c r="W263" i="1" s="1"/>
  <c r="X263" i="1"/>
  <c r="U263" i="1"/>
  <c r="AC262" i="1"/>
  <c r="AB262" i="1"/>
  <c r="AA262" i="1"/>
  <c r="Z262" i="1"/>
  <c r="Y262" i="1"/>
  <c r="W262" i="1" s="1"/>
  <c r="X262" i="1"/>
  <c r="U262" i="1"/>
  <c r="AC261" i="1"/>
  <c r="AB261" i="1"/>
  <c r="AA261" i="1"/>
  <c r="Z261" i="1"/>
  <c r="Y261" i="1"/>
  <c r="W261" i="1" s="1"/>
  <c r="X261" i="1"/>
  <c r="U261" i="1"/>
  <c r="AC260" i="1"/>
  <c r="AB260" i="1"/>
  <c r="AA260" i="1"/>
  <c r="Z260" i="1"/>
  <c r="Y260" i="1"/>
  <c r="W260" i="1" s="1"/>
  <c r="X260" i="1"/>
  <c r="U260" i="1"/>
  <c r="AC259" i="1"/>
  <c r="AB259" i="1"/>
  <c r="AA259" i="1"/>
  <c r="Z259" i="1"/>
  <c r="Y259" i="1"/>
  <c r="W259" i="1" s="1"/>
  <c r="X259" i="1"/>
  <c r="U259" i="1"/>
  <c r="AC258" i="1"/>
  <c r="AB258" i="1"/>
  <c r="AA258" i="1"/>
  <c r="Z258" i="1"/>
  <c r="Y258" i="1"/>
  <c r="W258" i="1" s="1"/>
  <c r="X258" i="1"/>
  <c r="U258" i="1"/>
  <c r="AC257" i="1"/>
  <c r="AB257" i="1"/>
  <c r="AA257" i="1"/>
  <c r="Z257" i="1"/>
  <c r="Y257" i="1"/>
  <c r="W257" i="1" s="1"/>
  <c r="X257" i="1"/>
  <c r="U257" i="1"/>
  <c r="AC256" i="1"/>
  <c r="AB256" i="1"/>
  <c r="AA256" i="1"/>
  <c r="Z256" i="1"/>
  <c r="Y256" i="1"/>
  <c r="W256" i="1" s="1"/>
  <c r="X256" i="1"/>
  <c r="U256" i="1"/>
  <c r="AC255" i="1"/>
  <c r="AB255" i="1"/>
  <c r="AA255" i="1"/>
  <c r="Z255" i="1"/>
  <c r="Y255" i="1"/>
  <c r="W255" i="1" s="1"/>
  <c r="X255" i="1"/>
  <c r="U255" i="1"/>
  <c r="AC254" i="1"/>
  <c r="AB254" i="1"/>
  <c r="AA254" i="1"/>
  <c r="Z254" i="1"/>
  <c r="Y254" i="1"/>
  <c r="W254" i="1" s="1"/>
  <c r="X254" i="1"/>
  <c r="U254" i="1"/>
  <c r="AC253" i="1"/>
  <c r="AB253" i="1"/>
  <c r="AA253" i="1"/>
  <c r="Z253" i="1"/>
  <c r="Y253" i="1"/>
  <c r="W253" i="1" s="1"/>
  <c r="X253" i="1"/>
  <c r="U253" i="1"/>
  <c r="AC252" i="1"/>
  <c r="AB252" i="1"/>
  <c r="AA252" i="1"/>
  <c r="Z252" i="1"/>
  <c r="Y252" i="1"/>
  <c r="W252" i="1" s="1"/>
  <c r="X252" i="1"/>
  <c r="U252" i="1"/>
  <c r="AC251" i="1"/>
  <c r="AB251" i="1"/>
  <c r="AA251" i="1"/>
  <c r="Z251" i="1"/>
  <c r="Y251" i="1"/>
  <c r="W251" i="1" s="1"/>
  <c r="X251" i="1"/>
  <c r="U251" i="1"/>
  <c r="AC250" i="1"/>
  <c r="AB250" i="1"/>
  <c r="AA250" i="1"/>
  <c r="Z250" i="1"/>
  <c r="Y250" i="1"/>
  <c r="W250" i="1" s="1"/>
  <c r="X250" i="1"/>
  <c r="U250" i="1"/>
  <c r="AC249" i="1"/>
  <c r="AB249" i="1"/>
  <c r="AA249" i="1"/>
  <c r="Z249" i="1"/>
  <c r="Y249" i="1"/>
  <c r="W249" i="1" s="1"/>
  <c r="X249" i="1"/>
  <c r="U249" i="1"/>
  <c r="AC248" i="1"/>
  <c r="AB248" i="1"/>
  <c r="AA248" i="1"/>
  <c r="Z248" i="1"/>
  <c r="Y248" i="1"/>
  <c r="W248" i="1" s="1"/>
  <c r="X248" i="1"/>
  <c r="U248" i="1"/>
  <c r="AC247" i="1"/>
  <c r="AB247" i="1"/>
  <c r="AA247" i="1"/>
  <c r="Z247" i="1"/>
  <c r="Y247" i="1"/>
  <c r="W247" i="1" s="1"/>
  <c r="X247" i="1"/>
  <c r="U247" i="1"/>
  <c r="AC246" i="1"/>
  <c r="AB246" i="1"/>
  <c r="AA246" i="1"/>
  <c r="Z246" i="1"/>
  <c r="Y246" i="1"/>
  <c r="W246" i="1" s="1"/>
  <c r="X246" i="1"/>
  <c r="U246" i="1"/>
  <c r="AC245" i="1"/>
  <c r="AB245" i="1"/>
  <c r="AA245" i="1"/>
  <c r="Z245" i="1"/>
  <c r="Y245" i="1"/>
  <c r="W245" i="1" s="1"/>
  <c r="X245" i="1"/>
  <c r="U245" i="1"/>
  <c r="AC244" i="1"/>
  <c r="AB244" i="1"/>
  <c r="AA244" i="1"/>
  <c r="Z244" i="1"/>
  <c r="Y244" i="1"/>
  <c r="W244" i="1" s="1"/>
  <c r="X244" i="1"/>
  <c r="U244" i="1"/>
  <c r="AC243" i="1"/>
  <c r="AB243" i="1"/>
  <c r="AA243" i="1"/>
  <c r="Z243" i="1"/>
  <c r="Y243" i="1"/>
  <c r="W243" i="1" s="1"/>
  <c r="X243" i="1"/>
  <c r="U243" i="1"/>
  <c r="AC242" i="1"/>
  <c r="AB242" i="1"/>
  <c r="AA242" i="1"/>
  <c r="Z242" i="1"/>
  <c r="Y242" i="1"/>
  <c r="W242" i="1" s="1"/>
  <c r="X242" i="1"/>
  <c r="U242" i="1"/>
  <c r="AC241" i="1"/>
  <c r="AB241" i="1"/>
  <c r="AA241" i="1"/>
  <c r="Z241" i="1"/>
  <c r="Y241" i="1"/>
  <c r="W241" i="1" s="1"/>
  <c r="X241" i="1"/>
  <c r="U241" i="1"/>
  <c r="AC240" i="1"/>
  <c r="AB240" i="1"/>
  <c r="AA240" i="1"/>
  <c r="Z240" i="1"/>
  <c r="Y240" i="1"/>
  <c r="W240" i="1" s="1"/>
  <c r="X240" i="1"/>
  <c r="U240" i="1"/>
  <c r="AC239" i="1"/>
  <c r="AB239" i="1"/>
  <c r="AA239" i="1"/>
  <c r="Z239" i="1"/>
  <c r="Y239" i="1"/>
  <c r="W239" i="1" s="1"/>
  <c r="X239" i="1"/>
  <c r="U239" i="1"/>
  <c r="AC238" i="1"/>
  <c r="AB238" i="1"/>
  <c r="AA238" i="1"/>
  <c r="Z238" i="1"/>
  <c r="Y238" i="1"/>
  <c r="W238" i="1" s="1"/>
  <c r="X238" i="1"/>
  <c r="U238" i="1"/>
  <c r="AC237" i="1"/>
  <c r="AB237" i="1"/>
  <c r="AA237" i="1"/>
  <c r="Z237" i="1"/>
  <c r="Y237" i="1"/>
  <c r="W237" i="1" s="1"/>
  <c r="X237" i="1"/>
  <c r="U237" i="1"/>
  <c r="AC236" i="1"/>
  <c r="AB236" i="1"/>
  <c r="AA236" i="1"/>
  <c r="Z236" i="1"/>
  <c r="Y236" i="1"/>
  <c r="W236" i="1" s="1"/>
  <c r="X236" i="1"/>
  <c r="U236" i="1"/>
  <c r="AC235" i="1"/>
  <c r="AB235" i="1"/>
  <c r="AA235" i="1"/>
  <c r="Z235" i="1"/>
  <c r="Y235" i="1"/>
  <c r="W235" i="1" s="1"/>
  <c r="X235" i="1"/>
  <c r="U235" i="1"/>
  <c r="AC234" i="1"/>
  <c r="AB234" i="1"/>
  <c r="AA234" i="1"/>
  <c r="Z234" i="1"/>
  <c r="Y234" i="1"/>
  <c r="W234" i="1" s="1"/>
  <c r="X234" i="1"/>
  <c r="U234" i="1"/>
  <c r="AC233" i="1"/>
  <c r="AB233" i="1"/>
  <c r="AA233" i="1"/>
  <c r="Z233" i="1"/>
  <c r="Y233" i="1"/>
  <c r="W233" i="1" s="1"/>
  <c r="X233" i="1"/>
  <c r="U233" i="1"/>
  <c r="AC232" i="1"/>
  <c r="AB232" i="1"/>
  <c r="AA232" i="1"/>
  <c r="Z232" i="1"/>
  <c r="Y232" i="1"/>
  <c r="W232" i="1" s="1"/>
  <c r="X232" i="1"/>
  <c r="U232" i="1"/>
  <c r="AC231" i="1"/>
  <c r="AB231" i="1"/>
  <c r="AA231" i="1"/>
  <c r="Z231" i="1"/>
  <c r="Y231" i="1"/>
  <c r="W231" i="1" s="1"/>
  <c r="X231" i="1"/>
  <c r="U231" i="1"/>
  <c r="AC230" i="1"/>
  <c r="AB230" i="1"/>
  <c r="AA230" i="1"/>
  <c r="Z230" i="1"/>
  <c r="Y230" i="1"/>
  <c r="W230" i="1" s="1"/>
  <c r="X230" i="1"/>
  <c r="U230" i="1"/>
  <c r="AC229" i="1"/>
  <c r="AB229" i="1"/>
  <c r="AA229" i="1"/>
  <c r="Z229" i="1"/>
  <c r="Y229" i="1"/>
  <c r="W229" i="1" s="1"/>
  <c r="X229" i="1"/>
  <c r="U229" i="1"/>
  <c r="AC228" i="1"/>
  <c r="AB228" i="1"/>
  <c r="AA228" i="1"/>
  <c r="Z228" i="1"/>
  <c r="Y228" i="1"/>
  <c r="W228" i="1" s="1"/>
  <c r="X228" i="1"/>
  <c r="U228" i="1"/>
  <c r="AC227" i="1"/>
  <c r="AB227" i="1"/>
  <c r="AA227" i="1"/>
  <c r="Z227" i="1"/>
  <c r="Y227" i="1"/>
  <c r="W227" i="1" s="1"/>
  <c r="X227" i="1"/>
  <c r="U227" i="1"/>
  <c r="AC226" i="1"/>
  <c r="AB226" i="1"/>
  <c r="AA226" i="1"/>
  <c r="Z226" i="1"/>
  <c r="Y226" i="1"/>
  <c r="W226" i="1" s="1"/>
  <c r="X226" i="1"/>
  <c r="U226" i="1"/>
  <c r="AC225" i="1"/>
  <c r="AB225" i="1"/>
  <c r="AA225" i="1"/>
  <c r="Z225" i="1"/>
  <c r="Y225" i="1"/>
  <c r="W225" i="1" s="1"/>
  <c r="X225" i="1"/>
  <c r="U225" i="1"/>
  <c r="AC224" i="1"/>
  <c r="AB224" i="1"/>
  <c r="AA224" i="1"/>
  <c r="Z224" i="1"/>
  <c r="Y224" i="1"/>
  <c r="W224" i="1" s="1"/>
  <c r="X224" i="1"/>
  <c r="U224" i="1"/>
  <c r="AC223" i="1"/>
  <c r="AB223" i="1"/>
  <c r="AA223" i="1"/>
  <c r="Z223" i="1"/>
  <c r="Y223" i="1"/>
  <c r="W223" i="1" s="1"/>
  <c r="X223" i="1"/>
  <c r="U223" i="1"/>
  <c r="AC222" i="1"/>
  <c r="AB222" i="1"/>
  <c r="AA222" i="1"/>
  <c r="Z222" i="1"/>
  <c r="Y222" i="1"/>
  <c r="W222" i="1" s="1"/>
  <c r="X222" i="1"/>
  <c r="U222" i="1"/>
  <c r="AC221" i="1"/>
  <c r="AB221" i="1"/>
  <c r="AA221" i="1"/>
  <c r="Z221" i="1"/>
  <c r="Y221" i="1"/>
  <c r="W221" i="1" s="1"/>
  <c r="X221" i="1"/>
  <c r="U221" i="1"/>
  <c r="AC220" i="1"/>
  <c r="AB220" i="1"/>
  <c r="AA220" i="1"/>
  <c r="Z220" i="1"/>
  <c r="Y220" i="1"/>
  <c r="W220" i="1" s="1"/>
  <c r="X220" i="1"/>
  <c r="U220" i="1"/>
  <c r="AC219" i="1"/>
  <c r="AB219" i="1"/>
  <c r="AA219" i="1"/>
  <c r="Z219" i="1"/>
  <c r="Y219" i="1"/>
  <c r="W219" i="1" s="1"/>
  <c r="X219" i="1"/>
  <c r="U219" i="1"/>
  <c r="AC218" i="1"/>
  <c r="AB218" i="1"/>
  <c r="AA218" i="1"/>
  <c r="Z218" i="1"/>
  <c r="Y218" i="1"/>
  <c r="W218" i="1" s="1"/>
  <c r="X218" i="1"/>
  <c r="U218" i="1"/>
  <c r="AC217" i="1"/>
  <c r="AB217" i="1"/>
  <c r="AA217" i="1"/>
  <c r="Z217" i="1"/>
  <c r="Y217" i="1"/>
  <c r="W217" i="1" s="1"/>
  <c r="X217" i="1"/>
  <c r="U217" i="1"/>
  <c r="AC216" i="1"/>
  <c r="AB216" i="1"/>
  <c r="AA216" i="1"/>
  <c r="Z216" i="1"/>
  <c r="Y216" i="1"/>
  <c r="W216" i="1" s="1"/>
  <c r="X216" i="1"/>
  <c r="U216" i="1"/>
  <c r="AC215" i="1"/>
  <c r="AB215" i="1"/>
  <c r="AA215" i="1"/>
  <c r="Z215" i="1"/>
  <c r="Y215" i="1"/>
  <c r="W215" i="1" s="1"/>
  <c r="X215" i="1"/>
  <c r="U215" i="1"/>
  <c r="AC214" i="1"/>
  <c r="AB214" i="1"/>
  <c r="AA214" i="1"/>
  <c r="Z214" i="1"/>
  <c r="Y214" i="1"/>
  <c r="W214" i="1" s="1"/>
  <c r="X214" i="1"/>
  <c r="U214" i="1"/>
  <c r="AC213" i="1"/>
  <c r="AB213" i="1"/>
  <c r="AA213" i="1"/>
  <c r="Z213" i="1"/>
  <c r="Y213" i="1"/>
  <c r="W213" i="1" s="1"/>
  <c r="X213" i="1"/>
  <c r="U213" i="1"/>
  <c r="AC212" i="1"/>
  <c r="AB212" i="1"/>
  <c r="AA212" i="1"/>
  <c r="Z212" i="1"/>
  <c r="Y212" i="1"/>
  <c r="W212" i="1" s="1"/>
  <c r="X212" i="1"/>
  <c r="U212" i="1"/>
  <c r="AC211" i="1"/>
  <c r="AB211" i="1"/>
  <c r="AA211" i="1"/>
  <c r="Z211" i="1"/>
  <c r="Y211" i="1"/>
  <c r="W211" i="1" s="1"/>
  <c r="X211" i="1"/>
  <c r="U211" i="1"/>
  <c r="AC210" i="1"/>
  <c r="AB210" i="1"/>
  <c r="AA210" i="1"/>
  <c r="Z210" i="1"/>
  <c r="Y210" i="1"/>
  <c r="W210" i="1" s="1"/>
  <c r="X210" i="1"/>
  <c r="U210" i="1"/>
  <c r="AC209" i="1"/>
  <c r="AB209" i="1"/>
  <c r="AA209" i="1"/>
  <c r="Z209" i="1"/>
  <c r="Y209" i="1"/>
  <c r="W209" i="1" s="1"/>
  <c r="X209" i="1"/>
  <c r="U209" i="1"/>
  <c r="AC208" i="1"/>
  <c r="AB208" i="1"/>
  <c r="AA208" i="1"/>
  <c r="Z208" i="1"/>
  <c r="Y208" i="1"/>
  <c r="W208" i="1" s="1"/>
  <c r="X208" i="1"/>
  <c r="U208" i="1"/>
  <c r="AC207" i="1"/>
  <c r="AB207" i="1"/>
  <c r="AA207" i="1"/>
  <c r="Z207" i="1"/>
  <c r="Y207" i="1"/>
  <c r="W207" i="1" s="1"/>
  <c r="X207" i="1"/>
  <c r="U207" i="1"/>
  <c r="AC206" i="1"/>
  <c r="AB206" i="1"/>
  <c r="AA206" i="1"/>
  <c r="Z206" i="1"/>
  <c r="Y206" i="1"/>
  <c r="W206" i="1" s="1"/>
  <c r="X206" i="1"/>
  <c r="U206" i="1"/>
  <c r="AC205" i="1"/>
  <c r="AB205" i="1"/>
  <c r="AA205" i="1"/>
  <c r="Z205" i="1"/>
  <c r="Y205" i="1"/>
  <c r="W205" i="1" s="1"/>
  <c r="X205" i="1"/>
  <c r="U205" i="1"/>
  <c r="AC204" i="1"/>
  <c r="AB204" i="1"/>
  <c r="AA204" i="1"/>
  <c r="Z204" i="1"/>
  <c r="Y204" i="1"/>
  <c r="W204" i="1" s="1"/>
  <c r="X204" i="1"/>
  <c r="U204" i="1"/>
  <c r="AC203" i="1"/>
  <c r="AB203" i="1"/>
  <c r="AA203" i="1"/>
  <c r="Z203" i="1"/>
  <c r="Y203" i="1"/>
  <c r="W203" i="1" s="1"/>
  <c r="X203" i="1"/>
  <c r="U203" i="1"/>
  <c r="AC202" i="1"/>
  <c r="AB202" i="1"/>
  <c r="AA202" i="1"/>
  <c r="Z202" i="1"/>
  <c r="Y202" i="1"/>
  <c r="W202" i="1" s="1"/>
  <c r="X202" i="1"/>
  <c r="U202" i="1"/>
  <c r="AC201" i="1"/>
  <c r="AB201" i="1"/>
  <c r="AA201" i="1"/>
  <c r="Z201" i="1"/>
  <c r="Y201" i="1"/>
  <c r="W201" i="1" s="1"/>
  <c r="X201" i="1"/>
  <c r="U201" i="1"/>
  <c r="AC200" i="1"/>
  <c r="AB200" i="1"/>
  <c r="AA200" i="1"/>
  <c r="Z200" i="1"/>
  <c r="Y200" i="1"/>
  <c r="W200" i="1" s="1"/>
  <c r="X200" i="1"/>
  <c r="U200" i="1"/>
  <c r="AC199" i="1"/>
  <c r="AB199" i="1"/>
  <c r="AA199" i="1"/>
  <c r="Z199" i="1"/>
  <c r="Y199" i="1"/>
  <c r="W199" i="1" s="1"/>
  <c r="X199" i="1"/>
  <c r="U199" i="1"/>
  <c r="AC198" i="1"/>
  <c r="AB198" i="1"/>
  <c r="AA198" i="1"/>
  <c r="Z198" i="1"/>
  <c r="Y198" i="1"/>
  <c r="W198" i="1" s="1"/>
  <c r="X198" i="1"/>
  <c r="U198" i="1"/>
  <c r="AC197" i="1"/>
  <c r="AB197" i="1"/>
  <c r="AA197" i="1"/>
  <c r="Z197" i="1"/>
  <c r="Y197" i="1"/>
  <c r="W197" i="1" s="1"/>
  <c r="X197" i="1"/>
  <c r="U197" i="1"/>
  <c r="AC196" i="1"/>
  <c r="AB196" i="1"/>
  <c r="AA196" i="1"/>
  <c r="Z196" i="1"/>
  <c r="Y196" i="1"/>
  <c r="W196" i="1" s="1"/>
  <c r="X196" i="1"/>
  <c r="U196" i="1"/>
  <c r="AC195" i="1"/>
  <c r="AB195" i="1"/>
  <c r="AA195" i="1"/>
  <c r="Z195" i="1"/>
  <c r="Y195" i="1"/>
  <c r="W195" i="1" s="1"/>
  <c r="X195" i="1"/>
  <c r="U195" i="1"/>
  <c r="AC194" i="1"/>
  <c r="AB194" i="1"/>
  <c r="AA194" i="1"/>
  <c r="Z194" i="1"/>
  <c r="Y194" i="1"/>
  <c r="W194" i="1" s="1"/>
  <c r="X194" i="1"/>
  <c r="U194" i="1"/>
  <c r="AC193" i="1"/>
  <c r="AB193" i="1"/>
  <c r="AA193" i="1"/>
  <c r="Z193" i="1"/>
  <c r="Y193" i="1"/>
  <c r="W193" i="1" s="1"/>
  <c r="X193" i="1"/>
  <c r="U193" i="1"/>
  <c r="AC192" i="1"/>
  <c r="AB192" i="1"/>
  <c r="AA192" i="1"/>
  <c r="Z192" i="1"/>
  <c r="Y192" i="1"/>
  <c r="W192" i="1" s="1"/>
  <c r="X192" i="1"/>
  <c r="U192" i="1"/>
  <c r="AC191" i="1"/>
  <c r="AB191" i="1"/>
  <c r="AA191" i="1"/>
  <c r="Z191" i="1"/>
  <c r="Y191" i="1"/>
  <c r="W191" i="1" s="1"/>
  <c r="X191" i="1"/>
  <c r="U191" i="1"/>
  <c r="AC190" i="1"/>
  <c r="AB190" i="1"/>
  <c r="AA190" i="1"/>
  <c r="Z190" i="1"/>
  <c r="Y190" i="1"/>
  <c r="W190" i="1" s="1"/>
  <c r="X190" i="1"/>
  <c r="U190" i="1"/>
  <c r="AC189" i="1"/>
  <c r="AB189" i="1"/>
  <c r="AA189" i="1"/>
  <c r="Z189" i="1"/>
  <c r="Y189" i="1"/>
  <c r="W189" i="1" s="1"/>
  <c r="X189" i="1"/>
  <c r="U189" i="1"/>
  <c r="AC188" i="1"/>
  <c r="AB188" i="1"/>
  <c r="AA188" i="1"/>
  <c r="Z188" i="1"/>
  <c r="Y188" i="1"/>
  <c r="W188" i="1" s="1"/>
  <c r="X188" i="1"/>
  <c r="U188" i="1"/>
  <c r="AC187" i="1"/>
  <c r="AB187" i="1"/>
  <c r="AA187" i="1"/>
  <c r="Z187" i="1"/>
  <c r="Y187" i="1"/>
  <c r="W187" i="1" s="1"/>
  <c r="X187" i="1"/>
  <c r="U187" i="1"/>
  <c r="AC186" i="1"/>
  <c r="AB186" i="1"/>
  <c r="AA186" i="1"/>
  <c r="Z186" i="1"/>
  <c r="Y186" i="1"/>
  <c r="W186" i="1" s="1"/>
  <c r="X186" i="1"/>
  <c r="U186" i="1"/>
  <c r="AC185" i="1"/>
  <c r="AB185" i="1"/>
  <c r="AA185" i="1"/>
  <c r="Z185" i="1"/>
  <c r="Y185" i="1"/>
  <c r="W185" i="1" s="1"/>
  <c r="X185" i="1"/>
  <c r="U185" i="1"/>
  <c r="AC184" i="1"/>
  <c r="AB184" i="1"/>
  <c r="AA184" i="1"/>
  <c r="Z184" i="1"/>
  <c r="Y184" i="1"/>
  <c r="W184" i="1" s="1"/>
  <c r="X184" i="1"/>
  <c r="U184" i="1"/>
  <c r="AC183" i="1"/>
  <c r="AB183" i="1"/>
  <c r="AA183" i="1"/>
  <c r="Z183" i="1"/>
  <c r="Y183" i="1"/>
  <c r="W183" i="1" s="1"/>
  <c r="X183" i="1"/>
  <c r="U183" i="1"/>
  <c r="AC182" i="1"/>
  <c r="AB182" i="1"/>
  <c r="AA182" i="1"/>
  <c r="Z182" i="1"/>
  <c r="Y182" i="1"/>
  <c r="W182" i="1" s="1"/>
  <c r="X182" i="1"/>
  <c r="U182" i="1"/>
  <c r="AC181" i="1"/>
  <c r="AB181" i="1"/>
  <c r="AA181" i="1"/>
  <c r="Z181" i="1"/>
  <c r="Y181" i="1"/>
  <c r="W181" i="1" s="1"/>
  <c r="X181" i="1"/>
  <c r="U181" i="1"/>
  <c r="AC180" i="1"/>
  <c r="AB180" i="1"/>
  <c r="AA180" i="1"/>
  <c r="Z180" i="1"/>
  <c r="Y180" i="1"/>
  <c r="W180" i="1" s="1"/>
  <c r="X180" i="1"/>
  <c r="U180" i="1"/>
  <c r="AC179" i="1"/>
  <c r="AB179" i="1"/>
  <c r="AA179" i="1"/>
  <c r="Z179" i="1"/>
  <c r="Y179" i="1"/>
  <c r="W179" i="1" s="1"/>
  <c r="X179" i="1"/>
  <c r="U179" i="1"/>
  <c r="AC178" i="1"/>
  <c r="AB178" i="1"/>
  <c r="AA178" i="1"/>
  <c r="Z178" i="1"/>
  <c r="Y178" i="1"/>
  <c r="W178" i="1" s="1"/>
  <c r="X178" i="1"/>
  <c r="U178" i="1"/>
  <c r="AC177" i="1"/>
  <c r="AB177" i="1"/>
  <c r="AA177" i="1"/>
  <c r="Z177" i="1"/>
  <c r="Y177" i="1"/>
  <c r="W177" i="1" s="1"/>
  <c r="X177" i="1"/>
  <c r="U177" i="1"/>
  <c r="AC176" i="1"/>
  <c r="AB176" i="1"/>
  <c r="AA176" i="1"/>
  <c r="Z176" i="1"/>
  <c r="Y176" i="1"/>
  <c r="W176" i="1" s="1"/>
  <c r="X176" i="1"/>
  <c r="U176" i="1"/>
  <c r="AC175" i="1"/>
  <c r="AB175" i="1"/>
  <c r="AA175" i="1"/>
  <c r="Z175" i="1"/>
  <c r="Y175" i="1"/>
  <c r="W175" i="1" s="1"/>
  <c r="X175" i="1"/>
  <c r="U175" i="1"/>
  <c r="AC174" i="1"/>
  <c r="AB174" i="1"/>
  <c r="AA174" i="1"/>
  <c r="Z174" i="1"/>
  <c r="Y174" i="1"/>
  <c r="W174" i="1" s="1"/>
  <c r="X174" i="1"/>
  <c r="U174" i="1"/>
  <c r="AC173" i="1"/>
  <c r="AB173" i="1"/>
  <c r="AA173" i="1"/>
  <c r="Z173" i="1"/>
  <c r="Y173" i="1"/>
  <c r="W173" i="1" s="1"/>
  <c r="X173" i="1"/>
  <c r="U173" i="1"/>
  <c r="AC172" i="1"/>
  <c r="AB172" i="1"/>
  <c r="AA172" i="1"/>
  <c r="Z172" i="1"/>
  <c r="Y172" i="1"/>
  <c r="W172" i="1" s="1"/>
  <c r="X172" i="1"/>
  <c r="U172" i="1"/>
  <c r="AC171" i="1"/>
  <c r="AB171" i="1"/>
  <c r="AA171" i="1"/>
  <c r="Z171" i="1"/>
  <c r="Y171" i="1"/>
  <c r="W171" i="1" s="1"/>
  <c r="X171" i="1"/>
  <c r="U171" i="1"/>
  <c r="AC170" i="1"/>
  <c r="AB170" i="1"/>
  <c r="AA170" i="1"/>
  <c r="Z170" i="1"/>
  <c r="Y170" i="1"/>
  <c r="W170" i="1" s="1"/>
  <c r="X170" i="1"/>
  <c r="U170" i="1"/>
  <c r="AC169" i="1"/>
  <c r="AB169" i="1"/>
  <c r="AA169" i="1"/>
  <c r="Z169" i="1"/>
  <c r="Y169" i="1"/>
  <c r="W169" i="1" s="1"/>
  <c r="X169" i="1"/>
  <c r="U169" i="1"/>
  <c r="AC168" i="1"/>
  <c r="AB168" i="1"/>
  <c r="AA168" i="1"/>
  <c r="Z168" i="1"/>
  <c r="Y168" i="1"/>
  <c r="W168" i="1" s="1"/>
  <c r="X168" i="1"/>
  <c r="U168" i="1"/>
  <c r="AC167" i="1"/>
  <c r="AB167" i="1"/>
  <c r="AA167" i="1"/>
  <c r="Z167" i="1"/>
  <c r="Y167" i="1"/>
  <c r="W167" i="1" s="1"/>
  <c r="X167" i="1"/>
  <c r="U167" i="1"/>
  <c r="AC166" i="1"/>
  <c r="AB166" i="1"/>
  <c r="AA166" i="1"/>
  <c r="Z166" i="1"/>
  <c r="Y166" i="1"/>
  <c r="W166" i="1" s="1"/>
  <c r="X166" i="1"/>
  <c r="U166" i="1"/>
  <c r="AC165" i="1"/>
  <c r="AB165" i="1"/>
  <c r="AA165" i="1"/>
  <c r="Z165" i="1"/>
  <c r="Y165" i="1"/>
  <c r="W165" i="1" s="1"/>
  <c r="X165" i="1"/>
  <c r="U165" i="1"/>
  <c r="AC164" i="1"/>
  <c r="AB164" i="1"/>
  <c r="AA164" i="1"/>
  <c r="Z164" i="1"/>
  <c r="Y164" i="1"/>
  <c r="W164" i="1" s="1"/>
  <c r="X164" i="1"/>
  <c r="U164" i="1"/>
  <c r="AC163" i="1"/>
  <c r="AB163" i="1"/>
  <c r="AA163" i="1"/>
  <c r="Z163" i="1"/>
  <c r="Y163" i="1"/>
  <c r="W163" i="1" s="1"/>
  <c r="X163" i="1"/>
  <c r="U163" i="1"/>
  <c r="AC162" i="1"/>
  <c r="AB162" i="1"/>
  <c r="AA162" i="1"/>
  <c r="Z162" i="1"/>
  <c r="Y162" i="1"/>
  <c r="W162" i="1" s="1"/>
  <c r="X162" i="1"/>
  <c r="U162" i="1"/>
  <c r="AC161" i="1"/>
  <c r="AB161" i="1"/>
  <c r="AA161" i="1"/>
  <c r="Z161" i="1"/>
  <c r="Y161" i="1"/>
  <c r="W161" i="1" s="1"/>
  <c r="X161" i="1"/>
  <c r="U161" i="1"/>
  <c r="AC160" i="1"/>
  <c r="AB160" i="1"/>
  <c r="AA160" i="1"/>
  <c r="Z160" i="1"/>
  <c r="Y160" i="1"/>
  <c r="W160" i="1" s="1"/>
  <c r="X160" i="1"/>
  <c r="U160" i="1"/>
  <c r="AC159" i="1"/>
  <c r="AB159" i="1"/>
  <c r="AA159" i="1"/>
  <c r="Z159" i="1"/>
  <c r="Y159" i="1"/>
  <c r="W159" i="1" s="1"/>
  <c r="X159" i="1"/>
  <c r="U159" i="1"/>
  <c r="AC158" i="1"/>
  <c r="AB158" i="1"/>
  <c r="AA158" i="1"/>
  <c r="Z158" i="1"/>
  <c r="Y158" i="1"/>
  <c r="W158" i="1" s="1"/>
  <c r="X158" i="1"/>
  <c r="U158" i="1"/>
  <c r="AC157" i="1"/>
  <c r="AB157" i="1"/>
  <c r="AA157" i="1"/>
  <c r="Z157" i="1"/>
  <c r="Y157" i="1"/>
  <c r="W157" i="1" s="1"/>
  <c r="X157" i="1"/>
  <c r="U157" i="1"/>
  <c r="AC156" i="1"/>
  <c r="AB156" i="1"/>
  <c r="AA156" i="1"/>
  <c r="Z156" i="1"/>
  <c r="Y156" i="1"/>
  <c r="W156" i="1" s="1"/>
  <c r="X156" i="1"/>
  <c r="U156" i="1"/>
  <c r="AC155" i="1"/>
  <c r="AB155" i="1"/>
  <c r="AA155" i="1"/>
  <c r="Z155" i="1"/>
  <c r="Y155" i="1"/>
  <c r="W155" i="1" s="1"/>
  <c r="X155" i="1"/>
  <c r="U155" i="1"/>
  <c r="AC154" i="1"/>
  <c r="AB154" i="1"/>
  <c r="AA154" i="1"/>
  <c r="Z154" i="1"/>
  <c r="Y154" i="1"/>
  <c r="W154" i="1" s="1"/>
  <c r="X154" i="1"/>
  <c r="U154" i="1"/>
  <c r="AC153" i="1"/>
  <c r="AB153" i="1"/>
  <c r="AA153" i="1"/>
  <c r="Z153" i="1"/>
  <c r="Y153" i="1"/>
  <c r="W153" i="1" s="1"/>
  <c r="X153" i="1"/>
  <c r="U153" i="1"/>
  <c r="AC152" i="1"/>
  <c r="AB152" i="1"/>
  <c r="AA152" i="1"/>
  <c r="Z152" i="1"/>
  <c r="Y152" i="1"/>
  <c r="W152" i="1" s="1"/>
  <c r="X152" i="1"/>
  <c r="U152" i="1"/>
  <c r="AC151" i="1"/>
  <c r="AB151" i="1"/>
  <c r="AA151" i="1"/>
  <c r="Z151" i="1"/>
  <c r="Y151" i="1"/>
  <c r="W151" i="1" s="1"/>
  <c r="X151" i="1"/>
  <c r="U151" i="1"/>
  <c r="AC150" i="1"/>
  <c r="AB150" i="1"/>
  <c r="AA150" i="1"/>
  <c r="Z150" i="1"/>
  <c r="Y150" i="1"/>
  <c r="W150" i="1" s="1"/>
  <c r="X150" i="1"/>
  <c r="U150" i="1"/>
  <c r="AC149" i="1"/>
  <c r="AB149" i="1"/>
  <c r="AA149" i="1"/>
  <c r="Z149" i="1"/>
  <c r="Y149" i="1"/>
  <c r="W149" i="1" s="1"/>
  <c r="X149" i="1"/>
  <c r="U149" i="1"/>
  <c r="AC148" i="1"/>
  <c r="AB148" i="1"/>
  <c r="AA148" i="1"/>
  <c r="Z148" i="1"/>
  <c r="Y148" i="1"/>
  <c r="W148" i="1" s="1"/>
  <c r="X148" i="1"/>
  <c r="U148" i="1"/>
  <c r="AC147" i="1"/>
  <c r="AB147" i="1"/>
  <c r="AA147" i="1"/>
  <c r="Z147" i="1"/>
  <c r="Y147" i="1"/>
  <c r="W147" i="1" s="1"/>
  <c r="X147" i="1"/>
  <c r="U147" i="1"/>
  <c r="AC146" i="1"/>
  <c r="AB146" i="1"/>
  <c r="AA146" i="1"/>
  <c r="Z146" i="1"/>
  <c r="Y146" i="1"/>
  <c r="W146" i="1" s="1"/>
  <c r="X146" i="1"/>
  <c r="U146" i="1"/>
  <c r="AC145" i="1"/>
  <c r="AB145" i="1"/>
  <c r="AA145" i="1"/>
  <c r="Z145" i="1"/>
  <c r="Y145" i="1"/>
  <c r="W145" i="1" s="1"/>
  <c r="X145" i="1"/>
  <c r="U145" i="1"/>
  <c r="AC144" i="1"/>
  <c r="AB144" i="1"/>
  <c r="AA144" i="1"/>
  <c r="Z144" i="1"/>
  <c r="Y144" i="1"/>
  <c r="W144" i="1" s="1"/>
  <c r="X144" i="1"/>
  <c r="U144" i="1"/>
  <c r="AC143" i="1"/>
  <c r="AB143" i="1"/>
  <c r="AA143" i="1"/>
  <c r="Z143" i="1"/>
  <c r="Y143" i="1"/>
  <c r="W143" i="1" s="1"/>
  <c r="X143" i="1"/>
  <c r="U143" i="1"/>
  <c r="AC142" i="1"/>
  <c r="AB142" i="1"/>
  <c r="AA142" i="1"/>
  <c r="Z142" i="1"/>
  <c r="Y142" i="1"/>
  <c r="W142" i="1" s="1"/>
  <c r="X142" i="1"/>
  <c r="U142" i="1"/>
  <c r="AC141" i="1"/>
  <c r="AB141" i="1"/>
  <c r="AA141" i="1"/>
  <c r="Z141" i="1"/>
  <c r="Y141" i="1"/>
  <c r="W141" i="1" s="1"/>
  <c r="X141" i="1"/>
  <c r="U141" i="1"/>
  <c r="AC140" i="1"/>
  <c r="AB140" i="1"/>
  <c r="AA140" i="1"/>
  <c r="Z140" i="1"/>
  <c r="Y140" i="1"/>
  <c r="W140" i="1" s="1"/>
  <c r="X140" i="1"/>
  <c r="U140" i="1"/>
  <c r="AC139" i="1"/>
  <c r="AB139" i="1"/>
  <c r="AA139" i="1"/>
  <c r="Z139" i="1"/>
  <c r="Y139" i="1"/>
  <c r="W139" i="1" s="1"/>
  <c r="X139" i="1"/>
  <c r="U139" i="1"/>
  <c r="AC138" i="1"/>
  <c r="AB138" i="1"/>
  <c r="AA138" i="1"/>
  <c r="Z138" i="1"/>
  <c r="Y138" i="1"/>
  <c r="W138" i="1" s="1"/>
  <c r="X138" i="1"/>
  <c r="U138" i="1"/>
  <c r="AC137" i="1"/>
  <c r="AB137" i="1"/>
  <c r="AA137" i="1"/>
  <c r="Z137" i="1"/>
  <c r="Y137" i="1"/>
  <c r="W137" i="1" s="1"/>
  <c r="X137" i="1"/>
  <c r="U137" i="1"/>
  <c r="AC136" i="1"/>
  <c r="AB136" i="1"/>
  <c r="AA136" i="1"/>
  <c r="Z136" i="1"/>
  <c r="Y136" i="1"/>
  <c r="W136" i="1" s="1"/>
  <c r="X136" i="1"/>
  <c r="U136" i="1"/>
  <c r="AC135" i="1"/>
  <c r="AB135" i="1"/>
  <c r="AA135" i="1"/>
  <c r="Z135" i="1"/>
  <c r="Y135" i="1"/>
  <c r="W135" i="1" s="1"/>
  <c r="X135" i="1"/>
  <c r="U135" i="1"/>
  <c r="AC134" i="1"/>
  <c r="AB134" i="1"/>
  <c r="AA134" i="1"/>
  <c r="Z134" i="1"/>
  <c r="Y134" i="1"/>
  <c r="W134" i="1" s="1"/>
  <c r="X134" i="1"/>
  <c r="U134" i="1"/>
  <c r="AC133" i="1"/>
  <c r="AB133" i="1"/>
  <c r="AA133" i="1"/>
  <c r="Z133" i="1"/>
  <c r="Y133" i="1"/>
  <c r="W133" i="1" s="1"/>
  <c r="X133" i="1"/>
  <c r="U133" i="1"/>
  <c r="AC132" i="1"/>
  <c r="AB132" i="1"/>
  <c r="AA132" i="1"/>
  <c r="Z132" i="1"/>
  <c r="Y132" i="1"/>
  <c r="W132" i="1" s="1"/>
  <c r="X132" i="1"/>
  <c r="U132" i="1"/>
  <c r="AC131" i="1"/>
  <c r="AB131" i="1"/>
  <c r="AA131" i="1"/>
  <c r="Z131" i="1"/>
  <c r="Y131" i="1"/>
  <c r="W131" i="1" s="1"/>
  <c r="X131" i="1"/>
  <c r="U131" i="1"/>
  <c r="AC130" i="1"/>
  <c r="AB130" i="1"/>
  <c r="AA130" i="1"/>
  <c r="Z130" i="1"/>
  <c r="Y130" i="1"/>
  <c r="W130" i="1" s="1"/>
  <c r="X130" i="1"/>
  <c r="U130" i="1"/>
  <c r="AC129" i="1"/>
  <c r="AB129" i="1"/>
  <c r="AA129" i="1"/>
  <c r="Z129" i="1"/>
  <c r="Y129" i="1"/>
  <c r="W129" i="1" s="1"/>
  <c r="X129" i="1"/>
  <c r="U129" i="1"/>
  <c r="AC128" i="1"/>
  <c r="AB128" i="1"/>
  <c r="AA128" i="1"/>
  <c r="Z128" i="1"/>
  <c r="Y128" i="1"/>
  <c r="W128" i="1" s="1"/>
  <c r="X128" i="1"/>
  <c r="U128" i="1"/>
  <c r="AC127" i="1"/>
  <c r="AB127" i="1"/>
  <c r="AA127" i="1"/>
  <c r="Z127" i="1"/>
  <c r="Y127" i="1"/>
  <c r="W127" i="1" s="1"/>
  <c r="X127" i="1"/>
  <c r="U127" i="1"/>
  <c r="AC126" i="1"/>
  <c r="AB126" i="1"/>
  <c r="AA126" i="1"/>
  <c r="Z126" i="1"/>
  <c r="Y126" i="1"/>
  <c r="W126" i="1" s="1"/>
  <c r="X126" i="1"/>
  <c r="U126" i="1"/>
  <c r="AC125" i="1"/>
  <c r="AB125" i="1"/>
  <c r="AA125" i="1"/>
  <c r="Z125" i="1"/>
  <c r="Y125" i="1"/>
  <c r="W125" i="1" s="1"/>
  <c r="X125" i="1"/>
  <c r="U125" i="1"/>
  <c r="AC124" i="1"/>
  <c r="AB124" i="1"/>
  <c r="AA124" i="1"/>
  <c r="Z124" i="1"/>
  <c r="Y124" i="1"/>
  <c r="W124" i="1" s="1"/>
  <c r="X124" i="1"/>
  <c r="U124" i="1"/>
  <c r="AC123" i="1"/>
  <c r="AB123" i="1"/>
  <c r="AA123" i="1"/>
  <c r="Z123" i="1"/>
  <c r="Y123" i="1"/>
  <c r="W123" i="1" s="1"/>
  <c r="X123" i="1"/>
  <c r="U123" i="1"/>
  <c r="AC122" i="1"/>
  <c r="AB122" i="1"/>
  <c r="AA122" i="1"/>
  <c r="Z122" i="1"/>
  <c r="Y122" i="1"/>
  <c r="W122" i="1" s="1"/>
  <c r="X122" i="1"/>
  <c r="U122" i="1"/>
  <c r="AC121" i="1"/>
  <c r="AB121" i="1"/>
  <c r="AA121" i="1"/>
  <c r="Z121" i="1"/>
  <c r="Y121" i="1"/>
  <c r="W121" i="1" s="1"/>
  <c r="X121" i="1"/>
  <c r="U121" i="1"/>
  <c r="AC120" i="1"/>
  <c r="AB120" i="1"/>
  <c r="AA120" i="1"/>
  <c r="Z120" i="1"/>
  <c r="Y120" i="1"/>
  <c r="W120" i="1" s="1"/>
  <c r="X120" i="1"/>
  <c r="U120" i="1"/>
  <c r="AC119" i="1"/>
  <c r="AB119" i="1"/>
  <c r="AA119" i="1"/>
  <c r="Z119" i="1"/>
  <c r="Y119" i="1"/>
  <c r="W119" i="1" s="1"/>
  <c r="X119" i="1"/>
  <c r="U119" i="1"/>
  <c r="AC118" i="1"/>
  <c r="AB118" i="1"/>
  <c r="AA118" i="1"/>
  <c r="Z118" i="1"/>
  <c r="Y118" i="1"/>
  <c r="W118" i="1" s="1"/>
  <c r="X118" i="1"/>
  <c r="U118" i="1"/>
  <c r="AC117" i="1"/>
  <c r="AB117" i="1"/>
  <c r="AA117" i="1"/>
  <c r="Z117" i="1"/>
  <c r="Y117" i="1"/>
  <c r="W117" i="1" s="1"/>
  <c r="X117" i="1"/>
  <c r="U117" i="1"/>
  <c r="AC116" i="1"/>
  <c r="AB116" i="1"/>
  <c r="AA116" i="1"/>
  <c r="Z116" i="1"/>
  <c r="Y116" i="1"/>
  <c r="W116" i="1" s="1"/>
  <c r="X116" i="1"/>
  <c r="U116" i="1"/>
  <c r="AC115" i="1"/>
  <c r="AB115" i="1"/>
  <c r="AA115" i="1"/>
  <c r="Z115" i="1"/>
  <c r="Y115" i="1"/>
  <c r="W115" i="1" s="1"/>
  <c r="X115" i="1"/>
  <c r="U115" i="1"/>
  <c r="AC114" i="1"/>
  <c r="AB114" i="1"/>
  <c r="AA114" i="1"/>
  <c r="Z114" i="1"/>
  <c r="Y114" i="1"/>
  <c r="W114" i="1" s="1"/>
  <c r="X114" i="1"/>
  <c r="U114" i="1"/>
  <c r="AC113" i="1"/>
  <c r="AB113" i="1"/>
  <c r="AA113" i="1"/>
  <c r="Z113" i="1"/>
  <c r="Y113" i="1"/>
  <c r="W113" i="1" s="1"/>
  <c r="X113" i="1"/>
  <c r="U113" i="1"/>
  <c r="AC112" i="1"/>
  <c r="AB112" i="1"/>
  <c r="AA112" i="1"/>
  <c r="Z112" i="1"/>
  <c r="Y112" i="1"/>
  <c r="W112" i="1" s="1"/>
  <c r="X112" i="1"/>
  <c r="U112" i="1"/>
  <c r="AC111" i="1"/>
  <c r="AB111" i="1"/>
  <c r="AA111" i="1"/>
  <c r="Z111" i="1"/>
  <c r="Y111" i="1"/>
  <c r="W111" i="1" s="1"/>
  <c r="X111" i="1"/>
  <c r="U111" i="1"/>
  <c r="AC110" i="1"/>
  <c r="AB110" i="1"/>
  <c r="AA110" i="1"/>
  <c r="Z110" i="1"/>
  <c r="Y110" i="1"/>
  <c r="W110" i="1" s="1"/>
  <c r="X110" i="1"/>
  <c r="U110" i="1"/>
  <c r="AC109" i="1"/>
  <c r="AB109" i="1"/>
  <c r="AA109" i="1"/>
  <c r="Z109" i="1"/>
  <c r="Y109" i="1"/>
  <c r="W109" i="1" s="1"/>
  <c r="X109" i="1"/>
  <c r="U109" i="1"/>
  <c r="AC108" i="1"/>
  <c r="AB108" i="1"/>
  <c r="AA108" i="1"/>
  <c r="Z108" i="1"/>
  <c r="Y108" i="1"/>
  <c r="W108" i="1" s="1"/>
  <c r="X108" i="1"/>
  <c r="U108" i="1"/>
  <c r="AC107" i="1"/>
  <c r="AB107" i="1"/>
  <c r="AA107" i="1"/>
  <c r="Z107" i="1"/>
  <c r="Y107" i="1"/>
  <c r="W107" i="1" s="1"/>
  <c r="X107" i="1"/>
  <c r="U107" i="1"/>
  <c r="AC106" i="1"/>
  <c r="AB106" i="1"/>
  <c r="AA106" i="1"/>
  <c r="Z106" i="1"/>
  <c r="Y106" i="1"/>
  <c r="W106" i="1" s="1"/>
  <c r="X106" i="1"/>
  <c r="U106" i="1"/>
  <c r="AC105" i="1"/>
  <c r="AB105" i="1"/>
  <c r="AA105" i="1"/>
  <c r="Z105" i="1"/>
  <c r="Y105" i="1"/>
  <c r="W105" i="1" s="1"/>
  <c r="X105" i="1"/>
  <c r="U105" i="1"/>
  <c r="AC104" i="1"/>
  <c r="AB104" i="1"/>
  <c r="AA104" i="1"/>
  <c r="Z104" i="1"/>
  <c r="Y104" i="1"/>
  <c r="W104" i="1" s="1"/>
  <c r="X104" i="1"/>
  <c r="U104" i="1"/>
  <c r="AC103" i="1"/>
  <c r="AB103" i="1"/>
  <c r="AA103" i="1"/>
  <c r="Z103" i="1"/>
  <c r="Y103" i="1"/>
  <c r="W103" i="1" s="1"/>
  <c r="X103" i="1"/>
  <c r="U103" i="1"/>
  <c r="AC102" i="1"/>
  <c r="AB102" i="1"/>
  <c r="AA102" i="1"/>
  <c r="Z102" i="1"/>
  <c r="Y102" i="1"/>
  <c r="W102" i="1" s="1"/>
  <c r="X102" i="1"/>
  <c r="U102" i="1"/>
  <c r="AC101" i="1"/>
  <c r="AB101" i="1"/>
  <c r="AA101" i="1"/>
  <c r="Z101" i="1"/>
  <c r="Y101" i="1"/>
  <c r="W101" i="1" s="1"/>
  <c r="X101" i="1"/>
  <c r="U101" i="1"/>
  <c r="AC100" i="1"/>
  <c r="AB100" i="1"/>
  <c r="AA100" i="1"/>
  <c r="Z100" i="1"/>
  <c r="Y100" i="1"/>
  <c r="W100" i="1" s="1"/>
  <c r="X100" i="1"/>
  <c r="U100" i="1"/>
  <c r="AC99" i="1"/>
  <c r="AB99" i="1"/>
  <c r="AA99" i="1"/>
  <c r="Z99" i="1"/>
  <c r="Y99" i="1"/>
  <c r="W99" i="1" s="1"/>
  <c r="X99" i="1"/>
  <c r="U99" i="1"/>
  <c r="AC98" i="1"/>
  <c r="AB98" i="1"/>
  <c r="AA98" i="1"/>
  <c r="Z98" i="1"/>
  <c r="Y98" i="1"/>
  <c r="W98" i="1" s="1"/>
  <c r="X98" i="1"/>
  <c r="U98" i="1"/>
  <c r="AC97" i="1"/>
  <c r="AB97" i="1"/>
  <c r="AA97" i="1"/>
  <c r="Z97" i="1"/>
  <c r="Y97" i="1"/>
  <c r="W97" i="1" s="1"/>
  <c r="X97" i="1"/>
  <c r="U97" i="1"/>
  <c r="AC96" i="1"/>
  <c r="AB96" i="1"/>
  <c r="AA96" i="1"/>
  <c r="Z96" i="1"/>
  <c r="Y96" i="1"/>
  <c r="W96" i="1" s="1"/>
  <c r="X96" i="1"/>
  <c r="U96" i="1"/>
  <c r="AC95" i="1"/>
  <c r="AB95" i="1"/>
  <c r="AA95" i="1"/>
  <c r="Z95" i="1"/>
  <c r="Y95" i="1"/>
  <c r="W95" i="1" s="1"/>
  <c r="X95" i="1"/>
  <c r="U95" i="1"/>
  <c r="AC94" i="1"/>
  <c r="AB94" i="1"/>
  <c r="AA94" i="1"/>
  <c r="Z94" i="1"/>
  <c r="Y94" i="1"/>
  <c r="W94" i="1" s="1"/>
  <c r="X94" i="1"/>
  <c r="U94" i="1"/>
  <c r="AC93" i="1"/>
  <c r="AB93" i="1"/>
  <c r="AA93" i="1"/>
  <c r="Z93" i="1"/>
  <c r="Y93" i="1"/>
  <c r="W93" i="1" s="1"/>
  <c r="X93" i="1"/>
  <c r="U93" i="1"/>
  <c r="AC92" i="1"/>
  <c r="AB92" i="1"/>
  <c r="AA92" i="1"/>
  <c r="Z92" i="1"/>
  <c r="Y92" i="1"/>
  <c r="W92" i="1" s="1"/>
  <c r="X92" i="1"/>
  <c r="U92" i="1"/>
  <c r="AC91" i="1"/>
  <c r="AB91" i="1"/>
  <c r="AA91" i="1"/>
  <c r="Z91" i="1"/>
  <c r="Y91" i="1"/>
  <c r="W91" i="1" s="1"/>
  <c r="X91" i="1"/>
  <c r="U91" i="1"/>
  <c r="AC90" i="1"/>
  <c r="AB90" i="1"/>
  <c r="AA90" i="1"/>
  <c r="Z90" i="1"/>
  <c r="Y90" i="1"/>
  <c r="W90" i="1" s="1"/>
  <c r="X90" i="1"/>
  <c r="U90" i="1"/>
  <c r="AC89" i="1"/>
  <c r="AB89" i="1"/>
  <c r="AA89" i="1"/>
  <c r="Z89" i="1"/>
  <c r="Y89" i="1"/>
  <c r="W89" i="1" s="1"/>
  <c r="X89" i="1"/>
  <c r="U89" i="1"/>
  <c r="AC88" i="1"/>
  <c r="AB88" i="1"/>
  <c r="AA88" i="1"/>
  <c r="Z88" i="1"/>
  <c r="Y88" i="1"/>
  <c r="W88" i="1" s="1"/>
  <c r="X88" i="1"/>
  <c r="U88" i="1"/>
  <c r="AC87" i="1"/>
  <c r="AB87" i="1"/>
  <c r="AA87" i="1"/>
  <c r="Z87" i="1"/>
  <c r="Y87" i="1"/>
  <c r="W87" i="1" s="1"/>
  <c r="X87" i="1"/>
  <c r="U87" i="1"/>
  <c r="AC86" i="1"/>
  <c r="AB86" i="1"/>
  <c r="AA86" i="1"/>
  <c r="Z86" i="1"/>
  <c r="Y86" i="1"/>
  <c r="W86" i="1" s="1"/>
  <c r="X86" i="1"/>
  <c r="U86" i="1"/>
  <c r="AC85" i="1"/>
  <c r="AB85" i="1"/>
  <c r="AA85" i="1"/>
  <c r="Z85" i="1"/>
  <c r="Y85" i="1"/>
  <c r="W85" i="1" s="1"/>
  <c r="X85" i="1"/>
  <c r="U85" i="1"/>
  <c r="AC84" i="1"/>
  <c r="AB84" i="1"/>
  <c r="AA84" i="1"/>
  <c r="Z84" i="1"/>
  <c r="Y84" i="1"/>
  <c r="W84" i="1" s="1"/>
  <c r="X84" i="1"/>
  <c r="U84" i="1"/>
  <c r="AC83" i="1"/>
  <c r="AB83" i="1"/>
  <c r="AA83" i="1"/>
  <c r="Z83" i="1"/>
  <c r="Y83" i="1"/>
  <c r="W83" i="1" s="1"/>
  <c r="X83" i="1"/>
  <c r="U83" i="1"/>
  <c r="AC82" i="1"/>
  <c r="AB82" i="1"/>
  <c r="AA82" i="1"/>
  <c r="Z82" i="1"/>
  <c r="Y82" i="1"/>
  <c r="W82" i="1" s="1"/>
  <c r="X82" i="1"/>
  <c r="U82" i="1"/>
  <c r="AC81" i="1"/>
  <c r="AB81" i="1"/>
  <c r="AA81" i="1"/>
  <c r="Z81" i="1"/>
  <c r="Y81" i="1"/>
  <c r="W81" i="1" s="1"/>
  <c r="X81" i="1"/>
  <c r="U81" i="1"/>
  <c r="AC80" i="1"/>
  <c r="AB80" i="1"/>
  <c r="AA80" i="1"/>
  <c r="Z80" i="1"/>
  <c r="Y80" i="1"/>
  <c r="W80" i="1" s="1"/>
  <c r="X80" i="1"/>
  <c r="U80" i="1"/>
  <c r="AC79" i="1"/>
  <c r="AB79" i="1"/>
  <c r="AA79" i="1"/>
  <c r="Z79" i="1"/>
  <c r="Y79" i="1"/>
  <c r="W79" i="1" s="1"/>
  <c r="X79" i="1"/>
  <c r="U79" i="1"/>
  <c r="AC78" i="1"/>
  <c r="AB78" i="1"/>
  <c r="AA78" i="1"/>
  <c r="Z78" i="1"/>
  <c r="Y78" i="1"/>
  <c r="W78" i="1" s="1"/>
  <c r="X78" i="1"/>
  <c r="U78" i="1"/>
  <c r="AC77" i="1"/>
  <c r="AB77" i="1"/>
  <c r="AA77" i="1"/>
  <c r="Z77" i="1"/>
  <c r="Y77" i="1"/>
  <c r="W77" i="1" s="1"/>
  <c r="X77" i="1"/>
  <c r="U77" i="1"/>
  <c r="AC76" i="1"/>
  <c r="AB76" i="1"/>
  <c r="AA76" i="1"/>
  <c r="Z76" i="1"/>
  <c r="Y76" i="1"/>
  <c r="W76" i="1" s="1"/>
  <c r="X76" i="1"/>
  <c r="U76" i="1"/>
  <c r="AC75" i="1"/>
  <c r="AB75" i="1"/>
  <c r="AA75" i="1"/>
  <c r="Z75" i="1"/>
  <c r="Y75" i="1"/>
  <c r="W75" i="1" s="1"/>
  <c r="X75" i="1"/>
  <c r="U75" i="1"/>
  <c r="AC74" i="1"/>
  <c r="AB74" i="1"/>
  <c r="AA74" i="1"/>
  <c r="Z74" i="1"/>
  <c r="Y74" i="1"/>
  <c r="W74" i="1" s="1"/>
  <c r="X74" i="1"/>
  <c r="U74" i="1"/>
  <c r="AC73" i="1"/>
  <c r="AB73" i="1"/>
  <c r="AA73" i="1"/>
  <c r="Z73" i="1"/>
  <c r="Y73" i="1"/>
  <c r="W73" i="1" s="1"/>
  <c r="X73" i="1"/>
  <c r="U73" i="1"/>
  <c r="AC72" i="1"/>
  <c r="AB72" i="1"/>
  <c r="AA72" i="1"/>
  <c r="Z72" i="1"/>
  <c r="Y72" i="1"/>
  <c r="W72" i="1" s="1"/>
  <c r="X72" i="1"/>
  <c r="U72" i="1"/>
  <c r="AC71" i="1"/>
  <c r="AB71" i="1"/>
  <c r="AA71" i="1"/>
  <c r="Z71" i="1"/>
  <c r="Y71" i="1"/>
  <c r="W71" i="1" s="1"/>
  <c r="X71" i="1"/>
  <c r="U71" i="1"/>
  <c r="AC70" i="1"/>
  <c r="AB70" i="1"/>
  <c r="AA70" i="1"/>
  <c r="Z70" i="1"/>
  <c r="Y70" i="1"/>
  <c r="W70" i="1" s="1"/>
  <c r="X70" i="1"/>
  <c r="U70" i="1"/>
  <c r="AC69" i="1"/>
  <c r="AB69" i="1"/>
  <c r="AA69" i="1"/>
  <c r="Z69" i="1"/>
  <c r="Y69" i="1"/>
  <c r="W69" i="1" s="1"/>
  <c r="X69" i="1"/>
  <c r="U69" i="1"/>
  <c r="AC68" i="1"/>
  <c r="AB68" i="1"/>
  <c r="AA68" i="1"/>
  <c r="Z68" i="1"/>
  <c r="Y68" i="1"/>
  <c r="W68" i="1" s="1"/>
  <c r="X68" i="1"/>
  <c r="U68" i="1"/>
  <c r="AC67" i="1"/>
  <c r="AB67" i="1"/>
  <c r="AA67" i="1"/>
  <c r="Z67" i="1"/>
  <c r="Y67" i="1"/>
  <c r="W67" i="1" s="1"/>
  <c r="X67" i="1"/>
  <c r="U67" i="1"/>
  <c r="AC66" i="1"/>
  <c r="AB66" i="1"/>
  <c r="AA66" i="1"/>
  <c r="Z66" i="1"/>
  <c r="Y66" i="1"/>
  <c r="W66" i="1" s="1"/>
  <c r="X66" i="1"/>
  <c r="U66" i="1"/>
  <c r="AC65" i="1"/>
  <c r="AB65" i="1"/>
  <c r="AA65" i="1"/>
  <c r="Z65" i="1"/>
  <c r="Y65" i="1"/>
  <c r="W65" i="1" s="1"/>
  <c r="X65" i="1"/>
  <c r="U65" i="1"/>
  <c r="AC64" i="1"/>
  <c r="AB64" i="1"/>
  <c r="AA64" i="1"/>
  <c r="Z64" i="1"/>
  <c r="Y64" i="1"/>
  <c r="W64" i="1" s="1"/>
  <c r="X64" i="1"/>
  <c r="U64" i="1"/>
  <c r="AC63" i="1"/>
  <c r="AB63" i="1"/>
  <c r="AA63" i="1"/>
  <c r="Z63" i="1"/>
  <c r="Y63" i="1"/>
  <c r="W63" i="1" s="1"/>
  <c r="X63" i="1"/>
  <c r="U63" i="1"/>
  <c r="AC62" i="1"/>
  <c r="AB62" i="1"/>
  <c r="AA62" i="1"/>
  <c r="Z62" i="1"/>
  <c r="Y62" i="1"/>
  <c r="W62" i="1" s="1"/>
  <c r="X62" i="1"/>
  <c r="U62" i="1"/>
  <c r="AC61" i="1"/>
  <c r="AB61" i="1"/>
  <c r="AA61" i="1"/>
  <c r="Z61" i="1"/>
  <c r="Y61" i="1"/>
  <c r="W61" i="1" s="1"/>
  <c r="X61" i="1"/>
  <c r="U61" i="1"/>
  <c r="AC60" i="1"/>
  <c r="AB60" i="1"/>
  <c r="AA60" i="1"/>
  <c r="Z60" i="1"/>
  <c r="Y60" i="1"/>
  <c r="W60" i="1" s="1"/>
  <c r="X60" i="1"/>
  <c r="U60" i="1"/>
  <c r="AC59" i="1"/>
  <c r="AB59" i="1"/>
  <c r="AA59" i="1"/>
  <c r="Z59" i="1"/>
  <c r="Y59" i="1"/>
  <c r="W59" i="1" s="1"/>
  <c r="X59" i="1"/>
  <c r="U59" i="1"/>
  <c r="AC58" i="1"/>
  <c r="AB58" i="1"/>
  <c r="AA58" i="1"/>
  <c r="Z58" i="1"/>
  <c r="Y58" i="1"/>
  <c r="W58" i="1" s="1"/>
  <c r="X58" i="1"/>
  <c r="U58" i="1"/>
  <c r="AC57" i="1"/>
  <c r="AB57" i="1"/>
  <c r="AA57" i="1"/>
  <c r="Z57" i="1"/>
  <c r="Y57" i="1"/>
  <c r="W57" i="1" s="1"/>
  <c r="X57" i="1"/>
  <c r="U57" i="1"/>
  <c r="AC56" i="1"/>
  <c r="AB56" i="1"/>
  <c r="AA56" i="1"/>
  <c r="Z56" i="1"/>
  <c r="Y56" i="1"/>
  <c r="W56" i="1" s="1"/>
  <c r="X56" i="1"/>
  <c r="U56" i="1"/>
  <c r="AC55" i="1"/>
  <c r="AB55" i="1"/>
  <c r="AA55" i="1"/>
  <c r="Z55" i="1"/>
  <c r="Y55" i="1"/>
  <c r="W55" i="1" s="1"/>
  <c r="X55" i="1"/>
  <c r="U55" i="1"/>
  <c r="AC54" i="1"/>
  <c r="AB54" i="1"/>
  <c r="AA54" i="1"/>
  <c r="Z54" i="1"/>
  <c r="Y54" i="1"/>
  <c r="W54" i="1" s="1"/>
  <c r="X54" i="1"/>
  <c r="U54" i="1"/>
  <c r="AC53" i="1"/>
  <c r="AB53" i="1"/>
  <c r="AA53" i="1"/>
  <c r="Z53" i="1"/>
  <c r="Y53" i="1"/>
  <c r="W53" i="1" s="1"/>
  <c r="X53" i="1"/>
  <c r="U53" i="1"/>
  <c r="AC52" i="1"/>
  <c r="AB52" i="1"/>
  <c r="AA52" i="1"/>
  <c r="Z52" i="1"/>
  <c r="Y52" i="1"/>
  <c r="W52" i="1" s="1"/>
  <c r="X52" i="1"/>
  <c r="U52" i="1"/>
  <c r="AC51" i="1"/>
  <c r="AB51" i="1"/>
  <c r="AA51" i="1"/>
  <c r="Z51" i="1"/>
  <c r="Y51" i="1"/>
  <c r="W51" i="1" s="1"/>
  <c r="X51" i="1"/>
  <c r="U51" i="1"/>
  <c r="AC50" i="1"/>
  <c r="AB50" i="1"/>
  <c r="AA50" i="1"/>
  <c r="Z50" i="1"/>
  <c r="Y50" i="1"/>
  <c r="W50" i="1" s="1"/>
  <c r="X50" i="1"/>
  <c r="U50" i="1"/>
  <c r="AC49" i="1"/>
  <c r="AB49" i="1"/>
  <c r="AA49" i="1"/>
  <c r="Z49" i="1"/>
  <c r="Y49" i="1"/>
  <c r="W49" i="1" s="1"/>
  <c r="X49" i="1"/>
  <c r="U49" i="1"/>
  <c r="AC48" i="1"/>
  <c r="AB48" i="1"/>
  <c r="AA48" i="1"/>
  <c r="Z48" i="1"/>
  <c r="Y48" i="1"/>
  <c r="W48" i="1" s="1"/>
  <c r="X48" i="1"/>
  <c r="U48" i="1"/>
  <c r="AC47" i="1"/>
  <c r="AB47" i="1"/>
  <c r="AA47" i="1"/>
  <c r="Z47" i="1"/>
  <c r="Y47" i="1"/>
  <c r="W47" i="1" s="1"/>
  <c r="X47" i="1"/>
  <c r="U47" i="1"/>
  <c r="AC46" i="1"/>
  <c r="AB46" i="1"/>
  <c r="AA46" i="1"/>
  <c r="Z46" i="1"/>
  <c r="Y46" i="1"/>
  <c r="W46" i="1" s="1"/>
  <c r="X46" i="1"/>
  <c r="U46" i="1"/>
  <c r="AC45" i="1"/>
  <c r="AB45" i="1"/>
  <c r="AA45" i="1"/>
  <c r="Z45" i="1"/>
  <c r="Y45" i="1"/>
  <c r="W45" i="1" s="1"/>
  <c r="X45" i="1"/>
  <c r="U45" i="1"/>
  <c r="AC44" i="1"/>
  <c r="AB44" i="1"/>
  <c r="AA44" i="1"/>
  <c r="Z44" i="1"/>
  <c r="Y44" i="1"/>
  <c r="W44" i="1" s="1"/>
  <c r="X44" i="1"/>
  <c r="U44" i="1"/>
  <c r="AC43" i="1"/>
  <c r="AB43" i="1"/>
  <c r="AA43" i="1"/>
  <c r="Z43" i="1"/>
  <c r="Y43" i="1"/>
  <c r="W43" i="1" s="1"/>
  <c r="X43" i="1"/>
  <c r="U43" i="1"/>
  <c r="AC42" i="1"/>
  <c r="AB42" i="1"/>
  <c r="AA42" i="1"/>
  <c r="Z42" i="1"/>
  <c r="Y42" i="1"/>
  <c r="W42" i="1" s="1"/>
  <c r="X42" i="1"/>
  <c r="U42" i="1"/>
  <c r="AC41" i="1"/>
  <c r="AB41" i="1"/>
  <c r="AA41" i="1"/>
  <c r="Z41" i="1"/>
  <c r="Y41" i="1"/>
  <c r="W41" i="1" s="1"/>
  <c r="X41" i="1"/>
  <c r="U41" i="1"/>
  <c r="AC40" i="1"/>
  <c r="AB40" i="1"/>
  <c r="AA40" i="1"/>
  <c r="Z40" i="1"/>
  <c r="Y40" i="1"/>
  <c r="W40" i="1" s="1"/>
  <c r="X40" i="1"/>
  <c r="U40" i="1"/>
  <c r="AC39" i="1"/>
  <c r="AB39" i="1"/>
  <c r="AA39" i="1"/>
  <c r="Z39" i="1"/>
  <c r="Y39" i="1"/>
  <c r="W39" i="1" s="1"/>
  <c r="X39" i="1"/>
  <c r="U39" i="1"/>
  <c r="AC38" i="1"/>
  <c r="AB38" i="1"/>
  <c r="AA38" i="1"/>
  <c r="Z38" i="1"/>
  <c r="Y38" i="1"/>
  <c r="W38" i="1" s="1"/>
  <c r="X38" i="1"/>
  <c r="U38" i="1"/>
  <c r="AC37" i="1"/>
  <c r="AB37" i="1"/>
  <c r="AA37" i="1"/>
  <c r="Z37" i="1"/>
  <c r="Y37" i="1"/>
  <c r="W37" i="1" s="1"/>
  <c r="X37" i="1"/>
  <c r="U37" i="1"/>
  <c r="AC36" i="1"/>
  <c r="AB36" i="1"/>
  <c r="AA36" i="1"/>
  <c r="Z36" i="1"/>
  <c r="Y36" i="1"/>
  <c r="W36" i="1" s="1"/>
  <c r="X36" i="1"/>
  <c r="U36" i="1"/>
  <c r="AC35" i="1"/>
  <c r="AB35" i="1"/>
  <c r="AA35" i="1"/>
  <c r="Z35" i="1"/>
  <c r="Y35" i="1"/>
  <c r="W35" i="1" s="1"/>
  <c r="X35" i="1"/>
  <c r="U35" i="1"/>
  <c r="AC34" i="1"/>
  <c r="AB34" i="1"/>
  <c r="AA34" i="1"/>
  <c r="Z34" i="1"/>
  <c r="Y34" i="1"/>
  <c r="W34" i="1" s="1"/>
  <c r="X34" i="1"/>
  <c r="U34" i="1"/>
  <c r="AC33" i="1"/>
  <c r="AB33" i="1"/>
  <c r="AA33" i="1"/>
  <c r="Z33" i="1"/>
  <c r="Y33" i="1"/>
  <c r="W33" i="1" s="1"/>
  <c r="X33" i="1"/>
  <c r="U33" i="1"/>
  <c r="AC32" i="1"/>
  <c r="AB32" i="1"/>
  <c r="AA32" i="1"/>
  <c r="Z32" i="1"/>
  <c r="Y32" i="1"/>
  <c r="W32" i="1" s="1"/>
  <c r="X32" i="1"/>
  <c r="U32" i="1"/>
  <c r="AC31" i="1"/>
  <c r="AB31" i="1"/>
  <c r="AA31" i="1"/>
  <c r="Z31" i="1"/>
  <c r="Y31" i="1"/>
  <c r="W31" i="1" s="1"/>
  <c r="X31" i="1"/>
  <c r="U31" i="1"/>
  <c r="AC30" i="1"/>
  <c r="AB30" i="1"/>
  <c r="AA30" i="1"/>
  <c r="Z30" i="1"/>
  <c r="Y30" i="1"/>
  <c r="W30" i="1" s="1"/>
  <c r="X30" i="1"/>
  <c r="U30" i="1"/>
  <c r="AC29" i="1"/>
  <c r="AB29" i="1"/>
  <c r="AA29" i="1"/>
  <c r="Z29" i="1"/>
  <c r="Y29" i="1"/>
  <c r="W29" i="1" s="1"/>
  <c r="X29" i="1"/>
  <c r="U29" i="1"/>
  <c r="AC28" i="1"/>
  <c r="AB28" i="1"/>
  <c r="AA28" i="1"/>
  <c r="Z28" i="1"/>
  <c r="Y28" i="1"/>
  <c r="W28" i="1" s="1"/>
  <c r="X28" i="1"/>
  <c r="U28" i="1"/>
  <c r="AC27" i="1"/>
  <c r="AB27" i="1"/>
  <c r="AA27" i="1"/>
  <c r="Z27" i="1"/>
  <c r="Y27" i="1"/>
  <c r="W27" i="1" s="1"/>
  <c r="X27" i="1"/>
  <c r="U27" i="1"/>
  <c r="AC26" i="1"/>
  <c r="AB26" i="1"/>
  <c r="AA26" i="1"/>
  <c r="Z26" i="1"/>
  <c r="Y26" i="1"/>
  <c r="W26" i="1" s="1"/>
  <c r="X26" i="1"/>
  <c r="U26" i="1"/>
  <c r="AC25" i="1"/>
  <c r="AB25" i="1"/>
  <c r="AA25" i="1"/>
  <c r="Z25" i="1"/>
  <c r="Y25" i="1"/>
  <c r="W25" i="1" s="1"/>
  <c r="X25" i="1"/>
  <c r="U25" i="1"/>
  <c r="AC24" i="1"/>
  <c r="AB24" i="1"/>
  <c r="AA24" i="1"/>
  <c r="Z24" i="1"/>
  <c r="Y24" i="1"/>
  <c r="W24" i="1" s="1"/>
  <c r="X24" i="1"/>
  <c r="U24" i="1"/>
  <c r="AC23" i="1"/>
  <c r="AB23" i="1"/>
  <c r="AA23" i="1"/>
  <c r="Z23" i="1"/>
  <c r="Y23" i="1"/>
  <c r="W23" i="1" s="1"/>
  <c r="X23" i="1"/>
  <c r="U23" i="1"/>
  <c r="AC22" i="1"/>
  <c r="AB22" i="1"/>
  <c r="AA22" i="1"/>
  <c r="Z22" i="1"/>
  <c r="Y22" i="1"/>
  <c r="W22" i="1" s="1"/>
  <c r="X22" i="1"/>
  <c r="U22" i="1"/>
  <c r="AC21" i="1"/>
  <c r="AB21" i="1"/>
  <c r="AA21" i="1"/>
  <c r="Z21" i="1"/>
  <c r="Y21" i="1"/>
  <c r="W21" i="1" s="1"/>
  <c r="X21" i="1"/>
  <c r="U21" i="1"/>
  <c r="AC20" i="1"/>
  <c r="AB20" i="1"/>
  <c r="AA20" i="1"/>
  <c r="Z20" i="1"/>
  <c r="Y20" i="1"/>
  <c r="W20" i="1" s="1"/>
  <c r="X20" i="1"/>
  <c r="U20" i="1"/>
  <c r="AC19" i="1"/>
  <c r="AB19" i="1"/>
  <c r="AA19" i="1"/>
  <c r="Z19" i="1"/>
  <c r="Y19" i="1"/>
  <c r="W19" i="1" s="1"/>
  <c r="X19" i="1"/>
  <c r="U19" i="1"/>
  <c r="AC18" i="1"/>
  <c r="AB18" i="1"/>
  <c r="AA18" i="1"/>
  <c r="Z18" i="1"/>
  <c r="Y18" i="1"/>
  <c r="W18" i="1" s="1"/>
  <c r="X18" i="1"/>
  <c r="U18" i="1"/>
  <c r="AC17" i="1"/>
  <c r="AB17" i="1"/>
  <c r="AA17" i="1"/>
  <c r="Z17" i="1"/>
  <c r="Y17" i="1"/>
  <c r="W17" i="1" s="1"/>
  <c r="X17" i="1"/>
  <c r="U17" i="1"/>
  <c r="AC16" i="1"/>
  <c r="AB16" i="1"/>
  <c r="AA16" i="1"/>
  <c r="Z16" i="1"/>
  <c r="Y16" i="1"/>
  <c r="W16" i="1" s="1"/>
  <c r="X16" i="1"/>
  <c r="U16" i="1"/>
  <c r="AC15" i="1"/>
  <c r="AB15" i="1"/>
  <c r="AA15" i="1"/>
  <c r="Z15" i="1"/>
  <c r="Y15" i="1"/>
  <c r="W15" i="1" s="1"/>
  <c r="X15" i="1"/>
  <c r="U15" i="1"/>
  <c r="AC14" i="1"/>
  <c r="AB14" i="1"/>
  <c r="AA14" i="1"/>
  <c r="Z14" i="1"/>
  <c r="Y14" i="1"/>
  <c r="W14" i="1" s="1"/>
  <c r="X14" i="1"/>
  <c r="U14" i="1"/>
  <c r="AC13" i="1"/>
  <c r="AB13" i="1"/>
  <c r="AA13" i="1"/>
  <c r="Z13" i="1"/>
  <c r="Y13" i="1"/>
  <c r="W13" i="1" s="1"/>
  <c r="X13" i="1"/>
  <c r="U13" i="1"/>
  <c r="AC12" i="1"/>
  <c r="AB12" i="1"/>
  <c r="AA12" i="1"/>
  <c r="Z12" i="1"/>
  <c r="Y12" i="1"/>
  <c r="W12" i="1" s="1"/>
  <c r="U12" i="1"/>
  <c r="AC11" i="1"/>
  <c r="AB11" i="1"/>
  <c r="AA11" i="1"/>
  <c r="Z11" i="1"/>
  <c r="Y11" i="1"/>
  <c r="W11" i="1" s="1"/>
  <c r="X11" i="1"/>
  <c r="U11" i="1"/>
  <c r="AC10" i="1"/>
  <c r="AB10" i="1"/>
  <c r="AA10" i="1"/>
  <c r="Z10" i="1"/>
  <c r="Y10" i="1"/>
  <c r="W10" i="1" s="1"/>
  <c r="X10" i="1"/>
  <c r="U10" i="1"/>
  <c r="AC9" i="1"/>
  <c r="AB9" i="1"/>
  <c r="AA9" i="1"/>
  <c r="Z9" i="1"/>
  <c r="Y9" i="1"/>
  <c r="W9" i="1" s="1"/>
  <c r="X9" i="1"/>
  <c r="U9" i="1"/>
  <c r="AC8" i="1"/>
  <c r="AB8" i="1"/>
  <c r="AA8" i="1"/>
  <c r="Z8" i="1"/>
  <c r="Y8" i="1"/>
  <c r="W8" i="1" s="1"/>
  <c r="X8" i="1"/>
  <c r="U8" i="1"/>
  <c r="AC7" i="1"/>
  <c r="AB7" i="1"/>
  <c r="AA7" i="1"/>
  <c r="Z7" i="1"/>
  <c r="Y7" i="1"/>
  <c r="W7" i="1" s="1"/>
  <c r="X7" i="1"/>
  <c r="U7" i="1"/>
  <c r="AC6" i="1"/>
  <c r="AB6" i="1"/>
  <c r="AA6" i="1"/>
  <c r="Z6" i="1"/>
  <c r="Y6" i="1"/>
  <c r="W6" i="1" s="1"/>
  <c r="X6" i="1"/>
  <c r="U6" i="1"/>
  <c r="AC5" i="1"/>
  <c r="AB5" i="1"/>
  <c r="AA5" i="1"/>
  <c r="Z5" i="1"/>
  <c r="Y5" i="1"/>
  <c r="W5" i="1" s="1"/>
  <c r="X5" i="1"/>
  <c r="U5" i="1"/>
  <c r="AC4" i="1"/>
  <c r="AB4" i="1"/>
  <c r="AA4" i="1"/>
  <c r="Z4" i="1"/>
  <c r="Y4" i="1"/>
  <c r="W4" i="1" s="1"/>
  <c r="X4" i="1"/>
  <c r="U4" i="1"/>
  <c r="AC3" i="1"/>
  <c r="AB3" i="1"/>
  <c r="AA3" i="1"/>
  <c r="Z3" i="1"/>
  <c r="Y3" i="1"/>
  <c r="W3" i="1" s="1"/>
  <c r="X3" i="1"/>
  <c r="U3" i="1"/>
  <c r="AC2" i="1"/>
  <c r="AB2" i="1"/>
  <c r="AA2" i="1"/>
  <c r="Z2" i="1"/>
  <c r="Y2" i="1"/>
  <c r="W2" i="1" s="1"/>
  <c r="X2" i="1"/>
  <c r="U2" i="1"/>
</calcChain>
</file>

<file path=xl/sharedStrings.xml><?xml version="1.0" encoding="utf-8"?>
<sst xmlns="http://schemas.openxmlformats.org/spreadsheetml/2006/main" count="26448" uniqueCount="6933">
  <si>
    <t>Lead_ID</t>
  </si>
  <si>
    <t>Created_Date</t>
  </si>
  <si>
    <t>Customer_Name</t>
  </si>
  <si>
    <t>Company_Name</t>
  </si>
  <si>
    <t>Contact_Email</t>
  </si>
  <si>
    <t>Phone_Number</t>
  </si>
  <si>
    <t>Region</t>
  </si>
  <si>
    <t>City</t>
  </si>
  <si>
    <t>Lead_Source</t>
  </si>
  <si>
    <t>Product_Service</t>
  </si>
  <si>
    <t>Customer_Segment</t>
  </si>
  <si>
    <t>Sales_Representative</t>
  </si>
  <si>
    <t>Lead_Status</t>
  </si>
  <si>
    <t>Pipeline_Stage</t>
  </si>
  <si>
    <t>Deal_Value_INR</t>
  </si>
  <si>
    <t>Probability_Percent</t>
  </si>
  <si>
    <t>Expected_Close_Date</t>
  </si>
  <si>
    <t>Followup_Date</t>
  </si>
  <si>
    <t>Last_Contacted_Date</t>
  </si>
  <si>
    <t>Closed_Date</t>
  </si>
  <si>
    <t>Conversion_Flag</t>
  </si>
  <si>
    <t>Lost_Reason</t>
  </si>
  <si>
    <t>Days_To_Close</t>
  </si>
  <si>
    <t>Followup_Status</t>
  </si>
  <si>
    <t>Opportunity_Status</t>
  </si>
  <si>
    <t>Created_Month</t>
  </si>
  <si>
    <t>Created_Quarter</t>
  </si>
  <si>
    <t>Lead_Age_Days</t>
  </si>
  <si>
    <t>Priority</t>
  </si>
  <si>
    <t>CRM-00001</t>
  </si>
  <si>
    <t>Shruti Gupta</t>
  </si>
  <si>
    <t>BluePeak Enterprises</t>
  </si>
  <si>
    <t>shruti.gupta@bluepeakenterprise.com</t>
  </si>
  <si>
    <t>+91-9949187688</t>
  </si>
  <si>
    <t>West</t>
  </si>
  <si>
    <t>Mumbai</t>
  </si>
  <si>
    <t>Website</t>
  </si>
  <si>
    <t>Excel Automation</t>
  </si>
  <si>
    <t>Finance</t>
  </si>
  <si>
    <t>Sneha Kapoor</t>
  </si>
  <si>
    <t>Converted</t>
  </si>
  <si>
    <t>Closed Won</t>
  </si>
  <si>
    <t>CRM-00002</t>
  </si>
  <si>
    <t>Karan Sharma</t>
  </si>
  <si>
    <t>UrbanEdge Ventures</t>
  </si>
  <si>
    <t>karan.sharma@urbanedgeventures.com</t>
  </si>
  <si>
    <t>+91-7016510921</t>
  </si>
  <si>
    <t>North</t>
  </si>
  <si>
    <t>Lucknow</t>
  </si>
  <si>
    <t>Google Ads</t>
  </si>
  <si>
    <t>Data Analytics Consulting</t>
  </si>
  <si>
    <t>Healthcare</t>
  </si>
  <si>
    <t>Kabir Khan</t>
  </si>
  <si>
    <t>Follow Up</t>
  </si>
  <si>
    <t>Qualification</t>
  </si>
  <si>
    <t>CRM-00003</t>
  </si>
  <si>
    <t>Abhishek Bose</t>
  </si>
  <si>
    <t>InsightWave Services</t>
  </si>
  <si>
    <t>abhishek.bose@insightwaveservice.com</t>
  </si>
  <si>
    <t>+91-8469388052</t>
  </si>
  <si>
    <t>Pune</t>
  </si>
  <si>
    <t>Partner</t>
  </si>
  <si>
    <t>Sales Automation</t>
  </si>
  <si>
    <t>Aditya Verma</t>
  </si>
  <si>
    <t>CRM-00004</t>
  </si>
  <si>
    <t>Sanya Joshi</t>
  </si>
  <si>
    <t>CloudNest Technologies</t>
  </si>
  <si>
    <t>sanya.joshi@cloudnesttechnolog.com</t>
  </si>
  <si>
    <t>+91-9846262883</t>
  </si>
  <si>
    <t>Central</t>
  </si>
  <si>
    <t>Bhopal</t>
  </si>
  <si>
    <t>Enterprise</t>
  </si>
  <si>
    <t>Tanya Das</t>
  </si>
  <si>
    <t>Negotiation</t>
  </si>
  <si>
    <t>CRM-00005</t>
  </si>
  <si>
    <t>Varun Kapoor</t>
  </si>
  <si>
    <t>BluePeak Ventures</t>
  </si>
  <si>
    <t>varun.kapoor@bluepeakventures.com</t>
  </si>
  <si>
    <t>+91-7235677420</t>
  </si>
  <si>
    <t>South</t>
  </si>
  <si>
    <t>Kochi</t>
  </si>
  <si>
    <t>Rohan Mehta</t>
  </si>
  <si>
    <t>New Lead</t>
  </si>
  <si>
    <t>Lead Created</t>
  </si>
  <si>
    <t>CRM-00006</t>
  </si>
  <si>
    <t>Aditi Jain</t>
  </si>
  <si>
    <t>BrightPath Enterprises</t>
  </si>
  <si>
    <t>aditi.jain@brightpathenterpri.com</t>
  </si>
  <si>
    <t>+91-7046140602</t>
  </si>
  <si>
    <t>Delhi</t>
  </si>
  <si>
    <t>Interested</t>
  </si>
  <si>
    <t>Needs Analysis</t>
  </si>
  <si>
    <t>CRM-00007</t>
  </si>
  <si>
    <t>Harsh Das</t>
  </si>
  <si>
    <t>BluePeak Technologies</t>
  </si>
  <si>
    <t>harsh.das@bluepeaktechnologi.com</t>
  </si>
  <si>
    <t>+91-7034761776</t>
  </si>
  <si>
    <t>Mysuru</t>
  </si>
  <si>
    <t>LinkedIn</t>
  </si>
  <si>
    <t>CRM Implementation</t>
  </si>
  <si>
    <t>Education</t>
  </si>
  <si>
    <t>CRM-00008</t>
  </si>
  <si>
    <t>Simran Mehta</t>
  </si>
  <si>
    <t>TechAxis Services</t>
  </si>
  <si>
    <t>simran.mehta@techaxisservices.com</t>
  </si>
  <si>
    <t>+91-8011848762</t>
  </si>
  <si>
    <t>Hyderabad</t>
  </si>
  <si>
    <t>Meera Iyer</t>
  </si>
  <si>
    <t>CRM-00009</t>
  </si>
  <si>
    <t>Kavya Joshi</t>
  </si>
  <si>
    <t>NextGen Consulting</t>
  </si>
  <si>
    <t>kavya.joshi@nextgenconsulting.com</t>
  </si>
  <si>
    <t>+91-7286698630</t>
  </si>
  <si>
    <t>Gurugram</t>
  </si>
  <si>
    <t>Startup</t>
  </si>
  <si>
    <t>Vikram Singh</t>
  </si>
  <si>
    <t>Contacted</t>
  </si>
  <si>
    <t>CRM-00010</t>
  </si>
  <si>
    <t>Pooja Patel</t>
  </si>
  <si>
    <t>EduCore Solutions</t>
  </si>
  <si>
    <t>pooja.patel@educoresolutions.com</t>
  </si>
  <si>
    <t>+91-7950526121</t>
  </si>
  <si>
    <t>Chandigarh</t>
  </si>
  <si>
    <t>Webinar</t>
  </si>
  <si>
    <t>Power BI Dashboard</t>
  </si>
  <si>
    <t>Aarav Sharma</t>
  </si>
  <si>
    <t>CRM-00011</t>
  </si>
  <si>
    <t>Ritika Gupta</t>
  </si>
  <si>
    <t>Prime Analytics</t>
  </si>
  <si>
    <t>ritika.gupta@primeanalytics.com</t>
  </si>
  <si>
    <t>+91-9312512612</t>
  </si>
  <si>
    <t>Tableau Dashboard</t>
  </si>
  <si>
    <t>Ananya Rao</t>
  </si>
  <si>
    <t>Lost</t>
  </si>
  <si>
    <t>Closed Lost</t>
  </si>
  <si>
    <t>Decision Deferred</t>
  </si>
  <si>
    <t>CRM-00012</t>
  </si>
  <si>
    <t>Kavya Nair</t>
  </si>
  <si>
    <t>BluePeak Labs</t>
  </si>
  <si>
    <t>kavya.nair@bluepeaklabs.com</t>
  </si>
  <si>
    <t>+91-9538624816</t>
  </si>
  <si>
    <t>Referral</t>
  </si>
  <si>
    <t>Nisha Gupta</t>
  </si>
  <si>
    <t>CRM-00013</t>
  </si>
  <si>
    <t>Tanvi Mehta</t>
  </si>
  <si>
    <t>DataBridge Services</t>
  </si>
  <si>
    <t>tanvi.mehta@databridgeservices.com</t>
  </si>
  <si>
    <t>+91-8824212107</t>
  </si>
  <si>
    <t>Email Campaign</t>
  </si>
  <si>
    <t>CRM-00014</t>
  </si>
  <si>
    <t>Varun Iyer</t>
  </si>
  <si>
    <t>InsightWave Systems</t>
  </si>
  <si>
    <t>varun.iyer@insightwavesystems.com</t>
  </si>
  <si>
    <t>+91-9228142228</t>
  </si>
  <si>
    <t>Sahil Jain</t>
  </si>
  <si>
    <t>CRM-00015</t>
  </si>
  <si>
    <t>Harsh Bose</t>
  </si>
  <si>
    <t>Prime Consulting</t>
  </si>
  <si>
    <t>harsh.bose@primeconsulting.com</t>
  </si>
  <si>
    <t>+91-9925667580</t>
  </si>
  <si>
    <t>Nagpur</t>
  </si>
  <si>
    <t>CRM-00016</t>
  </si>
  <si>
    <t>Ritika Patel</t>
  </si>
  <si>
    <t>InsightWave Group</t>
  </si>
  <si>
    <t>ritika.patel@insightwavegroup.com</t>
  </si>
  <si>
    <t>+91-7325957132</t>
  </si>
  <si>
    <t>Proposal Sent</t>
  </si>
  <si>
    <t>Proposal</t>
  </si>
  <si>
    <t>CRM-00017</t>
  </si>
  <si>
    <t>Suresh Gupta</t>
  </si>
  <si>
    <t>EduCore Ventures</t>
  </si>
  <si>
    <t>suresh.gupta@educoreventures.com</t>
  </si>
  <si>
    <t>+91-9383212882</t>
  </si>
  <si>
    <t>Surat</t>
  </si>
  <si>
    <t>CRM-00018</t>
  </si>
  <si>
    <t>Kavya Jain</t>
  </si>
  <si>
    <t>CloudNest Group</t>
  </si>
  <si>
    <t>kavya.jain@cloudnestgroup.com</t>
  </si>
  <si>
    <t>+91-8869343940</t>
  </si>
  <si>
    <t>East</t>
  </si>
  <si>
    <t>Siliguri</t>
  </si>
  <si>
    <t>CRM-00019</t>
  </si>
  <si>
    <t>Varun Das</t>
  </si>
  <si>
    <t>UrbanEdge Services</t>
  </si>
  <si>
    <t>varun.das@urbanedgeservices.com</t>
  </si>
  <si>
    <t>+91-8666762325</t>
  </si>
  <si>
    <t>Bhubaneswar</t>
  </si>
  <si>
    <t>Cold Call</t>
  </si>
  <si>
    <t>CRM-00020</t>
  </si>
  <si>
    <t>Sanya Kapoor</t>
  </si>
  <si>
    <t>BrightPath Solutions</t>
  </si>
  <si>
    <t>sanya.kapoor@brightpathsolution.com</t>
  </si>
  <si>
    <t>+91-9179898361</t>
  </si>
  <si>
    <t>Prayagraj</t>
  </si>
  <si>
    <t>SME</t>
  </si>
  <si>
    <t>CRM-00021</t>
  </si>
  <si>
    <t>Amit Patel</t>
  </si>
  <si>
    <t>UrbanEdge Consulting</t>
  </si>
  <si>
    <t>amit.patel@urbanedgeconsultin.com</t>
  </si>
  <si>
    <t>+91-8406628008</t>
  </si>
  <si>
    <t>Varanasi</t>
  </si>
  <si>
    <t>CRM-00022</t>
  </si>
  <si>
    <t>Mehak Joshi</t>
  </si>
  <si>
    <t>mehak.joshi@bluepeakventures.com</t>
  </si>
  <si>
    <t>+91-9419748977</t>
  </si>
  <si>
    <t>CRM-00023</t>
  </si>
  <si>
    <t>Arjun Sharma</t>
  </si>
  <si>
    <t>Nova Group</t>
  </si>
  <si>
    <t>arjun.sharma@novagroup.com</t>
  </si>
  <si>
    <t>+91-9522214277</t>
  </si>
  <si>
    <t>Not Interested</t>
  </si>
  <si>
    <t>Budget Issue</t>
  </si>
  <si>
    <t>CRM-00024</t>
  </si>
  <si>
    <t>Suresh Jain</t>
  </si>
  <si>
    <t>NextGen Group</t>
  </si>
  <si>
    <t>suresh.jain@nextgengroup.com</t>
  </si>
  <si>
    <t>+91-9593842012</t>
  </si>
  <si>
    <t>Chennai</t>
  </si>
  <si>
    <t>CRM-00025</t>
  </si>
  <si>
    <t>Isha Malhotra</t>
  </si>
  <si>
    <t>FinEdge Consulting</t>
  </si>
  <si>
    <t>isha.malhotra@finedgeconsulting.com</t>
  </si>
  <si>
    <t>+91-9527725139</t>
  </si>
  <si>
    <t>CRM-00026</t>
  </si>
  <si>
    <t>Divya Nair</t>
  </si>
  <si>
    <t>TechAxis Technologies</t>
  </si>
  <si>
    <t>divya.nair@techaxistechnologi.com</t>
  </si>
  <si>
    <t>+91-7570938576</t>
  </si>
  <si>
    <t>Coimbatore</t>
  </si>
  <si>
    <t>CRM-00027</t>
  </si>
  <si>
    <t>Aditi Das</t>
  </si>
  <si>
    <t>MediPlus Systems</t>
  </si>
  <si>
    <t>aditi.das@mediplussystems.com</t>
  </si>
  <si>
    <t>+91-7530534742</t>
  </si>
  <si>
    <t>CRM-00028</t>
  </si>
  <si>
    <t>Manish Malhotra</t>
  </si>
  <si>
    <t>manish.malhotra@cloudnestgroup.com</t>
  </si>
  <si>
    <t>+91-7867798047</t>
  </si>
  <si>
    <t>Indore</t>
  </si>
  <si>
    <t>Priya Nair</t>
  </si>
  <si>
    <t>CRM-00029</t>
  </si>
  <si>
    <t>Rahul Rao</t>
  </si>
  <si>
    <t>SkillForge Analytics</t>
  </si>
  <si>
    <t>rahul.rao@skillforgeanalytic.com</t>
  </si>
  <si>
    <t>+91-9152740002</t>
  </si>
  <si>
    <t>CRM-00030</t>
  </si>
  <si>
    <t>Amit Iyer</t>
  </si>
  <si>
    <t>DataBridge Labs</t>
  </si>
  <si>
    <t>amit.iyer@databridgelabs.com</t>
  </si>
  <si>
    <t>+91-7021234246</t>
  </si>
  <si>
    <t>CRM-00031</t>
  </si>
  <si>
    <t>Siddharth Agarwal</t>
  </si>
  <si>
    <t>Nova Analytics</t>
  </si>
  <si>
    <t>siddharth.agarwal@novaanalytics.com</t>
  </si>
  <si>
    <t>+91-8902889349</t>
  </si>
  <si>
    <t>CRM-00032</t>
  </si>
  <si>
    <t>Mehak Chopra</t>
  </si>
  <si>
    <t>InsightWave Analytics</t>
  </si>
  <si>
    <t>mehak.chopra@insightwaveanalyti.com</t>
  </si>
  <si>
    <t>+91-8257057607</t>
  </si>
  <si>
    <t>Bengaluru</t>
  </si>
  <si>
    <t>CRM-00033</t>
  </si>
  <si>
    <t>Shruti Das</t>
  </si>
  <si>
    <t>FinEdge Technologies</t>
  </si>
  <si>
    <t>shruti.das@finedgetechnologie.com</t>
  </si>
  <si>
    <t>+91-9873914114</t>
  </si>
  <si>
    <t>CRM-00034</t>
  </si>
  <si>
    <t>Shruti Rao</t>
  </si>
  <si>
    <t>shruti.rao@insightwaveanalyti.com</t>
  </si>
  <si>
    <t>+91-8859433092</t>
  </si>
  <si>
    <t>Jabalpur</t>
  </si>
  <si>
    <t>CRM-00035</t>
  </si>
  <si>
    <t>Riya Patel</t>
  </si>
  <si>
    <t>Prime Technologies</t>
  </si>
  <si>
    <t>riya.patel@primetechnologies.com</t>
  </si>
  <si>
    <t>+91-9575392505</t>
  </si>
  <si>
    <t>Competitor Chosen</t>
  </si>
  <si>
    <t>CRM-00036</t>
  </si>
  <si>
    <t>sanya.joshi@educoresolutions.com</t>
  </si>
  <si>
    <t>+91-9070119774</t>
  </si>
  <si>
    <t>CRM-00037</t>
  </si>
  <si>
    <t>Siddharth Verma</t>
  </si>
  <si>
    <t>UrbanEdge Analytics</t>
  </si>
  <si>
    <t>siddharth.verma@urbanedgeanalytics.com</t>
  </si>
  <si>
    <t>+91-9235891890</t>
  </si>
  <si>
    <t>Gwalior</t>
  </si>
  <si>
    <t>CRM-00038</t>
  </si>
  <si>
    <t>Kavya Chopra</t>
  </si>
  <si>
    <t>MarketPulse Group</t>
  </si>
  <si>
    <t>kavya.chopra@marketpulsegroup.com</t>
  </si>
  <si>
    <t>+91-8862755077</t>
  </si>
  <si>
    <t>CRM-00039</t>
  </si>
  <si>
    <t>Mohan Chopra</t>
  </si>
  <si>
    <t>FinEdge Labs</t>
  </si>
  <si>
    <t>mohan.chopra@finedgelabs.com</t>
  </si>
  <si>
    <t>+91-8364774819</t>
  </si>
  <si>
    <t>Guwahati</t>
  </si>
  <si>
    <t>CRM-00040</t>
  </si>
  <si>
    <t>Varun Agarwal</t>
  </si>
  <si>
    <t>Nova Systems</t>
  </si>
  <si>
    <t>varun.agarwal@novasystems.com</t>
  </si>
  <si>
    <t>+91-7135962710</t>
  </si>
  <si>
    <t>CRM-00041</t>
  </si>
  <si>
    <t>Nandini Rao</t>
  </si>
  <si>
    <t>GrowthLab Enterprises</t>
  </si>
  <si>
    <t>nandini.rao@growthlabenterpris.com</t>
  </si>
  <si>
    <t>+91-9925285860</t>
  </si>
  <si>
    <t>CRM-00042</t>
  </si>
  <si>
    <t>Deepak Chopra</t>
  </si>
  <si>
    <t>MarketPulse Consulting</t>
  </si>
  <si>
    <t>deepak.chopra@marketpulseconsult.com</t>
  </si>
  <si>
    <t>+91-9692147020</t>
  </si>
  <si>
    <t>Raipur</t>
  </si>
  <si>
    <t>CRM-00043</t>
  </si>
  <si>
    <t>Rakesh Nair</t>
  </si>
  <si>
    <t>SkillForge Consulting</t>
  </si>
  <si>
    <t>rakesh.nair@skillforgeconsulti.com</t>
  </si>
  <si>
    <t>+91-9006162988</t>
  </si>
  <si>
    <t>Patna</t>
  </si>
  <si>
    <t>Timeline Not Fit</t>
  </si>
  <si>
    <t>CRM-00044</t>
  </si>
  <si>
    <t>Amit Mehta</t>
  </si>
  <si>
    <t>Nova Enterprises</t>
  </si>
  <si>
    <t>amit.mehta@novaenterprises.com</t>
  </si>
  <si>
    <t>+91-9648183723</t>
  </si>
  <si>
    <t>CRM-00045</t>
  </si>
  <si>
    <t>Tanvi Iyer</t>
  </si>
  <si>
    <t>UrbanEdge Solutions</t>
  </si>
  <si>
    <t>tanvi.iyer@urbanedgesolutions.com</t>
  </si>
  <si>
    <t>+91-8362610968</t>
  </si>
  <si>
    <t>CRM-00046</t>
  </si>
  <si>
    <t>Simran Rao</t>
  </si>
  <si>
    <t>TechAxis Group</t>
  </si>
  <si>
    <t>simran.rao@techaxisgroup.com</t>
  </si>
  <si>
    <t>+91-9572243994</t>
  </si>
  <si>
    <t>CRM-00047</t>
  </si>
  <si>
    <t>Manish Khan</t>
  </si>
  <si>
    <t>EduCore Systems</t>
  </si>
  <si>
    <t>manish.khan@educoresystems.com</t>
  </si>
  <si>
    <t>+91-7923186455</t>
  </si>
  <si>
    <t>CRM-00048</t>
  </si>
  <si>
    <t>Nitin Rao</t>
  </si>
  <si>
    <t>GrowthLab Solutions</t>
  </si>
  <si>
    <t>nitin.rao@growthlabsolutions.com</t>
  </si>
  <si>
    <t>+91-8905177054</t>
  </si>
  <si>
    <t>CRM-00049</t>
  </si>
  <si>
    <t>Manish Das</t>
  </si>
  <si>
    <t>BrightPath Group</t>
  </si>
  <si>
    <t>manish.das@brightpathgroup.com</t>
  </si>
  <si>
    <t>+91-8361035129</t>
  </si>
  <si>
    <t>CRM-00050</t>
  </si>
  <si>
    <t>Kavya Verma</t>
  </si>
  <si>
    <t>GrowthLab Labs</t>
  </si>
  <si>
    <t>kavya.verma@growthlablabs.com</t>
  </si>
  <si>
    <t>+91-7401989915</t>
  </si>
  <si>
    <t>CRM-00051</t>
  </si>
  <si>
    <t>Simran Agarwal</t>
  </si>
  <si>
    <t>Nova Technologies</t>
  </si>
  <si>
    <t>simran.agarwal@novatechnologies.com</t>
  </si>
  <si>
    <t>+91-8351982573</t>
  </si>
  <si>
    <t>CRM-00052</t>
  </si>
  <si>
    <t>MarketPulse Solutions</t>
  </si>
  <si>
    <t>simran.mehta@marketpulsesolutio.com</t>
  </si>
  <si>
    <t>+91-8884480800</t>
  </si>
  <si>
    <t>CRM-00053</t>
  </si>
  <si>
    <t>Mohan Saxena</t>
  </si>
  <si>
    <t>BluePeak Systems</t>
  </si>
  <si>
    <t>mohan.saxena@bluepeaksystems.com</t>
  </si>
  <si>
    <t>+91-8083910277</t>
  </si>
  <si>
    <t>CRM-00054</t>
  </si>
  <si>
    <t>Tanvi Nair</t>
  </si>
  <si>
    <t>tanvi.nair@novaanalytics.com</t>
  </si>
  <si>
    <t>+91-9408080081</t>
  </si>
  <si>
    <t>CRM-00055</t>
  </si>
  <si>
    <t>Divya Joshi</t>
  </si>
  <si>
    <t>InsightWave Labs</t>
  </si>
  <si>
    <t>divya.joshi@insightwavelabs.com</t>
  </si>
  <si>
    <t>+91-8253291198</t>
  </si>
  <si>
    <t>CRM-00056</t>
  </si>
  <si>
    <t>Varun Khan</t>
  </si>
  <si>
    <t>varun.khan@skillforgeconsulti.com</t>
  </si>
  <si>
    <t>+91-8382730435</t>
  </si>
  <si>
    <t>CRM-00057</t>
  </si>
  <si>
    <t>Amit Gupta</t>
  </si>
  <si>
    <t>MarketPulse Labs</t>
  </si>
  <si>
    <t>amit.gupta@marketpulselabs.com</t>
  </si>
  <si>
    <t>+91-7505525305</t>
  </si>
  <si>
    <t>CRM-00058</t>
  </si>
  <si>
    <t>Karan Mishra</t>
  </si>
  <si>
    <t>Nova Solutions</t>
  </si>
  <si>
    <t>karan.mishra@novasolutions.com</t>
  </si>
  <si>
    <t>+91-7857096142</t>
  </si>
  <si>
    <t>CRM-00059</t>
  </si>
  <si>
    <t>Karan Singh</t>
  </si>
  <si>
    <t>NextGen Systems</t>
  </si>
  <si>
    <t>karan.singh@nextgensystems.com</t>
  </si>
  <si>
    <t>+91-9365122983</t>
  </si>
  <si>
    <t>CRM-00060</t>
  </si>
  <si>
    <t>Abhishek Khan</t>
  </si>
  <si>
    <t>abhishek.khan@insightwaveanalyti.com</t>
  </si>
  <si>
    <t>+91-7838927436</t>
  </si>
  <si>
    <t>CRM-00061</t>
  </si>
  <si>
    <t>Mehak Gupta</t>
  </si>
  <si>
    <t>mehak.gupta@novagroup.com</t>
  </si>
  <si>
    <t>+91-7150789783</t>
  </si>
  <si>
    <t>CRM-00062</t>
  </si>
  <si>
    <t>Varun Joshi</t>
  </si>
  <si>
    <t>UrbanEdge Technologies</t>
  </si>
  <si>
    <t>varun.joshi@urbanedgetechnolog.com</t>
  </si>
  <si>
    <t>+91-9636184521</t>
  </si>
  <si>
    <t>CRM-00063</t>
  </si>
  <si>
    <t>Simran Mishra</t>
  </si>
  <si>
    <t>simran.mishra@marketpulsesolutio.com</t>
  </si>
  <si>
    <t>+91-9905715780</t>
  </si>
  <si>
    <t>CRM-00064</t>
  </si>
  <si>
    <t>Neha Khan</t>
  </si>
  <si>
    <t>neha.khan@primeconsulting.com</t>
  </si>
  <si>
    <t>+91-8005287179</t>
  </si>
  <si>
    <t>Jaipur</t>
  </si>
  <si>
    <t>CRM-00065</t>
  </si>
  <si>
    <t>sanya.joshi@novatechnologies.com</t>
  </si>
  <si>
    <t>+91-8527492092</t>
  </si>
  <si>
    <t>CRM-00066</t>
  </si>
  <si>
    <t>FinEdge Enterprises</t>
  </si>
  <si>
    <t>ritika.patel@finedgeenterprises.com</t>
  </si>
  <si>
    <t>+91-8542854531</t>
  </si>
  <si>
    <t>CRM-00067</t>
  </si>
  <si>
    <t>Mansi Nair</t>
  </si>
  <si>
    <t>FinEdge Ventures</t>
  </si>
  <si>
    <t>mansi.nair@finedgeventures.com</t>
  </si>
  <si>
    <t>+91-8227269828</t>
  </si>
  <si>
    <t>CRM-00068</t>
  </si>
  <si>
    <t>Ritika Agarwal</t>
  </si>
  <si>
    <t>MediPlus Group</t>
  </si>
  <si>
    <t>ritika.agarwal@mediplusgroup.com</t>
  </si>
  <si>
    <t>+91-8126662294</t>
  </si>
  <si>
    <t>Kolkata</t>
  </si>
  <si>
    <t>CRM-00069</t>
  </si>
  <si>
    <t>Vivek Das</t>
  </si>
  <si>
    <t>vivek.das@growthlabsolutions.com</t>
  </si>
  <si>
    <t>+91-8609131695</t>
  </si>
  <si>
    <t>CRM-00070</t>
  </si>
  <si>
    <t>Shruti Patel</t>
  </si>
  <si>
    <t>MediPlus Services</t>
  </si>
  <si>
    <t>shruti.patel@mediplusservices.com</t>
  </si>
  <si>
    <t>+91-8840823440</t>
  </si>
  <si>
    <t>Ahmedabad</t>
  </si>
  <si>
    <t>CRM-00071</t>
  </si>
  <si>
    <t>Mansi Malhotra</t>
  </si>
  <si>
    <t>InsightWave Technologies</t>
  </si>
  <si>
    <t>mansi.malhotra@insightwavetechnol.com</t>
  </si>
  <si>
    <t>+91-7483064529</t>
  </si>
  <si>
    <t>No Requirement</t>
  </si>
  <si>
    <t>CRM-00072</t>
  </si>
  <si>
    <t>Mansi Gupta</t>
  </si>
  <si>
    <t>mansi.gupta@bluepeakenterprise.com</t>
  </si>
  <si>
    <t>+91-9166739506</t>
  </si>
  <si>
    <t>CRM-00073</t>
  </si>
  <si>
    <t>Nitin Malhotra</t>
  </si>
  <si>
    <t>TechAxis Systems</t>
  </si>
  <si>
    <t>nitin.malhotra@techaxissystems.com</t>
  </si>
  <si>
    <t>+91-8958130994</t>
  </si>
  <si>
    <t>CRM-00074</t>
  </si>
  <si>
    <t>Pooja Joshi</t>
  </si>
  <si>
    <t>EduCore Labs</t>
  </si>
  <si>
    <t>pooja.joshi@educorelabs.com</t>
  </si>
  <si>
    <t>+91-7862750865</t>
  </si>
  <si>
    <t>CRM-00075</t>
  </si>
  <si>
    <t>amit.iyer@skillforgeconsulti.com</t>
  </si>
  <si>
    <t>+91-8241437657</t>
  </si>
  <si>
    <t>CRM-00076</t>
  </si>
  <si>
    <t>InsightWave Consulting</t>
  </si>
  <si>
    <t>varun.khan@insightwaveconsult.com</t>
  </si>
  <si>
    <t>+91-8345397395</t>
  </si>
  <si>
    <t>CRM-00077</t>
  </si>
  <si>
    <t>Varun Jain</t>
  </si>
  <si>
    <t>varun.jain@urbanedgeventures.com</t>
  </si>
  <si>
    <t>+91-7805545471</t>
  </si>
  <si>
    <t>CRM-00078</t>
  </si>
  <si>
    <t>Sanya Jain</t>
  </si>
  <si>
    <t>sanya.jain@insightwaveservice.com</t>
  </si>
  <si>
    <t>+91-9981315305</t>
  </si>
  <si>
    <t>CRM-00079</t>
  </si>
  <si>
    <t>Rahul Mehta</t>
  </si>
  <si>
    <t>DataBridge Technologies</t>
  </si>
  <si>
    <t>rahul.mehta@databridgetechnolo.com</t>
  </si>
  <si>
    <t>+91-9855288373</t>
  </si>
  <si>
    <t>Ranchi</t>
  </si>
  <si>
    <t>CRM-00080</t>
  </si>
  <si>
    <t>Riya Gupta</t>
  </si>
  <si>
    <t>EduCore Group</t>
  </si>
  <si>
    <t>riya.gupta@educoregroup.com</t>
  </si>
  <si>
    <t>+91-9678540620</t>
  </si>
  <si>
    <t>Noida</t>
  </si>
  <si>
    <t>CRM-00081</t>
  </si>
  <si>
    <t>Nandini Iyer</t>
  </si>
  <si>
    <t>nandini.iyer@novagroup.com</t>
  </si>
  <si>
    <t>+91-8273882504</t>
  </si>
  <si>
    <t>CRM-00082</t>
  </si>
  <si>
    <t>Ritika Nair</t>
  </si>
  <si>
    <t>ritika.nair@urbanedgeanalytics.com</t>
  </si>
  <si>
    <t>+91-9968684643</t>
  </si>
  <si>
    <t>CRM-00083</t>
  </si>
  <si>
    <t>Pooja Bose</t>
  </si>
  <si>
    <t>pooja.bose@bluepeaktechnologi.com</t>
  </si>
  <si>
    <t>+91-8394699389</t>
  </si>
  <si>
    <t>CRM-00084</t>
  </si>
  <si>
    <t>Simran Joshi</t>
  </si>
  <si>
    <t>simran.joshi@urbanedgeservices.com</t>
  </si>
  <si>
    <t>+91-8356751146</t>
  </si>
  <si>
    <t>CRM-00085</t>
  </si>
  <si>
    <t>Shruti Mishra</t>
  </si>
  <si>
    <t>InsightWave Solutions</t>
  </si>
  <si>
    <t>shruti.mishra@insightwavesolutio.com</t>
  </si>
  <si>
    <t>+91-9269832847</t>
  </si>
  <si>
    <t>CRM-00086</t>
  </si>
  <si>
    <t>Varun Malhotra</t>
  </si>
  <si>
    <t>EduCore Technologies</t>
  </si>
  <si>
    <t>varun.malhotra@educoretechnologie.com</t>
  </si>
  <si>
    <t>+91-9688425627</t>
  </si>
  <si>
    <t>CRM-00087</t>
  </si>
  <si>
    <t>Ritika Malhotra</t>
  </si>
  <si>
    <t>CloudNest Solutions</t>
  </si>
  <si>
    <t>ritika.malhotra@cloudnestsolutions.com</t>
  </si>
  <si>
    <t>+91-8424053260</t>
  </si>
  <si>
    <t>CRM-00088</t>
  </si>
  <si>
    <t>BrightPath Systems</t>
  </si>
  <si>
    <t>shruti.mishra@brightpathsystems.com</t>
  </si>
  <si>
    <t>+91-7045863686</t>
  </si>
  <si>
    <t>CRM-00089</t>
  </si>
  <si>
    <t>Mohan Mishra</t>
  </si>
  <si>
    <t>mohan.mishra@finedgeventures.com</t>
  </si>
  <si>
    <t>+91-8737573848</t>
  </si>
  <si>
    <t>CRM-00090</t>
  </si>
  <si>
    <t>Aditi Kapoor</t>
  </si>
  <si>
    <t>aditi.kapoor@educoregroup.com</t>
  </si>
  <si>
    <t>+91-7305348498</t>
  </si>
  <si>
    <t>CRM-00091</t>
  </si>
  <si>
    <t>Pooja Agarwal</t>
  </si>
  <si>
    <t>pooja.agarwal@insightwaveservice.com</t>
  </si>
  <si>
    <t>+91-8413531253</t>
  </si>
  <si>
    <t>CRM-00092</t>
  </si>
  <si>
    <t>Isha Sharma</t>
  </si>
  <si>
    <t>isha.sharma@insightwaveanalyti.com</t>
  </si>
  <si>
    <t>+91-9722029324</t>
  </si>
  <si>
    <t>CRM-00093</t>
  </si>
  <si>
    <t>Pooja Gupta</t>
  </si>
  <si>
    <t>FinEdge Analytics</t>
  </si>
  <si>
    <t>pooja.gupta@finedgeanalytics.com</t>
  </si>
  <si>
    <t>+91-7615233793</t>
  </si>
  <si>
    <t>CRM-00094</t>
  </si>
  <si>
    <t>Divya Rao</t>
  </si>
  <si>
    <t>CloudNest Labs</t>
  </si>
  <si>
    <t>divya.rao@cloudnestlabs.com</t>
  </si>
  <si>
    <t>+91-7469183248</t>
  </si>
  <si>
    <t>CRM-00095</t>
  </si>
  <si>
    <t>Nandini Joshi</t>
  </si>
  <si>
    <t>SkillForge Labs</t>
  </si>
  <si>
    <t>nandini.joshi@skillforgelabs.com</t>
  </si>
  <si>
    <t>+91-8861762767</t>
  </si>
  <si>
    <t>CRM-00096</t>
  </si>
  <si>
    <t>EduCore Consulting</t>
  </si>
  <si>
    <t>pooja.agarwal@educoreconsulting.com</t>
  </si>
  <si>
    <t>+91-8279667307</t>
  </si>
  <si>
    <t>CRM-00097</t>
  </si>
  <si>
    <t>Nova Services</t>
  </si>
  <si>
    <t>kavya.chopra@novaservices.com</t>
  </si>
  <si>
    <t>+91-7591474653</t>
  </si>
  <si>
    <t>CRM-00098</t>
  </si>
  <si>
    <t>deepak.chopra@educoreconsulting.com</t>
  </si>
  <si>
    <t>+91-9350236145</t>
  </si>
  <si>
    <t>CRM-00099</t>
  </si>
  <si>
    <t>Sanya Rao</t>
  </si>
  <si>
    <t>BrightPath Ventures</t>
  </si>
  <si>
    <t>sanya.rao@brightpathventures.com</t>
  </si>
  <si>
    <t>+91-7744237840</t>
  </si>
  <si>
    <t>CRM-00100</t>
  </si>
  <si>
    <t>Shruti Agarwal</t>
  </si>
  <si>
    <t>shruti.agarwal@novagroup.com</t>
  </si>
  <si>
    <t>+91-7160662828</t>
  </si>
  <si>
    <t>CRM-00101</t>
  </si>
  <si>
    <t>TechAxis Labs</t>
  </si>
  <si>
    <t>ritika.nair@techaxislabs.com</t>
  </si>
  <si>
    <t>+91-7414927791</t>
  </si>
  <si>
    <t>CRM-00102</t>
  </si>
  <si>
    <t>Neha Das</t>
  </si>
  <si>
    <t>DataBridge Consulting</t>
  </si>
  <si>
    <t>neha.das@databridgeconsulti.com</t>
  </si>
  <si>
    <t>+91-7046494441</t>
  </si>
  <si>
    <t>CRM-00103</t>
  </si>
  <si>
    <t>SkillForge Systems</t>
  </si>
  <si>
    <t>amit.mehta@skillforgesystems.com</t>
  </si>
  <si>
    <t>+91-9111340349</t>
  </si>
  <si>
    <t>CRM-00104</t>
  </si>
  <si>
    <t>Kavya Mehta</t>
  </si>
  <si>
    <t>kavya.mehta@educoregroup.com</t>
  </si>
  <si>
    <t>+91-8425324909</t>
  </si>
  <si>
    <t>CRM-00105</t>
  </si>
  <si>
    <t>Nitin Chopra</t>
  </si>
  <si>
    <t>nitin.chopra@bluepeaktechnologi.com</t>
  </si>
  <si>
    <t>+91-9504024727</t>
  </si>
  <si>
    <t>CRM-00106</t>
  </si>
  <si>
    <t>Varun Singh</t>
  </si>
  <si>
    <t>varun.singh@brightpathsystems.com</t>
  </si>
  <si>
    <t>+91-8410680996</t>
  </si>
  <si>
    <t>CRM-00107</t>
  </si>
  <si>
    <t>Pooja Nair</t>
  </si>
  <si>
    <t>pooja.nair@bluepeaklabs.com</t>
  </si>
  <si>
    <t>+91-9694533079</t>
  </si>
  <si>
    <t>CRM-00108</t>
  </si>
  <si>
    <t>Sanya Das</t>
  </si>
  <si>
    <t>sanya.das@urbanedgeconsultin.com</t>
  </si>
  <si>
    <t>+91-9827851201</t>
  </si>
  <si>
    <t>CRM-00109</t>
  </si>
  <si>
    <t>Tanvi Singh</t>
  </si>
  <si>
    <t>tanvi.singh@mediplussystems.com</t>
  </si>
  <si>
    <t>+91-9886762517</t>
  </si>
  <si>
    <t>CRM-00110</t>
  </si>
  <si>
    <t>Shruti Saxena</t>
  </si>
  <si>
    <t>shruti.saxena@novatechnologies.com</t>
  </si>
  <si>
    <t>+91-8443033767</t>
  </si>
  <si>
    <t>CRM-00111</t>
  </si>
  <si>
    <t>Karan Mehta</t>
  </si>
  <si>
    <t>karan.mehta@novaanalytics.com</t>
  </si>
  <si>
    <t>+91-8761532701</t>
  </si>
  <si>
    <t>CRM-00112</t>
  </si>
  <si>
    <t>Kavya Khan</t>
  </si>
  <si>
    <t>BrightPath Labs</t>
  </si>
  <si>
    <t>kavya.khan@brightpathlabs.com</t>
  </si>
  <si>
    <t>+91-7439836120</t>
  </si>
  <si>
    <t>CRM-00113</t>
  </si>
  <si>
    <t>Mehak Mehta</t>
  </si>
  <si>
    <t>mehak.mehta@marketpulsegroup.com</t>
  </si>
  <si>
    <t>+91-8758086474</t>
  </si>
  <si>
    <t>CRM-00114</t>
  </si>
  <si>
    <t>Amit Sharma</t>
  </si>
  <si>
    <t>TechAxis Ventures</t>
  </si>
  <si>
    <t>amit.sharma@techaxisventures.com</t>
  </si>
  <si>
    <t>+91-7870072362</t>
  </si>
  <si>
    <t>CRM-00115</t>
  </si>
  <si>
    <t>BluePeak Solutions</t>
  </si>
  <si>
    <t>kavya.joshi@bluepeaksolutions.com</t>
  </si>
  <si>
    <t>+91-7520062065</t>
  </si>
  <si>
    <t>CRM-00116</t>
  </si>
  <si>
    <t>Mehak Khan</t>
  </si>
  <si>
    <t>UrbanEdge Enterprises</t>
  </si>
  <si>
    <t>mehak.khan@urbanedgeenterpris.com</t>
  </si>
  <si>
    <t>+91-9483849781</t>
  </si>
  <si>
    <t>CRM-00117</t>
  </si>
  <si>
    <t>Vivek Iyer</t>
  </si>
  <si>
    <t>vivek.iyer@primetechnologies.com</t>
  </si>
  <si>
    <t>+91-9911750639</t>
  </si>
  <si>
    <t>CRM-00118</t>
  </si>
  <si>
    <t>karan.mehta@marketpulselabs.com</t>
  </si>
  <si>
    <t>+91-8331843511</t>
  </si>
  <si>
    <t>CRM-00119</t>
  </si>
  <si>
    <t>Nitin Mehta</t>
  </si>
  <si>
    <t>nitin.mehta@urbanedgeventures.com</t>
  </si>
  <si>
    <t>+91-9450042097</t>
  </si>
  <si>
    <t>CRM-00120</t>
  </si>
  <si>
    <t>Manish Sharma</t>
  </si>
  <si>
    <t>manish.sharma@cloudnestgroup.com</t>
  </si>
  <si>
    <t>+91-8873479621</t>
  </si>
  <si>
    <t>CRM-00121</t>
  </si>
  <si>
    <t>divya.rao@databridgetechnolo.com</t>
  </si>
  <si>
    <t>+91-9636516456</t>
  </si>
  <si>
    <t>CRM-00122</t>
  </si>
  <si>
    <t>Pooja Verma</t>
  </si>
  <si>
    <t>pooja.verma@insightwavesolutio.com</t>
  </si>
  <si>
    <t>+91-9431383362</t>
  </si>
  <si>
    <t>CRM-00123</t>
  </si>
  <si>
    <t>Mehak Malhotra</t>
  </si>
  <si>
    <t>mehak.malhotra@growthlabenterpris.com</t>
  </si>
  <si>
    <t>+91-9967386944</t>
  </si>
  <si>
    <t>CRM-00124</t>
  </si>
  <si>
    <t>Aditi Chopra</t>
  </si>
  <si>
    <t>MediPlus Labs</t>
  </si>
  <si>
    <t>aditi.chopra@medipluslabs.com</t>
  </si>
  <si>
    <t>+91-7198775707</t>
  </si>
  <si>
    <t>CRM-00125</t>
  </si>
  <si>
    <t>pooja.joshi@finedgeventures.com</t>
  </si>
  <si>
    <t>+91-7204222037</t>
  </si>
  <si>
    <t>CRM-00126</t>
  </si>
  <si>
    <t>Amit Jain</t>
  </si>
  <si>
    <t>CloudNest Consulting</t>
  </si>
  <si>
    <t>amit.jain@cloudnestconsultin.com</t>
  </si>
  <si>
    <t>+91-8791572096</t>
  </si>
  <si>
    <t>CRM-00127</t>
  </si>
  <si>
    <t>Rahul Khan</t>
  </si>
  <si>
    <t>rahul.khan@techaxisgroup.com</t>
  </si>
  <si>
    <t>+91-8466265526</t>
  </si>
  <si>
    <t>CRM-00128</t>
  </si>
  <si>
    <t>Aditi Singh</t>
  </si>
  <si>
    <t>aditi.singh@mediplusservices.com</t>
  </si>
  <si>
    <t>+91-7035057060</t>
  </si>
  <si>
    <t>CRM-00129</t>
  </si>
  <si>
    <t>Harsh Rao</t>
  </si>
  <si>
    <t>DataBridge Enterprises</t>
  </si>
  <si>
    <t>harsh.rao@databridgeenterpri.com</t>
  </si>
  <si>
    <t>+91-9863538867</t>
  </si>
  <si>
    <t>CRM-00130</t>
  </si>
  <si>
    <t>UrbanEdge Systems</t>
  </si>
  <si>
    <t>siddharth.agarwal@urbanedgesystems.com</t>
  </si>
  <si>
    <t>+91-7499795194</t>
  </si>
  <si>
    <t>CRM-00131</t>
  </si>
  <si>
    <t>NextGen Analytics</t>
  </si>
  <si>
    <t>karan.singh@nextgenanalytics.com</t>
  </si>
  <si>
    <t>+91-7658890419</t>
  </si>
  <si>
    <t>CRM-00132</t>
  </si>
  <si>
    <t>Nandini Verma</t>
  </si>
  <si>
    <t>BluePeak Analytics</t>
  </si>
  <si>
    <t>nandini.verma@bluepeakanalytics.com</t>
  </si>
  <si>
    <t>+91-7343012578</t>
  </si>
  <si>
    <t>CRM-00133</t>
  </si>
  <si>
    <t>Shruti Kapoor</t>
  </si>
  <si>
    <t>SkillForge Technologies</t>
  </si>
  <si>
    <t>shruti.kapoor@skillforgetechnolo.com</t>
  </si>
  <si>
    <t>+91-7504833576</t>
  </si>
  <si>
    <t>CRM-00134</t>
  </si>
  <si>
    <t>manish.khan@brightpathenterpri.com</t>
  </si>
  <si>
    <t>+91-7042295517</t>
  </si>
  <si>
    <t>CRM-00135</t>
  </si>
  <si>
    <t>Vivek Joshi</t>
  </si>
  <si>
    <t>vivek.joshi@bluepeakanalytics.com</t>
  </si>
  <si>
    <t>+91-9435030208</t>
  </si>
  <si>
    <t>CRM-00136</t>
  </si>
  <si>
    <t>harsh.bose@novaanalytics.com</t>
  </si>
  <si>
    <t>+91-9457731642</t>
  </si>
  <si>
    <t>CRM-00137</t>
  </si>
  <si>
    <t>Deepak Sharma</t>
  </si>
  <si>
    <t>deepak.sharma@educoreventures.com</t>
  </si>
  <si>
    <t>+91-9770844846</t>
  </si>
  <si>
    <t>CRM-00138</t>
  </si>
  <si>
    <t>Rahul Verma</t>
  </si>
  <si>
    <t>rahul.verma@insightwavesystems.com</t>
  </si>
  <si>
    <t>+91-8100491393</t>
  </si>
  <si>
    <t>CRM-00139</t>
  </si>
  <si>
    <t>Manish Chopra</t>
  </si>
  <si>
    <t>manish.chopra@novaenterprises.com</t>
  </si>
  <si>
    <t>+91-7047681017</t>
  </si>
  <si>
    <t>CRM-00140</t>
  </si>
  <si>
    <t>Nitin Das</t>
  </si>
  <si>
    <t>CloudNest Services</t>
  </si>
  <si>
    <t>nitin.das@cloudnestservices.com</t>
  </si>
  <si>
    <t>+91-8112464963</t>
  </si>
  <si>
    <t>CRM-00141</t>
  </si>
  <si>
    <t>Deepak Mishra</t>
  </si>
  <si>
    <t>GrowthLab Analytics</t>
  </si>
  <si>
    <t>deepak.mishra@growthlabanalytics.com</t>
  </si>
  <si>
    <t>+91-8530415853</t>
  </si>
  <si>
    <t>CRM-00142</t>
  </si>
  <si>
    <t>ritika.nair@databridgeenterpri.com</t>
  </si>
  <si>
    <t>+91-9821240718</t>
  </si>
  <si>
    <t>CRM-00143</t>
  </si>
  <si>
    <t>Abhishek Chopra</t>
  </si>
  <si>
    <t>SkillForge Ventures</t>
  </si>
  <si>
    <t>abhishek.chopra@skillforgeventures.com</t>
  </si>
  <si>
    <t>+91-7368731233</t>
  </si>
  <si>
    <t>CRM-00144</t>
  </si>
  <si>
    <t>Pooja Mishra</t>
  </si>
  <si>
    <t>pooja.mishra@primeanalytics.com</t>
  </si>
  <si>
    <t>+91-8058086779</t>
  </si>
  <si>
    <t>CRM-00145</t>
  </si>
  <si>
    <t>Divya Das</t>
  </si>
  <si>
    <t>divya.das@primeanalytics.com</t>
  </si>
  <si>
    <t>+91-7375980331</t>
  </si>
  <si>
    <t>CRM-00146</t>
  </si>
  <si>
    <t>SkillForge Services</t>
  </si>
  <si>
    <t>amit.sharma@skillforgeservices.com</t>
  </si>
  <si>
    <t>+91-9794787829</t>
  </si>
  <si>
    <t>CRM-00147</t>
  </si>
  <si>
    <t>Mohan Joshi</t>
  </si>
  <si>
    <t>mohan.joshi@urbanedgesystems.com</t>
  </si>
  <si>
    <t>+91-8018068677</t>
  </si>
  <si>
    <t>CRM-00148</t>
  </si>
  <si>
    <t>Prime Enterprises</t>
  </si>
  <si>
    <t>aditi.kapoor@primeenterprises.com</t>
  </si>
  <si>
    <t>+91-9348085785</t>
  </si>
  <si>
    <t>CRM-00149</t>
  </si>
  <si>
    <t>NextGen Solutions</t>
  </si>
  <si>
    <t>manish.khan@nextgensolutions.com</t>
  </si>
  <si>
    <t>+91-7932838084</t>
  </si>
  <si>
    <t>CRM-00150</t>
  </si>
  <si>
    <t>Simran Das</t>
  </si>
  <si>
    <t>SkillForge Group</t>
  </si>
  <si>
    <t>simran.das@skillforgegroup.com</t>
  </si>
  <si>
    <t>+91-7096240676</t>
  </si>
  <si>
    <t>CRM-00151</t>
  </si>
  <si>
    <t>Vivek Malhotra</t>
  </si>
  <si>
    <t>vivek.malhotra@cloudnestconsultin.com</t>
  </si>
  <si>
    <t>+91-8551271782</t>
  </si>
  <si>
    <t>CRM-00152</t>
  </si>
  <si>
    <t>Simran Kapoor</t>
  </si>
  <si>
    <t>simran.kapoor@growthlablabs.com</t>
  </si>
  <si>
    <t>+91-9444939531</t>
  </si>
  <si>
    <t>CRM-00153</t>
  </si>
  <si>
    <t>Rakesh Saxena</t>
  </si>
  <si>
    <t>UrbanEdge Group</t>
  </si>
  <si>
    <t>rakesh.saxena@urbanedgegroup.com</t>
  </si>
  <si>
    <t>+91-8171971522</t>
  </si>
  <si>
    <t>CRM-00154</t>
  </si>
  <si>
    <t>Isha Saxena</t>
  </si>
  <si>
    <t>isha.saxena@urbanedgeanalytics.com</t>
  </si>
  <si>
    <t>+91-8090795568</t>
  </si>
  <si>
    <t>CRM-00155</t>
  </si>
  <si>
    <t>Riya Saxena</t>
  </si>
  <si>
    <t>riya.saxena@brightpathsystems.com</t>
  </si>
  <si>
    <t>+91-8125925082</t>
  </si>
  <si>
    <t>CRM-00156</t>
  </si>
  <si>
    <t>Karan Das</t>
  </si>
  <si>
    <t>karan.das@skillforgeanalytic.com</t>
  </si>
  <si>
    <t>+91-9000494902</t>
  </si>
  <si>
    <t>CRM-00157</t>
  </si>
  <si>
    <t>mohan.joshi@skillforgetechnolo.com</t>
  </si>
  <si>
    <t>+91-9112099539</t>
  </si>
  <si>
    <t>CRM-00158</t>
  </si>
  <si>
    <t>mansi.nair@novaservices.com</t>
  </si>
  <si>
    <t>+91-8856044148</t>
  </si>
  <si>
    <t>CRM-00159</t>
  </si>
  <si>
    <t>Suresh Malhotra</t>
  </si>
  <si>
    <t>suresh.malhotra@insightwaveanalyti.com</t>
  </si>
  <si>
    <t>+91-9705530806</t>
  </si>
  <si>
    <t>CRM-00160</t>
  </si>
  <si>
    <t>kavya.khan@nextgenconsulting.com</t>
  </si>
  <si>
    <t>+91-9476934334</t>
  </si>
  <si>
    <t>CRM-00161</t>
  </si>
  <si>
    <t>Ritika Joshi</t>
  </si>
  <si>
    <t>ritika.joshi@urbanedgegroup.com</t>
  </si>
  <si>
    <t>+91-9685225434</t>
  </si>
  <si>
    <t>CRM-00162</t>
  </si>
  <si>
    <t>Mehak Patel</t>
  </si>
  <si>
    <t>MediPlus Technologies</t>
  </si>
  <si>
    <t>mehak.patel@mediplustechnologi.com</t>
  </si>
  <si>
    <t>+91-7847870719</t>
  </si>
  <si>
    <t>CRM-00163</t>
  </si>
  <si>
    <t>Pooja Mehta</t>
  </si>
  <si>
    <t>pooja.mehta@insightwavesystems.com</t>
  </si>
  <si>
    <t>+91-9793981613</t>
  </si>
  <si>
    <t>CRM-00164</t>
  </si>
  <si>
    <t>Siddharth Khan</t>
  </si>
  <si>
    <t>siddharth.khan@nextgengroup.com</t>
  </si>
  <si>
    <t>+91-7240347583</t>
  </si>
  <si>
    <t>CRM-00165</t>
  </si>
  <si>
    <t>Suresh Nair</t>
  </si>
  <si>
    <t>suresh.nair@mediplusservices.com</t>
  </si>
  <si>
    <t>+91-8500853848</t>
  </si>
  <si>
    <t>CRM-00166</t>
  </si>
  <si>
    <t>Isha Nair</t>
  </si>
  <si>
    <t>isha.nair@growthlabsolutions.com</t>
  </si>
  <si>
    <t>+91-7069792922</t>
  </si>
  <si>
    <t>CRM-00167</t>
  </si>
  <si>
    <t>Nandini Nair</t>
  </si>
  <si>
    <t>MarketPulse Enterprises</t>
  </si>
  <si>
    <t>nandini.nair@marketpulseenterpr.com</t>
  </si>
  <si>
    <t>+91-7251856652</t>
  </si>
  <si>
    <t>CRM-00168</t>
  </si>
  <si>
    <t>Mohan Mehta</t>
  </si>
  <si>
    <t>mohan.mehta@urbanedgeenterpris.com</t>
  </si>
  <si>
    <t>+91-7692061258</t>
  </si>
  <si>
    <t>CRM-00169</t>
  </si>
  <si>
    <t>Varun Verma</t>
  </si>
  <si>
    <t>varun.verma@finedgeanalytics.com</t>
  </si>
  <si>
    <t>+91-8293290794</t>
  </si>
  <si>
    <t>CRM-00170</t>
  </si>
  <si>
    <t>Aditi Agarwal</t>
  </si>
  <si>
    <t>aditi.agarwal@educoresystems.com</t>
  </si>
  <si>
    <t>+91-9577510051</t>
  </si>
  <si>
    <t>CRM-00171</t>
  </si>
  <si>
    <t>Mansi Singh</t>
  </si>
  <si>
    <t>mansi.singh@skillforgetechnolo.com</t>
  </si>
  <si>
    <t>+91-9921442884</t>
  </si>
  <si>
    <t>CRM-00172</t>
  </si>
  <si>
    <t>Arjun Patel</t>
  </si>
  <si>
    <t>arjun.patel@novagroup.com</t>
  </si>
  <si>
    <t>+91-7149374441</t>
  </si>
  <si>
    <t>CRM-00173</t>
  </si>
  <si>
    <t>Isha Das</t>
  </si>
  <si>
    <t>isha.das@marketpulseenterpr.com</t>
  </si>
  <si>
    <t>+91-7497735968</t>
  </si>
  <si>
    <t>CRM-00174</t>
  </si>
  <si>
    <t>Suresh Agarwal</t>
  </si>
  <si>
    <t>suresh.agarwal@novaanalytics.com</t>
  </si>
  <si>
    <t>+91-9844261211</t>
  </si>
  <si>
    <t>CRM-00175</t>
  </si>
  <si>
    <t>aditi.das@urbanedgeanalytics.com</t>
  </si>
  <si>
    <t>+91-7580893781</t>
  </si>
  <si>
    <t>CRM-00176</t>
  </si>
  <si>
    <t>SkillForge Enterprises</t>
  </si>
  <si>
    <t>harsh.bose@skillforgeenterpri.com</t>
  </si>
  <si>
    <t>+91-7599071114</t>
  </si>
  <si>
    <t>CRM-00177</t>
  </si>
  <si>
    <t>sanya.jain@techaxislabs.com</t>
  </si>
  <si>
    <t>+91-9861724330</t>
  </si>
  <si>
    <t>CRM-00178</t>
  </si>
  <si>
    <t>Karan Patel</t>
  </si>
  <si>
    <t>MediPlus Solutions</t>
  </si>
  <si>
    <t>karan.patel@mediplussolutions.com</t>
  </si>
  <si>
    <t>+91-7186117962</t>
  </si>
  <si>
    <t>CRM-00179</t>
  </si>
  <si>
    <t>Manish Saxena</t>
  </si>
  <si>
    <t>manish.saxena@mediplussolutions.com</t>
  </si>
  <si>
    <t>+91-8954379841</t>
  </si>
  <si>
    <t>CRM-00180</t>
  </si>
  <si>
    <t>Manish Kapoor</t>
  </si>
  <si>
    <t>CloudNest Enterprises</t>
  </si>
  <si>
    <t>manish.kapoor@cloudnestenterpris.com</t>
  </si>
  <si>
    <t>+91-8242697100</t>
  </si>
  <si>
    <t>CRM-00181</t>
  </si>
  <si>
    <t>Isha Singh</t>
  </si>
  <si>
    <t>NextGen Technologies</t>
  </si>
  <si>
    <t>isha.singh@nextgentechnologie.com</t>
  </si>
  <si>
    <t>+91-7741521735</t>
  </si>
  <si>
    <t>CRM-00182</t>
  </si>
  <si>
    <t>Karan Iyer</t>
  </si>
  <si>
    <t>BrightPath Technologies</t>
  </si>
  <si>
    <t>karan.iyer@brightpathtechnolo.com</t>
  </si>
  <si>
    <t>+91-8571893993</t>
  </si>
  <si>
    <t>CRM-00183</t>
  </si>
  <si>
    <t>nitin.rao@databridgeenterpri.com</t>
  </si>
  <si>
    <t>+91-8529874393</t>
  </si>
  <si>
    <t>CRM-00184</t>
  </si>
  <si>
    <t>Vivek Mishra</t>
  </si>
  <si>
    <t>vivek.mishra@marketpulsesolutio.com</t>
  </si>
  <si>
    <t>+91-8980570090</t>
  </si>
  <si>
    <t>CRM-00185</t>
  </si>
  <si>
    <t>Kavya Rao</t>
  </si>
  <si>
    <t>Prime Solutions</t>
  </si>
  <si>
    <t>kavya.rao@primesolutions.com</t>
  </si>
  <si>
    <t>+91-8932873844</t>
  </si>
  <si>
    <t>CRM-00186</t>
  </si>
  <si>
    <t>riya.patel@medipluslabs.com</t>
  </si>
  <si>
    <t>+91-8743686292</t>
  </si>
  <si>
    <t>CRM-00187</t>
  </si>
  <si>
    <t>Riya Chopra</t>
  </si>
  <si>
    <t>MediPlus Consulting</t>
  </si>
  <si>
    <t>riya.chopra@mediplusconsulting.com</t>
  </si>
  <si>
    <t>+91-8987064559</t>
  </si>
  <si>
    <t>CRM-00188</t>
  </si>
  <si>
    <t>Rakesh Kapoor</t>
  </si>
  <si>
    <t>rakesh.kapoor@mediplusservices.com</t>
  </si>
  <si>
    <t>+91-9169666358</t>
  </si>
  <si>
    <t>CRM-00189</t>
  </si>
  <si>
    <t>Arjun Bose</t>
  </si>
  <si>
    <t>EduCore Services</t>
  </si>
  <si>
    <t>arjun.bose@educoreservices.com</t>
  </si>
  <si>
    <t>+91-9404972443</t>
  </si>
  <si>
    <t>CRM-00190</t>
  </si>
  <si>
    <t>Deepak Malhotra</t>
  </si>
  <si>
    <t>deepak.malhotra@mediplussolutions.com</t>
  </si>
  <si>
    <t>+91-8699479526</t>
  </si>
  <si>
    <t>CRM-00191</t>
  </si>
  <si>
    <t>arjun.patel@educoreservices.com</t>
  </si>
  <si>
    <t>+91-8778678810</t>
  </si>
  <si>
    <t>CRM-00192</t>
  </si>
  <si>
    <t>Amit Saxena</t>
  </si>
  <si>
    <t>amit.saxena@brightpathgroup.com</t>
  </si>
  <si>
    <t>+91-8444120855</t>
  </si>
  <si>
    <t>CRM-00193</t>
  </si>
  <si>
    <t>Suresh Das</t>
  </si>
  <si>
    <t>suresh.das@databridgeservices.com</t>
  </si>
  <si>
    <t>+91-9344965406</t>
  </si>
  <si>
    <t>CRM-00194</t>
  </si>
  <si>
    <t>harsh.bose@insightwavelabs.com</t>
  </si>
  <si>
    <t>+91-8931647351</t>
  </si>
  <si>
    <t>CRM-00195</t>
  </si>
  <si>
    <t>Arjun Verma</t>
  </si>
  <si>
    <t>arjun.verma@nextgentechnologie.com</t>
  </si>
  <si>
    <t>+91-8292210707</t>
  </si>
  <si>
    <t>CRM-00196</t>
  </si>
  <si>
    <t>TechAxis Consulting</t>
  </si>
  <si>
    <t>divya.rao@techaxisconsulting.com</t>
  </si>
  <si>
    <t>+91-7509143770</t>
  </si>
  <si>
    <t>CRM-00197</t>
  </si>
  <si>
    <t>manish.saxena@insightwavelabs.com</t>
  </si>
  <si>
    <t>+91-7852276812</t>
  </si>
  <si>
    <t>CRM-00198</t>
  </si>
  <si>
    <t>Aditi Rao</t>
  </si>
  <si>
    <t>aditi.rao@databridgeservices.com</t>
  </si>
  <si>
    <t>+91-7957397726</t>
  </si>
  <si>
    <t>CRM-00199</t>
  </si>
  <si>
    <t>Rakesh Iyer</t>
  </si>
  <si>
    <t>EduCore Enterprises</t>
  </si>
  <si>
    <t>rakesh.iyer@educoreenterprises.com</t>
  </si>
  <si>
    <t>+91-9657316139</t>
  </si>
  <si>
    <t>CRM-00200</t>
  </si>
  <si>
    <t>Ritika Das</t>
  </si>
  <si>
    <t>Prime Services</t>
  </si>
  <si>
    <t>ritika.das@primeservices.com</t>
  </si>
  <si>
    <t>+91-8114032606</t>
  </si>
  <si>
    <t>CRM-00201</t>
  </si>
  <si>
    <t>suresh.nair@cloudnesttechnolog.com</t>
  </si>
  <si>
    <t>+91-9909782798</t>
  </si>
  <si>
    <t>CRM-00202</t>
  </si>
  <si>
    <t>Divya Singh</t>
  </si>
  <si>
    <t>divya.singh@brightpathsystems.com</t>
  </si>
  <si>
    <t>+91-7372513572</t>
  </si>
  <si>
    <t>CRM-00203</t>
  </si>
  <si>
    <t>Neha Mishra</t>
  </si>
  <si>
    <t>neha.mishra@bluepeakanalytics.com</t>
  </si>
  <si>
    <t>+91-7338665092</t>
  </si>
  <si>
    <t>CRM-00204</t>
  </si>
  <si>
    <t>Rahul Agarwal</t>
  </si>
  <si>
    <t>rahul.agarwal@urbanedgeconsultin.com</t>
  </si>
  <si>
    <t>+91-9193941531</t>
  </si>
  <si>
    <t>CRM-00205</t>
  </si>
  <si>
    <t>neha.das@bluepeaktechnologi.com</t>
  </si>
  <si>
    <t>+91-9192484041</t>
  </si>
  <si>
    <t>CRM-00206</t>
  </si>
  <si>
    <t>varun.iyer@educorelabs.com</t>
  </si>
  <si>
    <t>+91-8072144545</t>
  </si>
  <si>
    <t>CRM-00207</t>
  </si>
  <si>
    <t>Amit Joshi</t>
  </si>
  <si>
    <t>FinEdge Solutions</t>
  </si>
  <si>
    <t>amit.joshi@finedgesolutions.com</t>
  </si>
  <si>
    <t>+91-8040543329</t>
  </si>
  <si>
    <t>CRM-00208</t>
  </si>
  <si>
    <t>Tanvi Malhotra</t>
  </si>
  <si>
    <t>NextGen Services</t>
  </si>
  <si>
    <t>tanvi.malhotra@nextgenservices.com</t>
  </si>
  <si>
    <t>+91-9802425746</t>
  </si>
  <si>
    <t>CRM-00209</t>
  </si>
  <si>
    <t>FinEdge Group</t>
  </si>
  <si>
    <t>ritika.das@finedgegroup.com</t>
  </si>
  <si>
    <t>+91-7478853979</t>
  </si>
  <si>
    <t>CRM-00210</t>
  </si>
  <si>
    <t>Divya Saxena</t>
  </si>
  <si>
    <t>divya.saxena@insightwavesystems.com</t>
  </si>
  <si>
    <t>+91-8745062359</t>
  </si>
  <si>
    <t>CRM-00211</t>
  </si>
  <si>
    <t>Neha Iyer</t>
  </si>
  <si>
    <t>SkillForge Solutions</t>
  </si>
  <si>
    <t>neha.iyer@skillforgesolution.com</t>
  </si>
  <si>
    <t>+91-8774160842</t>
  </si>
  <si>
    <t>CRM-00212</t>
  </si>
  <si>
    <t>Manish Verma</t>
  </si>
  <si>
    <t>manish.verma@nextgenservices.com</t>
  </si>
  <si>
    <t>+91-8577279423</t>
  </si>
  <si>
    <t>CRM-00213</t>
  </si>
  <si>
    <t>Divya Bose</t>
  </si>
  <si>
    <t>divya.bose@novaservices.com</t>
  </si>
  <si>
    <t>+91-8304921215</t>
  </si>
  <si>
    <t>CRM-00214</t>
  </si>
  <si>
    <t>Riya Rao</t>
  </si>
  <si>
    <t>CloudNest Systems</t>
  </si>
  <si>
    <t>riya.rao@cloudnestsystems.com</t>
  </si>
  <si>
    <t>+91-8495166668</t>
  </si>
  <si>
    <t>CRM-00215</t>
  </si>
  <si>
    <t>Nitin Saxena</t>
  </si>
  <si>
    <t>nitin.saxena@primeservices.com</t>
  </si>
  <si>
    <t>+91-7551922678</t>
  </si>
  <si>
    <t>CRM-00216</t>
  </si>
  <si>
    <t>Shruti Joshi</t>
  </si>
  <si>
    <t>BluePeak Group</t>
  </si>
  <si>
    <t>shruti.joshi@bluepeakgroup.com</t>
  </si>
  <si>
    <t>+91-8828272558</t>
  </si>
  <si>
    <t>CRM-00217</t>
  </si>
  <si>
    <t>Rakesh Rao</t>
  </si>
  <si>
    <t>rakesh.rao@primetechnologies.com</t>
  </si>
  <si>
    <t>+91-9525352397</t>
  </si>
  <si>
    <t>CRM-00218</t>
  </si>
  <si>
    <t>Rakesh Patel</t>
  </si>
  <si>
    <t>rakesh.patel@mediplustechnologi.com</t>
  </si>
  <si>
    <t>+91-8346040950</t>
  </si>
  <si>
    <t>CRM-00219</t>
  </si>
  <si>
    <t>Ritika Iyer</t>
  </si>
  <si>
    <t>ritika.iyer@medipluslabs.com</t>
  </si>
  <si>
    <t>+91-8812787244</t>
  </si>
  <si>
    <t>CRM-00220</t>
  </si>
  <si>
    <t>shruti.kapoor@finedgetechnologie.com</t>
  </si>
  <si>
    <t>+91-7664080536</t>
  </si>
  <si>
    <t>CRM-00221</t>
  </si>
  <si>
    <t>Nandini Kapoor</t>
  </si>
  <si>
    <t>FinEdge Services</t>
  </si>
  <si>
    <t>nandini.kapoor@finedgeservices.com</t>
  </si>
  <si>
    <t>+91-9603055881</t>
  </si>
  <si>
    <t>CRM-00222</t>
  </si>
  <si>
    <t>Karan Nair</t>
  </si>
  <si>
    <t>karan.nair@educoreenterprises.com</t>
  </si>
  <si>
    <t>+91-9572726508</t>
  </si>
  <si>
    <t>CRM-00223</t>
  </si>
  <si>
    <t>Ritika Verma</t>
  </si>
  <si>
    <t>Prime Labs</t>
  </si>
  <si>
    <t>ritika.verma@primelabs.com</t>
  </si>
  <si>
    <t>+91-9280995407</t>
  </si>
  <si>
    <t>CRM-00224</t>
  </si>
  <si>
    <t>Mansi Iyer</t>
  </si>
  <si>
    <t>InsightWave Enterprises</t>
  </si>
  <si>
    <t>mansi.iyer@insightwaveenterpr.com</t>
  </si>
  <si>
    <t>+91-7301046801</t>
  </si>
  <si>
    <t>CRM-00225</t>
  </si>
  <si>
    <t>kavya.rao@primeenterprises.com</t>
  </si>
  <si>
    <t>+91-9929065711</t>
  </si>
  <si>
    <t>CRM-00226</t>
  </si>
  <si>
    <t>Prime Ventures</t>
  </si>
  <si>
    <t>karan.mehta@primeventures.com</t>
  </si>
  <si>
    <t>+91-9904439247</t>
  </si>
  <si>
    <t>CRM-00227</t>
  </si>
  <si>
    <t>Tanvi Gupta</t>
  </si>
  <si>
    <t>DataBridge Group</t>
  </si>
  <si>
    <t>tanvi.gupta@databridgegroup.com</t>
  </si>
  <si>
    <t>+91-9221143688</t>
  </si>
  <si>
    <t>CRM-00228</t>
  </si>
  <si>
    <t>Riya Verma</t>
  </si>
  <si>
    <t>riya.verma@marketpulselabs.com</t>
  </si>
  <si>
    <t>+91-7779057219</t>
  </si>
  <si>
    <t>No Response</t>
  </si>
  <si>
    <t>CRM-00229</t>
  </si>
  <si>
    <t>Deepak Patel</t>
  </si>
  <si>
    <t>deepak.patel@medipluslabs.com</t>
  </si>
  <si>
    <t>+91-7244654323</t>
  </si>
  <si>
    <t>CRM-00230</t>
  </si>
  <si>
    <t>kavya.nair@skillforgelabs.com</t>
  </si>
  <si>
    <t>+91-9009835042</t>
  </si>
  <si>
    <t>CRM-00231</t>
  </si>
  <si>
    <t>divya.das@techaxisventures.com</t>
  </si>
  <si>
    <t>+91-9592096120</t>
  </si>
  <si>
    <t>CRM-00232</t>
  </si>
  <si>
    <t>Vivek Rao</t>
  </si>
  <si>
    <t>Nova Consulting</t>
  </si>
  <si>
    <t>vivek.rao@novaconsulting.com</t>
  </si>
  <si>
    <t>+91-9134391993</t>
  </si>
  <si>
    <t>CRM-00233</t>
  </si>
  <si>
    <t>Siddharth Malhotra</t>
  </si>
  <si>
    <t>siddharth.malhotra@urbanedgetechnolog.com</t>
  </si>
  <si>
    <t>+91-8447154654</t>
  </si>
  <si>
    <t>CRM-00234</t>
  </si>
  <si>
    <t>Amit Singh</t>
  </si>
  <si>
    <t>GrowthLab Consulting</t>
  </si>
  <si>
    <t>amit.singh@growthlabconsultin.com</t>
  </si>
  <si>
    <t>+91-7823311188</t>
  </si>
  <si>
    <t>CRM-00235</t>
  </si>
  <si>
    <t>Ritika Mehta</t>
  </si>
  <si>
    <t>GrowthLab Services</t>
  </si>
  <si>
    <t>ritika.mehta@growthlabservices.com</t>
  </si>
  <si>
    <t>+91-9050374801</t>
  </si>
  <si>
    <t>CRM-00236</t>
  </si>
  <si>
    <t>Mehak Verma</t>
  </si>
  <si>
    <t>mehak.verma@bluepeaksolutions.com</t>
  </si>
  <si>
    <t>+91-7699085022</t>
  </si>
  <si>
    <t>CRM-00237</t>
  </si>
  <si>
    <t>pooja.bose@skillforgegroup.com</t>
  </si>
  <si>
    <t>+91-9605247377</t>
  </si>
  <si>
    <t>CRM-00238</t>
  </si>
  <si>
    <t>Neha Gupta</t>
  </si>
  <si>
    <t>neha.gupta@primeenterprises.com</t>
  </si>
  <si>
    <t>+91-9630711119</t>
  </si>
  <si>
    <t>CRM-00239</t>
  </si>
  <si>
    <t>Rahul Das</t>
  </si>
  <si>
    <t>NextGen Enterprises</t>
  </si>
  <si>
    <t>rahul.das@nextgenenterprises.com</t>
  </si>
  <si>
    <t>+91-8081591821</t>
  </si>
  <si>
    <t>CRM-00240</t>
  </si>
  <si>
    <t>Abhishek Mehta</t>
  </si>
  <si>
    <t>abhishek.mehta@nextgentechnologie.com</t>
  </si>
  <si>
    <t>+91-8130270656</t>
  </si>
  <si>
    <t>CRM-00241</t>
  </si>
  <si>
    <t>Riya Kapoor</t>
  </si>
  <si>
    <t>riya.kapoor@bluepeakenterprise.com</t>
  </si>
  <si>
    <t>+91-9237645028</t>
  </si>
  <si>
    <t>CRM-00242</t>
  </si>
  <si>
    <t>Abhishek Saxena</t>
  </si>
  <si>
    <t>abhishek.saxena@novaenterprises.com</t>
  </si>
  <si>
    <t>+91-7263817582</t>
  </si>
  <si>
    <t>CRM-00243</t>
  </si>
  <si>
    <t>Harsh Iyer</t>
  </si>
  <si>
    <t>harsh.iyer@insightwavetechnol.com</t>
  </si>
  <si>
    <t>+91-8787280143</t>
  </si>
  <si>
    <t>CRM-00244</t>
  </si>
  <si>
    <t>neha.mishra@urbanedgesystems.com</t>
  </si>
  <si>
    <t>+91-9137449515</t>
  </si>
  <si>
    <t>CRM-00245</t>
  </si>
  <si>
    <t>sanya.jain@skillforgeservices.com</t>
  </si>
  <si>
    <t>+91-8545449443</t>
  </si>
  <si>
    <t>CRM-00246</t>
  </si>
  <si>
    <t>Vivek Khan</t>
  </si>
  <si>
    <t>vivek.khan@growthlabservices.com</t>
  </si>
  <si>
    <t>+91-8090698393</t>
  </si>
  <si>
    <t>CRM-00247</t>
  </si>
  <si>
    <t>DataBridge Analytics</t>
  </si>
  <si>
    <t>isha.sharma@databridgeanalytic.com</t>
  </si>
  <si>
    <t>+91-8113721796</t>
  </si>
  <si>
    <t>CRM-00248</t>
  </si>
  <si>
    <t>Nandini Jain</t>
  </si>
  <si>
    <t>NextGen Ventures</t>
  </si>
  <si>
    <t>nandini.jain@nextgenventures.com</t>
  </si>
  <si>
    <t>+91-7989762703</t>
  </si>
  <si>
    <t>CRM-00249</t>
  </si>
  <si>
    <t>nandini.verma@finedgelabs.com</t>
  </si>
  <si>
    <t>+91-7863235264</t>
  </si>
  <si>
    <t>CRM-00250</t>
  </si>
  <si>
    <t>Nandini Chopra</t>
  </si>
  <si>
    <t>nandini.chopra@skillforgesolution.com</t>
  </si>
  <si>
    <t>+91-7306724021</t>
  </si>
  <si>
    <t>CRM-00251</t>
  </si>
  <si>
    <t>divya.bose@techaxissystems.com</t>
  </si>
  <si>
    <t>+91-8904887176</t>
  </si>
  <si>
    <t>CRM-00252</t>
  </si>
  <si>
    <t>simran.joshi@growthlabenterpris.com</t>
  </si>
  <si>
    <t>+91-8419723399</t>
  </si>
  <si>
    <t>CRM-00253</t>
  </si>
  <si>
    <t>Aditi Iyer</t>
  </si>
  <si>
    <t>aditi.iyer@nextgenanalytics.com</t>
  </si>
  <si>
    <t>+91-8569720937</t>
  </si>
  <si>
    <t>CRM-00254</t>
  </si>
  <si>
    <t>neha.gupta@urbanedgesolutions.com</t>
  </si>
  <si>
    <t>+91-9175519168</t>
  </si>
  <si>
    <t>CRM-00255</t>
  </si>
  <si>
    <t>Mansi Joshi</t>
  </si>
  <si>
    <t>mansi.joshi@urbanedgeconsultin.com</t>
  </si>
  <si>
    <t>+91-7829252394</t>
  </si>
  <si>
    <t>CRM-00256</t>
  </si>
  <si>
    <t>Neha Nair</t>
  </si>
  <si>
    <t>neha.nair@techaxisventures.com</t>
  </si>
  <si>
    <t>+91-8265348717</t>
  </si>
  <si>
    <t>CRM-00257</t>
  </si>
  <si>
    <t>Neha Joshi</t>
  </si>
  <si>
    <t>neha.joshi@skillforgeconsulti.com</t>
  </si>
  <si>
    <t>+91-9392810795</t>
  </si>
  <si>
    <t>CRM-00258</t>
  </si>
  <si>
    <t>Deepak Iyer</t>
  </si>
  <si>
    <t>deepak.iyer@bluepeaktechnologi.com</t>
  </si>
  <si>
    <t>+91-7151676425</t>
  </si>
  <si>
    <t>CRM-00259</t>
  </si>
  <si>
    <t>mansi.singh@finedgeanalytics.com</t>
  </si>
  <si>
    <t>+91-9484269228</t>
  </si>
  <si>
    <t>CRM-00260</t>
  </si>
  <si>
    <t>Siddharth Singh</t>
  </si>
  <si>
    <t>siddharth.singh@primeconsulting.com</t>
  </si>
  <si>
    <t>+91-8232755386</t>
  </si>
  <si>
    <t>CRM-00261</t>
  </si>
  <si>
    <t>nitin.das@finedgeservices.com</t>
  </si>
  <si>
    <t>+91-7683165409</t>
  </si>
  <si>
    <t>CRM-00262</t>
  </si>
  <si>
    <t>Amit Verma</t>
  </si>
  <si>
    <t>amit.verma@skillforgegroup.com</t>
  </si>
  <si>
    <t>+91-9154083012</t>
  </si>
  <si>
    <t>CRM-00263</t>
  </si>
  <si>
    <t>Amit Bose</t>
  </si>
  <si>
    <t>amit.bose@primetechnologies.com</t>
  </si>
  <si>
    <t>+91-8985448601</t>
  </si>
  <si>
    <t>CRM-00264</t>
  </si>
  <si>
    <t>mehak.verma@techaxisgroup.com</t>
  </si>
  <si>
    <t>+91-9162751065</t>
  </si>
  <si>
    <t>CRM-00265</t>
  </si>
  <si>
    <t>Karan Gupta</t>
  </si>
  <si>
    <t>MarketPulse Services</t>
  </si>
  <si>
    <t>karan.gupta@marketpulseservice.com</t>
  </si>
  <si>
    <t>+91-9303423487</t>
  </si>
  <si>
    <t>CRM-00266</t>
  </si>
  <si>
    <t>NextGen Labs</t>
  </si>
  <si>
    <t>nandini.rao@nextgenlabs.com</t>
  </si>
  <si>
    <t>+91-8954017343</t>
  </si>
  <si>
    <t>CRM-00267</t>
  </si>
  <si>
    <t>Neha Chopra</t>
  </si>
  <si>
    <t>TechAxis Analytics</t>
  </si>
  <si>
    <t>neha.chopra@techaxisanalytics.com</t>
  </si>
  <si>
    <t>+91-9533581631</t>
  </si>
  <si>
    <t>CRM-00268</t>
  </si>
  <si>
    <t>nitin.chopra@finedgeanalytics.com</t>
  </si>
  <si>
    <t>+91-9537284522</t>
  </si>
  <si>
    <t>CRM-00269</t>
  </si>
  <si>
    <t>Karan Chopra</t>
  </si>
  <si>
    <t>karan.chopra@nextgensystems.com</t>
  </si>
  <si>
    <t>+91-8729765484</t>
  </si>
  <si>
    <t>CRM-00270</t>
  </si>
  <si>
    <t>Deepak Khan</t>
  </si>
  <si>
    <t>deepak.khan@nextgenservices.com</t>
  </si>
  <si>
    <t>+91-8820997571</t>
  </si>
  <si>
    <t>CRM-00271</t>
  </si>
  <si>
    <t>BrightPath Services</t>
  </si>
  <si>
    <t>mohan.saxena@brightpathservices.com</t>
  </si>
  <si>
    <t>+91-8906276924</t>
  </si>
  <si>
    <t>CRM-00272</t>
  </si>
  <si>
    <t>Mansi Chopra</t>
  </si>
  <si>
    <t>mansi.chopra@medipluslabs.com</t>
  </si>
  <si>
    <t>+91-9336774734</t>
  </si>
  <si>
    <t>CRM-00273</t>
  </si>
  <si>
    <t>mehak.joshi@bluepeakanalytics.com</t>
  </si>
  <si>
    <t>+91-8347467086</t>
  </si>
  <si>
    <t>CRM-00274</t>
  </si>
  <si>
    <t>Neha Saxena</t>
  </si>
  <si>
    <t>neha.saxena@finedgeventures.com</t>
  </si>
  <si>
    <t>+91-9618072411</t>
  </si>
  <si>
    <t>CRM-00275</t>
  </si>
  <si>
    <t>arjun.bose@skillforgeanalytic.com</t>
  </si>
  <si>
    <t>+91-8706466975</t>
  </si>
  <si>
    <t>CRM-00276</t>
  </si>
  <si>
    <t>mohan.saxena@finedgeventures.com</t>
  </si>
  <si>
    <t>+91-7979169826</t>
  </si>
  <si>
    <t>CRM-00277</t>
  </si>
  <si>
    <t>Riya Mishra</t>
  </si>
  <si>
    <t>riya.mishra@cloudnestgroup.com</t>
  </si>
  <si>
    <t>+91-7137073089</t>
  </si>
  <si>
    <t>CRM-00278</t>
  </si>
  <si>
    <t>riya.gupta@finedgeanalytics.com</t>
  </si>
  <si>
    <t>+91-9428912809</t>
  </si>
  <si>
    <t>CRM-00279</t>
  </si>
  <si>
    <t>Isha Gupta</t>
  </si>
  <si>
    <t>isha.gupta@primeventures.com</t>
  </si>
  <si>
    <t>+91-9072480853</t>
  </si>
  <si>
    <t>CRM-00280</t>
  </si>
  <si>
    <t>Deepak Nair</t>
  </si>
  <si>
    <t>BrightPath Analytics</t>
  </si>
  <si>
    <t>deepak.nair@brightpathanalytic.com</t>
  </si>
  <si>
    <t>+91-9066832950</t>
  </si>
  <si>
    <t>CRM-00281</t>
  </si>
  <si>
    <t>Simran Chopra</t>
  </si>
  <si>
    <t>simran.chopra@databridgeanalytic.com</t>
  </si>
  <si>
    <t>+91-7066173532</t>
  </si>
  <si>
    <t>CRM-00282</t>
  </si>
  <si>
    <t>Rakesh Gupta</t>
  </si>
  <si>
    <t>rakesh.gupta@growthlablabs.com</t>
  </si>
  <si>
    <t>+91-9505464559</t>
  </si>
  <si>
    <t>CRM-00283</t>
  </si>
  <si>
    <t>Harsh Sharma</t>
  </si>
  <si>
    <t>DataBridge Ventures</t>
  </si>
  <si>
    <t>harsh.sharma@databridgeventures.com</t>
  </si>
  <si>
    <t>+91-9796537664</t>
  </si>
  <si>
    <t>CRM-00284</t>
  </si>
  <si>
    <t>DataBridge Solutions</t>
  </si>
  <si>
    <t>tanvi.gupta@databridgesolution.com</t>
  </si>
  <si>
    <t>+91-9997083645</t>
  </si>
  <si>
    <t>CRM-00285</t>
  </si>
  <si>
    <t>Riya Bose</t>
  </si>
  <si>
    <t>riya.bose@cloudnestconsultin.com</t>
  </si>
  <si>
    <t>+91-9171820081</t>
  </si>
  <si>
    <t>CRM-00286</t>
  </si>
  <si>
    <t>mehak.chopra@bluepeakanalytics.com</t>
  </si>
  <si>
    <t>+91-9949189780</t>
  </si>
  <si>
    <t>CRM-00287</t>
  </si>
  <si>
    <t>Mehak Bose</t>
  </si>
  <si>
    <t>mehak.bose@techaxistechnologi.com</t>
  </si>
  <si>
    <t>+91-9690936297</t>
  </si>
  <si>
    <t>CRM-00288</t>
  </si>
  <si>
    <t>Sanya Bose</t>
  </si>
  <si>
    <t>MarketPulse Systems</t>
  </si>
  <si>
    <t>sanya.bose@marketpulsesystems.com</t>
  </si>
  <si>
    <t>+91-9224599028</t>
  </si>
  <si>
    <t>CRM-00289</t>
  </si>
  <si>
    <t>siddharth.agarwal@educoresolutions.com</t>
  </si>
  <si>
    <t>+91-9672255446</t>
  </si>
  <si>
    <t>CRM-00290</t>
  </si>
  <si>
    <t>Harsh Joshi</t>
  </si>
  <si>
    <t>Nova Labs</t>
  </si>
  <si>
    <t>harsh.joshi@novalabs.com</t>
  </si>
  <si>
    <t>+91-7968352943</t>
  </si>
  <si>
    <t>CRM-00291</t>
  </si>
  <si>
    <t>Nitin Mishra</t>
  </si>
  <si>
    <t>nitin.mishra@techaxisconsulting.com</t>
  </si>
  <si>
    <t>+91-7215851601</t>
  </si>
  <si>
    <t>CRM-00292</t>
  </si>
  <si>
    <t>Sanya Patel</t>
  </si>
  <si>
    <t>sanya.patel@mediplusconsulting.com</t>
  </si>
  <si>
    <t>+91-9203133977</t>
  </si>
  <si>
    <t>CRM-00293</t>
  </si>
  <si>
    <t>vivek.malhotra@cloudnestservices.com</t>
  </si>
  <si>
    <t>+91-9590766504</t>
  </si>
  <si>
    <t>CRM-00294</t>
  </si>
  <si>
    <t>Karan Saxena</t>
  </si>
  <si>
    <t>karan.saxena@urbanedgeconsultin.com</t>
  </si>
  <si>
    <t>+91-9978199261</t>
  </si>
  <si>
    <t>CRM-00295</t>
  </si>
  <si>
    <t>kavya.rao@nextgenenterprises.com</t>
  </si>
  <si>
    <t>+91-7718861038</t>
  </si>
  <si>
    <t>CRM-00296</t>
  </si>
  <si>
    <t>Tanvi Chopra</t>
  </si>
  <si>
    <t>CloudNest Analytics</t>
  </si>
  <si>
    <t>tanvi.chopra@cloudnestanalytics.com</t>
  </si>
  <si>
    <t>+91-9603413354</t>
  </si>
  <si>
    <t>CRM-00297</t>
  </si>
  <si>
    <t>Divya Mehta</t>
  </si>
  <si>
    <t>divya.mehta@finedgegroup.com</t>
  </si>
  <si>
    <t>+91-9665551720</t>
  </si>
  <si>
    <t>CRM-00298</t>
  </si>
  <si>
    <t>Shruti Sharma</t>
  </si>
  <si>
    <t>shruti.sharma@skillforgeenterpri.com</t>
  </si>
  <si>
    <t>+91-8713884660</t>
  </si>
  <si>
    <t>CRM-00299</t>
  </si>
  <si>
    <t>Deepak Singh</t>
  </si>
  <si>
    <t>deepak.singh@cloudnesttechnolog.com</t>
  </si>
  <si>
    <t>+91-7604864636</t>
  </si>
  <si>
    <t>CRM-00300</t>
  </si>
  <si>
    <t>pooja.joshi@growthlabsolutions.com</t>
  </si>
  <si>
    <t>+91-9495352453</t>
  </si>
  <si>
    <t>CRM-00301</t>
  </si>
  <si>
    <t>Abhishek Joshi</t>
  </si>
  <si>
    <t>abhishek.joshi@brightpathgroup.com</t>
  </si>
  <si>
    <t>+91-9313978752</t>
  </si>
  <si>
    <t>CRM-00302</t>
  </si>
  <si>
    <t>Harsh Malhotra</t>
  </si>
  <si>
    <t>harsh.malhotra@growthlabanalytics.com</t>
  </si>
  <si>
    <t>+91-7803730211</t>
  </si>
  <si>
    <t>CRM-00303</t>
  </si>
  <si>
    <t>simran.mehta@primesolutions.com</t>
  </si>
  <si>
    <t>+91-8578447060</t>
  </si>
  <si>
    <t>CRM-00304</t>
  </si>
  <si>
    <t>karan.sharma@insightwavesystems.com</t>
  </si>
  <si>
    <t>+91-9918442325</t>
  </si>
  <si>
    <t>CRM-00305</t>
  </si>
  <si>
    <t>Amit Khan</t>
  </si>
  <si>
    <t>amit.khan@mediplusconsulting.com</t>
  </si>
  <si>
    <t>+91-7058066541</t>
  </si>
  <si>
    <t>CRM-00306</t>
  </si>
  <si>
    <t>Isha Mishra</t>
  </si>
  <si>
    <t>BluePeak Consulting</t>
  </si>
  <si>
    <t>isha.mishra@bluepeakconsulting.com</t>
  </si>
  <si>
    <t>+91-9257543164</t>
  </si>
  <si>
    <t>CRM-00307</t>
  </si>
  <si>
    <t>abhishek.mehta@brightpathtechnolo.com</t>
  </si>
  <si>
    <t>+91-7696183931</t>
  </si>
  <si>
    <t>CRM-00308</t>
  </si>
  <si>
    <t>Vivek Chopra</t>
  </si>
  <si>
    <t>vivek.chopra@educoretechnologie.com</t>
  </si>
  <si>
    <t>+91-9380641135</t>
  </si>
  <si>
    <t>CRM-00309</t>
  </si>
  <si>
    <t>Mohan Agarwal</t>
  </si>
  <si>
    <t>MediPlus Analytics</t>
  </si>
  <si>
    <t>mohan.agarwal@mediplusanalytics.com</t>
  </si>
  <si>
    <t>+91-7139424521</t>
  </si>
  <si>
    <t>CRM-00310</t>
  </si>
  <si>
    <t>Divya Kapoor</t>
  </si>
  <si>
    <t>divya.kapoor@primeenterprises.com</t>
  </si>
  <si>
    <t>+91-9570953632</t>
  </si>
  <si>
    <t>CRM-00311</t>
  </si>
  <si>
    <t>Nandini Patel</t>
  </si>
  <si>
    <t>nandini.patel@nextgenventures.com</t>
  </si>
  <si>
    <t>+91-8603349859</t>
  </si>
  <si>
    <t>CRM-00312</t>
  </si>
  <si>
    <t>Suresh Joshi</t>
  </si>
  <si>
    <t>suresh.joshi@skillforgeventures.com</t>
  </si>
  <si>
    <t>+91-9460866072</t>
  </si>
  <si>
    <t>CRM-00313</t>
  </si>
  <si>
    <t>Divya Sharma</t>
  </si>
  <si>
    <t>divya.sharma@skillforgegroup.com</t>
  </si>
  <si>
    <t>+91-7157289367</t>
  </si>
  <si>
    <t>CRM-00314</t>
  </si>
  <si>
    <t>Mohan Kapoor</t>
  </si>
  <si>
    <t>mohan.kapoor@insightwavelabs.com</t>
  </si>
  <si>
    <t>+91-9381528244</t>
  </si>
  <si>
    <t>CRM-00315</t>
  </si>
  <si>
    <t>Shruti Jain</t>
  </si>
  <si>
    <t>shruti.jain@bluepeaksolutions.com</t>
  </si>
  <si>
    <t>+91-8192665396</t>
  </si>
  <si>
    <t>CRM-00316</t>
  </si>
  <si>
    <t>Suresh Bose</t>
  </si>
  <si>
    <t>suresh.bose@novaservices.com</t>
  </si>
  <si>
    <t>+91-7923859352</t>
  </si>
  <si>
    <t>CRM-00317</t>
  </si>
  <si>
    <t>Deepak Jain</t>
  </si>
  <si>
    <t>deepak.jain@techaxisservices.com</t>
  </si>
  <si>
    <t>+91-9958827341</t>
  </si>
  <si>
    <t>CRM-00318</t>
  </si>
  <si>
    <t>Sanya Singh</t>
  </si>
  <si>
    <t>sanya.singh@nextgenservices.com</t>
  </si>
  <si>
    <t>+91-9143650985</t>
  </si>
  <si>
    <t>CRM-00319</t>
  </si>
  <si>
    <t>rahul.das@primetechnologies.com</t>
  </si>
  <si>
    <t>+91-9230732317</t>
  </si>
  <si>
    <t>CRM-00320</t>
  </si>
  <si>
    <t>Neha Agarwal</t>
  </si>
  <si>
    <t>TechAxis Enterprises</t>
  </si>
  <si>
    <t>neha.agarwal@techaxisenterprise.com</t>
  </si>
  <si>
    <t>+91-9260779490</t>
  </si>
  <si>
    <t>CRM-00321</t>
  </si>
  <si>
    <t>Shruti Malhotra</t>
  </si>
  <si>
    <t>shruti.malhotra@urbanedgegroup.com</t>
  </si>
  <si>
    <t>+91-9829637578</t>
  </si>
  <si>
    <t>CRM-00322</t>
  </si>
  <si>
    <t>Mehak Mishra</t>
  </si>
  <si>
    <t>mehak.mishra@primeanalytics.com</t>
  </si>
  <si>
    <t>+91-7666671623</t>
  </si>
  <si>
    <t>CRM-00323</t>
  </si>
  <si>
    <t>Abhishek Jain</t>
  </si>
  <si>
    <t>abhishek.jain@urbanedgeanalytics.com</t>
  </si>
  <si>
    <t>+91-7348527638</t>
  </si>
  <si>
    <t>CRM-00324</t>
  </si>
  <si>
    <t>kavya.mehta@urbanedgeenterpris.com</t>
  </si>
  <si>
    <t>+91-8809318712</t>
  </si>
  <si>
    <t>CRM-00325</t>
  </si>
  <si>
    <t>Nandini Bose</t>
  </si>
  <si>
    <t>nandini.bose@insightwavelabs.com</t>
  </si>
  <si>
    <t>+91-8469061778</t>
  </si>
  <si>
    <t>CRM-00326</t>
  </si>
  <si>
    <t>arjun.sharma@urbanedgegroup.com</t>
  </si>
  <si>
    <t>+91-7238784077</t>
  </si>
  <si>
    <t>CRM-00327</t>
  </si>
  <si>
    <t>Harsh Gupta</t>
  </si>
  <si>
    <t>harsh.gupta@novatechnologies.com</t>
  </si>
  <si>
    <t>+91-7325533772</t>
  </si>
  <si>
    <t>CRM-00328</t>
  </si>
  <si>
    <t>Rahul Malhotra</t>
  </si>
  <si>
    <t>rahul.malhotra@mediplusgroup.com</t>
  </si>
  <si>
    <t>+91-9891440449</t>
  </si>
  <si>
    <t>CRM-00329</t>
  </si>
  <si>
    <t>Ritika Sharma</t>
  </si>
  <si>
    <t>ritika.sharma@primeservices.com</t>
  </si>
  <si>
    <t>+91-7423516071</t>
  </si>
  <si>
    <t>CRM-00330</t>
  </si>
  <si>
    <t>Tanvi Patel</t>
  </si>
  <si>
    <t>tanvi.patel@brightpathlabs.com</t>
  </si>
  <si>
    <t>+91-9693785599</t>
  </si>
  <si>
    <t>CRM-00331</t>
  </si>
  <si>
    <t>Vivek Mehta</t>
  </si>
  <si>
    <t>vivek.mehta@growthlabsolutions.com</t>
  </si>
  <si>
    <t>+91-9074293985</t>
  </si>
  <si>
    <t>CRM-00332</t>
  </si>
  <si>
    <t>mehak.chopra@techaxissystems.com</t>
  </si>
  <si>
    <t>+91-8001475222</t>
  </si>
  <si>
    <t>CRM-00333</t>
  </si>
  <si>
    <t>Divya Mishra</t>
  </si>
  <si>
    <t>divya.mishra@urbanedgeanalytics.com</t>
  </si>
  <si>
    <t>+91-8850361505</t>
  </si>
  <si>
    <t>CRM-00334</t>
  </si>
  <si>
    <t>divya.kapoor@bluepeaksolutions.com</t>
  </si>
  <si>
    <t>+91-8472629479</t>
  </si>
  <si>
    <t>CRM-00335</t>
  </si>
  <si>
    <t>suresh.gupta@bluepeaklabs.com</t>
  </si>
  <si>
    <t>+91-7621394052</t>
  </si>
  <si>
    <t>CRM-00336</t>
  </si>
  <si>
    <t>sanya.das@bluepeakenterprise.com</t>
  </si>
  <si>
    <t>+91-7502366283</t>
  </si>
  <si>
    <t>CRM-00337</t>
  </si>
  <si>
    <t>vivek.das@bluepeaksolutions.com</t>
  </si>
  <si>
    <t>+91-8579565867</t>
  </si>
  <si>
    <t>CRM-00338</t>
  </si>
  <si>
    <t>Abhishek Agarwal</t>
  </si>
  <si>
    <t>abhishek.agarwal@techaxislabs.com</t>
  </si>
  <si>
    <t>+91-7198468969</t>
  </si>
  <si>
    <t>CRM-00339</t>
  </si>
  <si>
    <t>Ritika Bose</t>
  </si>
  <si>
    <t>ritika.bose@finedgeanalytics.com</t>
  </si>
  <si>
    <t>+91-9498978444</t>
  </si>
  <si>
    <t>CRM-00340</t>
  </si>
  <si>
    <t>tanvi.mehta@mediplussystems.com</t>
  </si>
  <si>
    <t>+91-8904766823</t>
  </si>
  <si>
    <t>CRM-00341</t>
  </si>
  <si>
    <t>Mehak Singh</t>
  </si>
  <si>
    <t>mehak.singh@urbanedgeenterpris.com</t>
  </si>
  <si>
    <t>+91-7606578155</t>
  </si>
  <si>
    <t>CRM-00342</t>
  </si>
  <si>
    <t>Manish Jain</t>
  </si>
  <si>
    <t>manish.jain@novaenterprises.com</t>
  </si>
  <si>
    <t>+91-7992256557</t>
  </si>
  <si>
    <t>CRM-00343</t>
  </si>
  <si>
    <t>sanya.singh@educoretechnologie.com</t>
  </si>
  <si>
    <t>+91-8297720979</t>
  </si>
  <si>
    <t>CRM-00344</t>
  </si>
  <si>
    <t>Manish Mishra</t>
  </si>
  <si>
    <t>manish.mishra@databridgegroup.com</t>
  </si>
  <si>
    <t>+91-7256087933</t>
  </si>
  <si>
    <t>CRM-00345</t>
  </si>
  <si>
    <t>Mehak Kapoor</t>
  </si>
  <si>
    <t>mehak.kapoor@cloudnestconsultin.com</t>
  </si>
  <si>
    <t>+91-9429648186</t>
  </si>
  <si>
    <t>CRM-00346</t>
  </si>
  <si>
    <t>Pooja Sharma</t>
  </si>
  <si>
    <t>pooja.sharma@mediplusservices.com</t>
  </si>
  <si>
    <t>+91-9362262910</t>
  </si>
  <si>
    <t>CRM-00347</t>
  </si>
  <si>
    <t>Aditi Khan</t>
  </si>
  <si>
    <t>GrowthLab Ventures</t>
  </si>
  <si>
    <t>aditi.khan@growthlabventures.com</t>
  </si>
  <si>
    <t>+91-9510471910</t>
  </si>
  <si>
    <t>CRM-00348</t>
  </si>
  <si>
    <t>Amit Kapoor</t>
  </si>
  <si>
    <t>amit.kapoor@educoreconsulting.com</t>
  </si>
  <si>
    <t>+91-8987718158</t>
  </si>
  <si>
    <t>CRM-00349</t>
  </si>
  <si>
    <t>aditi.chopra@educoregroup.com</t>
  </si>
  <si>
    <t>+91-7358085168</t>
  </si>
  <si>
    <t>CRM-00350</t>
  </si>
  <si>
    <t>sanya.bose@nextgentechnologie.com</t>
  </si>
  <si>
    <t>+91-9557796930</t>
  </si>
  <si>
    <t>CRM-00351</t>
  </si>
  <si>
    <t>siddharth.khan@urbanedgeservices.com</t>
  </si>
  <si>
    <t>+91-7071574843</t>
  </si>
  <si>
    <t>CRM-00352</t>
  </si>
  <si>
    <t>Arjun Rao</t>
  </si>
  <si>
    <t>arjun.rao@nextgensolutions.com</t>
  </si>
  <si>
    <t>+91-7719810926</t>
  </si>
  <si>
    <t>CRM-00353</t>
  </si>
  <si>
    <t>tanvi.chopra@cloudnestgroup.com</t>
  </si>
  <si>
    <t>+91-9158178295</t>
  </si>
  <si>
    <t>CRM-00354</t>
  </si>
  <si>
    <t>Isha Patel</t>
  </si>
  <si>
    <t>isha.patel@nextgengroup.com</t>
  </si>
  <si>
    <t>+91-8614810892</t>
  </si>
  <si>
    <t>CRM-00355</t>
  </si>
  <si>
    <t>Nitin Sharma</t>
  </si>
  <si>
    <t>nitin.sharma@urbanedgesolutions.com</t>
  </si>
  <si>
    <t>+91-9686215562</t>
  </si>
  <si>
    <t>CRM-00356</t>
  </si>
  <si>
    <t>Karan Kapoor</t>
  </si>
  <si>
    <t>karan.kapoor@educoreconsulting.com</t>
  </si>
  <si>
    <t>+91-8665289956</t>
  </si>
  <si>
    <t>CRM-00357</t>
  </si>
  <si>
    <t>tanvi.patel@nextgenservices.com</t>
  </si>
  <si>
    <t>+91-9367056881</t>
  </si>
  <si>
    <t>CRM-00358</t>
  </si>
  <si>
    <t>Nitin Verma</t>
  </si>
  <si>
    <t>MarketPulse Technologies</t>
  </si>
  <si>
    <t>nitin.verma@marketpulsetechnol.com</t>
  </si>
  <si>
    <t>+91-8456530473</t>
  </si>
  <si>
    <t>CRM-00359</t>
  </si>
  <si>
    <t>Simran Gupta</t>
  </si>
  <si>
    <t>simran.gupta@educoreservices.com</t>
  </si>
  <si>
    <t>+91-8292874672</t>
  </si>
  <si>
    <t>CRM-00360</t>
  </si>
  <si>
    <t>Kavya Malhotra</t>
  </si>
  <si>
    <t>kavya.malhotra@nextgenconsulting.com</t>
  </si>
  <si>
    <t>+91-7872449126</t>
  </si>
  <si>
    <t>CRM-00361</t>
  </si>
  <si>
    <t>Rakesh Das</t>
  </si>
  <si>
    <t>rakesh.das@skillforgesystems.com</t>
  </si>
  <si>
    <t>+91-8787023300</t>
  </si>
  <si>
    <t>CRM-00362</t>
  </si>
  <si>
    <t>mehak.malhotra@primeservices.com</t>
  </si>
  <si>
    <t>+91-7420742579</t>
  </si>
  <si>
    <t>CRM-00363</t>
  </si>
  <si>
    <t>Divya Agarwal</t>
  </si>
  <si>
    <t>divya.agarwal@finedgeventures.com</t>
  </si>
  <si>
    <t>+91-7105897951</t>
  </si>
  <si>
    <t>CRM-00364</t>
  </si>
  <si>
    <t>Rakesh Agarwal</t>
  </si>
  <si>
    <t>rakesh.agarwal@skillforgelabs.com</t>
  </si>
  <si>
    <t>+91-7371525809</t>
  </si>
  <si>
    <t>CRM-00365</t>
  </si>
  <si>
    <t>isha.das@cloudnestsystems.com</t>
  </si>
  <si>
    <t>+91-7238381282</t>
  </si>
  <si>
    <t>CRM-00366</t>
  </si>
  <si>
    <t>Vivek Nair</t>
  </si>
  <si>
    <t>vivek.nair@marketpulsetechnol.com</t>
  </si>
  <si>
    <t>+91-8842762479</t>
  </si>
  <si>
    <t>CRM-00367</t>
  </si>
  <si>
    <t>mansi.gupta@bluepeakgroup.com</t>
  </si>
  <si>
    <t>+91-7427489159</t>
  </si>
  <si>
    <t>CRM-00368</t>
  </si>
  <si>
    <t>Arjun Nair</t>
  </si>
  <si>
    <t>arjun.nair@cloudnestconsultin.com</t>
  </si>
  <si>
    <t>+91-9726188110</t>
  </si>
  <si>
    <t>CRM-00369</t>
  </si>
  <si>
    <t>karan.chopra@databridgetechnolo.com</t>
  </si>
  <si>
    <t>+91-8425059446</t>
  </si>
  <si>
    <t>CRM-00370</t>
  </si>
  <si>
    <t>Nandini Agarwal</t>
  </si>
  <si>
    <t>nandini.agarwal@bluepeakconsulting.com</t>
  </si>
  <si>
    <t>+91-9042055770</t>
  </si>
  <si>
    <t>CRM-00371</t>
  </si>
  <si>
    <t>suresh.bose@databridgetechnolo.com</t>
  </si>
  <si>
    <t>+91-7010814973</t>
  </si>
  <si>
    <t>CRM-00372</t>
  </si>
  <si>
    <t>Rahul Joshi</t>
  </si>
  <si>
    <t>rahul.joshi@bluepeaksystems.com</t>
  </si>
  <si>
    <t>+91-8227085688</t>
  </si>
  <si>
    <t>CRM-00373</t>
  </si>
  <si>
    <t>mansi.chopra@bluepeaksolutions.com</t>
  </si>
  <si>
    <t>+91-7391011320</t>
  </si>
  <si>
    <t>CRM-00374</t>
  </si>
  <si>
    <t>Arjun Saxena</t>
  </si>
  <si>
    <t>arjun.saxena@novagroup.com</t>
  </si>
  <si>
    <t>+91-9149115261</t>
  </si>
  <si>
    <t>CRM-00375</t>
  </si>
  <si>
    <t>MediPlus Ventures</t>
  </si>
  <si>
    <t>vivek.mishra@mediplusventures.com</t>
  </si>
  <si>
    <t>+91-8831333498</t>
  </si>
  <si>
    <t>CRM-00376</t>
  </si>
  <si>
    <t>aditi.jain@educoretechnologie.com</t>
  </si>
  <si>
    <t>+91-8162782511</t>
  </si>
  <si>
    <t>CRM-00377</t>
  </si>
  <si>
    <t>isha.saxena@primeventures.com</t>
  </si>
  <si>
    <t>+91-7895031094</t>
  </si>
  <si>
    <t>CRM-00378</t>
  </si>
  <si>
    <t>Isha Chopra</t>
  </si>
  <si>
    <t>isha.chopra@growthlabservices.com</t>
  </si>
  <si>
    <t>+91-8225943189</t>
  </si>
  <si>
    <t>CRM-00379</t>
  </si>
  <si>
    <t>karan.iyer@educoretechnologie.com</t>
  </si>
  <si>
    <t>+91-7963237140</t>
  </si>
  <si>
    <t>CRM-00380</t>
  </si>
  <si>
    <t>amit.iyer@brightpathtechnolo.com</t>
  </si>
  <si>
    <t>+91-7776252199</t>
  </si>
  <si>
    <t>CRM-00381</t>
  </si>
  <si>
    <t>Siddharth Nair</t>
  </si>
  <si>
    <t>GrowthLab Systems</t>
  </si>
  <si>
    <t>siddharth.nair@growthlabsystems.com</t>
  </si>
  <si>
    <t>+91-8346761193</t>
  </si>
  <si>
    <t>CRM-00382</t>
  </si>
  <si>
    <t>isha.chopra@novaconsulting.com</t>
  </si>
  <si>
    <t>+91-8725248461</t>
  </si>
  <si>
    <t>CRM-00383</t>
  </si>
  <si>
    <t>Harsh Singh</t>
  </si>
  <si>
    <t>harsh.singh@techaxistechnologi.com</t>
  </si>
  <si>
    <t>+91-7603432084</t>
  </si>
  <si>
    <t>CRM-00384</t>
  </si>
  <si>
    <t>simran.mehta@bluepeaklabs.com</t>
  </si>
  <si>
    <t>+91-7250545034</t>
  </si>
  <si>
    <t>CRM-00385</t>
  </si>
  <si>
    <t>varun.verma@insightwaveenterpr.com</t>
  </si>
  <si>
    <t>+91-8010926853</t>
  </si>
  <si>
    <t>CRM-00386</t>
  </si>
  <si>
    <t>Manish Joshi</t>
  </si>
  <si>
    <t>DataBridge Systems</t>
  </si>
  <si>
    <t>manish.joshi@databridgesystems.com</t>
  </si>
  <si>
    <t>+91-9817882296</t>
  </si>
  <si>
    <t>CRM-00387</t>
  </si>
  <si>
    <t>Manish Bose</t>
  </si>
  <si>
    <t>manish.bose@mediplussolutions.com</t>
  </si>
  <si>
    <t>+91-8017769436</t>
  </si>
  <si>
    <t>CRM-00388</t>
  </si>
  <si>
    <t>Mansi Mishra</t>
  </si>
  <si>
    <t>mansi.mishra@techaxisanalytics.com</t>
  </si>
  <si>
    <t>+91-8266021793</t>
  </si>
  <si>
    <t>CRM-00389</t>
  </si>
  <si>
    <t>Sanya Verma</t>
  </si>
  <si>
    <t>sanya.verma@novatechnologies.com</t>
  </si>
  <si>
    <t>+91-7215961403</t>
  </si>
  <si>
    <t>CRM-00390</t>
  </si>
  <si>
    <t>Prime Systems</t>
  </si>
  <si>
    <t>manish.das@primesystems.com</t>
  </si>
  <si>
    <t>+91-7453912778</t>
  </si>
  <si>
    <t>CRM-00391</t>
  </si>
  <si>
    <t>Harsh Nair</t>
  </si>
  <si>
    <t>MarketPulse Analytics</t>
  </si>
  <si>
    <t>harsh.nair@marketpulseanalyti.com</t>
  </si>
  <si>
    <t>+91-7324210584</t>
  </si>
  <si>
    <t>CRM-00392</t>
  </si>
  <si>
    <t>Karan Joshi</t>
  </si>
  <si>
    <t>karan.joshi@insightwaveenterpr.com</t>
  </si>
  <si>
    <t>+91-7104834496</t>
  </si>
  <si>
    <t>CRM-00393</t>
  </si>
  <si>
    <t>rakesh.nair@bluepeakconsulting.com</t>
  </si>
  <si>
    <t>+91-9631190424</t>
  </si>
  <si>
    <t>CRM-00394</t>
  </si>
  <si>
    <t>rahul.mehta@bluepeakconsulting.com</t>
  </si>
  <si>
    <t>+91-9779618669</t>
  </si>
  <si>
    <t>CRM-00395</t>
  </si>
  <si>
    <t>Divya Khan</t>
  </si>
  <si>
    <t>divya.khan@cloudnestanalytics.com</t>
  </si>
  <si>
    <t>+91-8852315398</t>
  </si>
  <si>
    <t>CRM-00396</t>
  </si>
  <si>
    <t>Simran Patel</t>
  </si>
  <si>
    <t>simran.patel@techaxislabs.com</t>
  </si>
  <si>
    <t>+91-8299891363</t>
  </si>
  <si>
    <t>CRM-00397</t>
  </si>
  <si>
    <t>manish.joshi@growthlabsystems.com</t>
  </si>
  <si>
    <t>+91-9484141131</t>
  </si>
  <si>
    <t>CRM-00398</t>
  </si>
  <si>
    <t>Isha Joshi</t>
  </si>
  <si>
    <t>isha.joshi@skillforgeanalytic.com</t>
  </si>
  <si>
    <t>+91-8627734740</t>
  </si>
  <si>
    <t>CRM-00399</t>
  </si>
  <si>
    <t>karan.das@insightwavegroup.com</t>
  </si>
  <si>
    <t>+91-8733768819</t>
  </si>
  <si>
    <t>CRM-00400</t>
  </si>
  <si>
    <t>riya.rao@cloudnestlabs.com</t>
  </si>
  <si>
    <t>+91-9364461228</t>
  </si>
  <si>
    <t>CRM-00401</t>
  </si>
  <si>
    <t>Pooja Kapoor</t>
  </si>
  <si>
    <t>pooja.kapoor@cloudnestenterpris.com</t>
  </si>
  <si>
    <t>+91-7968521092</t>
  </si>
  <si>
    <t>CRM-00402</t>
  </si>
  <si>
    <t>tanvi.iyer@brightpathsystems.com</t>
  </si>
  <si>
    <t>+91-8873069028</t>
  </si>
  <si>
    <t>CRM-00403</t>
  </si>
  <si>
    <t>pooja.patel@growthlabservices.com</t>
  </si>
  <si>
    <t>+91-8033469940</t>
  </si>
  <si>
    <t>CRM-00404</t>
  </si>
  <si>
    <t>Vivek Gupta</t>
  </si>
  <si>
    <t>vivek.gupta@databridgetechnolo.com</t>
  </si>
  <si>
    <t>+91-7023767473</t>
  </si>
  <si>
    <t>CRM-00405</t>
  </si>
  <si>
    <t>shruti.rao@nextgensolutions.com</t>
  </si>
  <si>
    <t>+91-7070051198</t>
  </si>
  <si>
    <t>CRM-00406</t>
  </si>
  <si>
    <t>Abhishek Iyer</t>
  </si>
  <si>
    <t>abhishek.iyer@insightwavegroup.com</t>
  </si>
  <si>
    <t>+91-9957069339</t>
  </si>
  <si>
    <t>CRM-00407</t>
  </si>
  <si>
    <t>Siddharth Joshi</t>
  </si>
  <si>
    <t>siddharth.joshi@finedgegroup.com</t>
  </si>
  <si>
    <t>+91-7640286865</t>
  </si>
  <si>
    <t>CRM-00408</t>
  </si>
  <si>
    <t>Nandini Malhotra</t>
  </si>
  <si>
    <t>nandini.malhotra@databridgeenterpri.com</t>
  </si>
  <si>
    <t>+91-8705130081</t>
  </si>
  <si>
    <t>CRM-00409</t>
  </si>
  <si>
    <t>varun.singh@cloudnestanalytics.com</t>
  </si>
  <si>
    <t>+91-9996338285</t>
  </si>
  <si>
    <t>CRM-00410</t>
  </si>
  <si>
    <t>Rakesh Joshi</t>
  </si>
  <si>
    <t>rakesh.joshi@cloudnestlabs.com</t>
  </si>
  <si>
    <t>+91-8762134625</t>
  </si>
  <si>
    <t>CRM-00411</t>
  </si>
  <si>
    <t>arjun.nair@techaxisanalytics.com</t>
  </si>
  <si>
    <t>+91-9581294040</t>
  </si>
  <si>
    <t>CRM-00412</t>
  </si>
  <si>
    <t>shruti.sharma@finedgeenterprises.com</t>
  </si>
  <si>
    <t>+91-9866924259</t>
  </si>
  <si>
    <t>CRM-00413</t>
  </si>
  <si>
    <t>varun.singh@techaxisanalytics.com</t>
  </si>
  <si>
    <t>+91-9249645805</t>
  </si>
  <si>
    <t>CRM-00414</t>
  </si>
  <si>
    <t>Rahul Mishra</t>
  </si>
  <si>
    <t>rahul.mishra@databridgeanalytic.com</t>
  </si>
  <si>
    <t>+91-9310854250</t>
  </si>
  <si>
    <t>CRM-00415</t>
  </si>
  <si>
    <t>Amit Rao</t>
  </si>
  <si>
    <t>amit.rao@growthlabanalytics.com</t>
  </si>
  <si>
    <t>+91-9679396331</t>
  </si>
  <si>
    <t>CRM-00416</t>
  </si>
  <si>
    <t>Neha Singh</t>
  </si>
  <si>
    <t>neha.singh@techaxisgroup.com</t>
  </si>
  <si>
    <t>+91-9721422241</t>
  </si>
  <si>
    <t>CRM-00417</t>
  </si>
  <si>
    <t>Nitin Iyer</t>
  </si>
  <si>
    <t>Nova Ventures</t>
  </si>
  <si>
    <t>nitin.iyer@novaventures.com</t>
  </si>
  <si>
    <t>+91-9021336477</t>
  </si>
  <si>
    <t>CRM-00418</t>
  </si>
  <si>
    <t>deepak.khan@bluepeakgroup.com</t>
  </si>
  <si>
    <t>+91-9990961685</t>
  </si>
  <si>
    <t>CRM-00419</t>
  </si>
  <si>
    <t>isha.joshi@marketpulsetechnol.com</t>
  </si>
  <si>
    <t>+91-8792038815</t>
  </si>
  <si>
    <t>CRM-00420</t>
  </si>
  <si>
    <t>Kavya Mishra</t>
  </si>
  <si>
    <t>kavya.mishra@skillforgegroup.com</t>
  </si>
  <si>
    <t>+91-8728156579</t>
  </si>
  <si>
    <t>CRM-00421</t>
  </si>
  <si>
    <t>shruti.jain@skillforgeanalytic.com</t>
  </si>
  <si>
    <t>+91-9361949038</t>
  </si>
  <si>
    <t>CRM-00422</t>
  </si>
  <si>
    <t>manish.malhotra@techaxisservices.com</t>
  </si>
  <si>
    <t>+91-8909456118</t>
  </si>
  <si>
    <t>CRM-00423</t>
  </si>
  <si>
    <t>Mehak Iyer</t>
  </si>
  <si>
    <t>mehak.iyer@databridgesolution.com</t>
  </si>
  <si>
    <t>+91-9056833679</t>
  </si>
  <si>
    <t>CRM-00424</t>
  </si>
  <si>
    <t>Amit Malhotra</t>
  </si>
  <si>
    <t>amit.malhotra@marketpulsesystems.com</t>
  </si>
  <si>
    <t>+91-9437964781</t>
  </si>
  <si>
    <t>CRM-00425</t>
  </si>
  <si>
    <t>Isha Mehta</t>
  </si>
  <si>
    <t>isha.mehta@databridgelabs.com</t>
  </si>
  <si>
    <t>+91-8473767038</t>
  </si>
  <si>
    <t>CRM-00426</t>
  </si>
  <si>
    <t>ritika.sharma@nextgenanalytics.com</t>
  </si>
  <si>
    <t>+91-7205275431</t>
  </si>
  <si>
    <t>CRM-00427</t>
  </si>
  <si>
    <t>Arjun Gupta</t>
  </si>
  <si>
    <t>arjun.gupta@databridgeventures.com</t>
  </si>
  <si>
    <t>+91-9646093105</t>
  </si>
  <si>
    <t>CRM-00428</t>
  </si>
  <si>
    <t>mansi.singh@cloudnestsystems.com</t>
  </si>
  <si>
    <t>+91-7442041856</t>
  </si>
  <si>
    <t>CRM-00429</t>
  </si>
  <si>
    <t>Riya Nair</t>
  </si>
  <si>
    <t>riya.nair@urbanedgesolutions.com</t>
  </si>
  <si>
    <t>+91-7918268778</t>
  </si>
  <si>
    <t>CRM-00430</t>
  </si>
  <si>
    <t>riya.bose@databridgesystems.com</t>
  </si>
  <si>
    <t>+91-7001036985</t>
  </si>
  <si>
    <t>CRM-00431</t>
  </si>
  <si>
    <t>nandini.verma@mediplusconsulting.com</t>
  </si>
  <si>
    <t>+91-8860849300</t>
  </si>
  <si>
    <t>CRM-00432</t>
  </si>
  <si>
    <t>Tanvi Das</t>
  </si>
  <si>
    <t>UrbanEdge Labs</t>
  </si>
  <si>
    <t>tanvi.das@urbanedgelabs.com</t>
  </si>
  <si>
    <t>+91-9180682194</t>
  </si>
  <si>
    <t>CRM-00433</t>
  </si>
  <si>
    <t>deepak.sharma@marketpulseanalyti.com</t>
  </si>
  <si>
    <t>+91-8493262515</t>
  </si>
  <si>
    <t>CRM-00434</t>
  </si>
  <si>
    <t>Arjun Jain</t>
  </si>
  <si>
    <t>MediPlus Enterprises</t>
  </si>
  <si>
    <t>arjun.jain@mediplusenterprise.com</t>
  </si>
  <si>
    <t>+91-8235012528</t>
  </si>
  <si>
    <t>CRM-00435</t>
  </si>
  <si>
    <t>Mohan Bose</t>
  </si>
  <si>
    <t>mohan.bose@nextgenconsulting.com</t>
  </si>
  <si>
    <t>+91-8163563402</t>
  </si>
  <si>
    <t>CRM-00436</t>
  </si>
  <si>
    <t>riya.mishra@databridgetechnolo.com</t>
  </si>
  <si>
    <t>+91-9742396378</t>
  </si>
  <si>
    <t>CRM-00437</t>
  </si>
  <si>
    <t>rakesh.saxena@finedgeservices.com</t>
  </si>
  <si>
    <t>+91-9208136880</t>
  </si>
  <si>
    <t>CRM-00438</t>
  </si>
  <si>
    <t>harsh.nair@nextgenventures.com</t>
  </si>
  <si>
    <t>+91-9348355593</t>
  </si>
  <si>
    <t>CRM-00439</t>
  </si>
  <si>
    <t>Mansi Patel</t>
  </si>
  <si>
    <t>mansi.patel@primesolutions.com</t>
  </si>
  <si>
    <t>+91-8636717815</t>
  </si>
  <si>
    <t>CRM-00440</t>
  </si>
  <si>
    <t>simran.chopra@cloudnesttechnolog.com</t>
  </si>
  <si>
    <t>+91-7556430557</t>
  </si>
  <si>
    <t>CRM-00441</t>
  </si>
  <si>
    <t>Shruti Nair</t>
  </si>
  <si>
    <t>shruti.nair@brightpathanalytic.com</t>
  </si>
  <si>
    <t>+91-8173240231</t>
  </si>
  <si>
    <t>CRM-00442</t>
  </si>
  <si>
    <t>nandini.bose@brightpathlabs.com</t>
  </si>
  <si>
    <t>+91-7259434125</t>
  </si>
  <si>
    <t>CRM-00443</t>
  </si>
  <si>
    <t>tanvi.singh@primeventures.com</t>
  </si>
  <si>
    <t>+91-7343695913</t>
  </si>
  <si>
    <t>CRM-00444</t>
  </si>
  <si>
    <t>Amit Chopra</t>
  </si>
  <si>
    <t>amit.chopra@cloudnestgroup.com</t>
  </si>
  <si>
    <t>+91-7210831872</t>
  </si>
  <si>
    <t>CRM-00445</t>
  </si>
  <si>
    <t>aditi.rao@techaxisservices.com</t>
  </si>
  <si>
    <t>+91-9947669421</t>
  </si>
  <si>
    <t>CRM-00446</t>
  </si>
  <si>
    <t>Suresh Chopra</t>
  </si>
  <si>
    <t>suresh.chopra@nextgenlabs.com</t>
  </si>
  <si>
    <t>+91-7509432330</t>
  </si>
  <si>
    <t>CRM-00447</t>
  </si>
  <si>
    <t>Abhishek Kapoor</t>
  </si>
  <si>
    <t>abhishek.kapoor@educoreenterprises.com</t>
  </si>
  <si>
    <t>+91-7699039628</t>
  </si>
  <si>
    <t>CRM-00448</t>
  </si>
  <si>
    <t>arjun.bose@techaxisservices.com</t>
  </si>
  <si>
    <t>+91-9537016253</t>
  </si>
  <si>
    <t>CRM-00449</t>
  </si>
  <si>
    <t>Pooja Saxena</t>
  </si>
  <si>
    <t>pooja.saxena@databridgegroup.com</t>
  </si>
  <si>
    <t>+91-7411857151</t>
  </si>
  <si>
    <t>CRM-00450</t>
  </si>
  <si>
    <t>Mansi Khan</t>
  </si>
  <si>
    <t>InsightWave Ventures</t>
  </si>
  <si>
    <t>mansi.khan@insightwaveventure.com</t>
  </si>
  <si>
    <t>+91-7593670419</t>
  </si>
  <si>
    <t>CRM-00451</t>
  </si>
  <si>
    <t>GrowthLab Technologies</t>
  </si>
  <si>
    <t>rahul.khan@growthlabtechnolog.com</t>
  </si>
  <si>
    <t>+91-8844878436</t>
  </si>
  <si>
    <t>CRM-00452</t>
  </si>
  <si>
    <t>Karan Rao</t>
  </si>
  <si>
    <t>karan.rao@insightwavetechnol.com</t>
  </si>
  <si>
    <t>+91-7817323520</t>
  </si>
  <si>
    <t>CRM-00453</t>
  </si>
  <si>
    <t>Rahul Iyer</t>
  </si>
  <si>
    <t>rahul.iyer@primeconsulting.com</t>
  </si>
  <si>
    <t>+91-9517477847</t>
  </si>
  <si>
    <t>CRM-00454</t>
  </si>
  <si>
    <t>pooja.agarwal@urbanedgetechnolog.com</t>
  </si>
  <si>
    <t>+91-7226332190</t>
  </si>
  <si>
    <t>CRM-00455</t>
  </si>
  <si>
    <t>Mohan Sharma</t>
  </si>
  <si>
    <t>mohan.sharma@cloudnestenterpris.com</t>
  </si>
  <si>
    <t>+91-8945991933</t>
  </si>
  <si>
    <t>CRM-00456</t>
  </si>
  <si>
    <t>Vivek Kapoor</t>
  </si>
  <si>
    <t>vivek.kapoor@novatechnologies.com</t>
  </si>
  <si>
    <t>+91-9316793238</t>
  </si>
  <si>
    <t>CRM-00457</t>
  </si>
  <si>
    <t>Mehak Agarwal</t>
  </si>
  <si>
    <t>mehak.agarwal@novaanalytics.com</t>
  </si>
  <si>
    <t>+91-8139857066</t>
  </si>
  <si>
    <t>CRM-00458</t>
  </si>
  <si>
    <t>Divya Patel</t>
  </si>
  <si>
    <t>divya.patel@techaxisanalytics.com</t>
  </si>
  <si>
    <t>+91-7618686988</t>
  </si>
  <si>
    <t>CRM-00459</t>
  </si>
  <si>
    <t>shruti.das@cloudnestlabs.com</t>
  </si>
  <si>
    <t>+91-8682339872</t>
  </si>
  <si>
    <t>CRM-00460</t>
  </si>
  <si>
    <t>Arjun Mishra</t>
  </si>
  <si>
    <t>arjun.mishra@bluepeakgroup.com</t>
  </si>
  <si>
    <t>+91-8770091084</t>
  </si>
  <si>
    <t>CRM-00461</t>
  </si>
  <si>
    <t>tanvi.gupta@novasystems.com</t>
  </si>
  <si>
    <t>+91-8941425866</t>
  </si>
  <si>
    <t>CRM-00462</t>
  </si>
  <si>
    <t>sanya.rao@insightwavegroup.com</t>
  </si>
  <si>
    <t>+91-7039127680</t>
  </si>
  <si>
    <t>CRM-00463</t>
  </si>
  <si>
    <t>Arjun Malhotra</t>
  </si>
  <si>
    <t>arjun.malhotra@skillforgeenterpri.com</t>
  </si>
  <si>
    <t>+91-7380340009</t>
  </si>
  <si>
    <t>CRM-00464</t>
  </si>
  <si>
    <t>Abhishek Patel</t>
  </si>
  <si>
    <t>abhishek.patel@mediplusenterprise.com</t>
  </si>
  <si>
    <t>+91-7013194020</t>
  </si>
  <si>
    <t>CRM-00465</t>
  </si>
  <si>
    <t>Manish Agarwal</t>
  </si>
  <si>
    <t>manish.agarwal@databridgesystems.com</t>
  </si>
  <si>
    <t>+91-9185962443</t>
  </si>
  <si>
    <t>CRM-00466</t>
  </si>
  <si>
    <t>divya.agarwal@insightwavesystems.com</t>
  </si>
  <si>
    <t>+91-7997034528</t>
  </si>
  <si>
    <t>CRM-00467</t>
  </si>
  <si>
    <t>Nandini Khan</t>
  </si>
  <si>
    <t>nandini.khan@bluepeakventures.com</t>
  </si>
  <si>
    <t>+91-8069882126</t>
  </si>
  <si>
    <t>CRM-00468</t>
  </si>
  <si>
    <t>kavya.jain@brightpathventures.com</t>
  </si>
  <si>
    <t>+91-8059236715</t>
  </si>
  <si>
    <t>CRM-00469</t>
  </si>
  <si>
    <t>arjun.nair@urbanedgeconsultin.com</t>
  </si>
  <si>
    <t>+91-9440329633</t>
  </si>
  <si>
    <t>CRM-00470</t>
  </si>
  <si>
    <t>nandini.khan@educoreconsulting.com</t>
  </si>
  <si>
    <t>+91-7626789487</t>
  </si>
  <si>
    <t>CRM-00471</t>
  </si>
  <si>
    <t>simran.mishra@nextgenventures.com</t>
  </si>
  <si>
    <t>+91-7748834992</t>
  </si>
  <si>
    <t>CRM-00472</t>
  </si>
  <si>
    <t>ritika.malhotra@skillforgelabs.com</t>
  </si>
  <si>
    <t>+91-8529856386</t>
  </si>
  <si>
    <t>CRM-00473</t>
  </si>
  <si>
    <t>tanvi.singh@medipluslabs.com</t>
  </si>
  <si>
    <t>+91-8420290849</t>
  </si>
  <si>
    <t>CRM-00474</t>
  </si>
  <si>
    <t>divya.nair@finedgesolutions.com</t>
  </si>
  <si>
    <t>+91-7479374413</t>
  </si>
  <si>
    <t>CRM-00475</t>
  </si>
  <si>
    <t>deepak.jain@nextgenventures.com</t>
  </si>
  <si>
    <t>+91-8393229136</t>
  </si>
  <si>
    <t>CRM-00476</t>
  </si>
  <si>
    <t>Siddharth Mishra</t>
  </si>
  <si>
    <t>siddharth.mishra@marketpulsegroup.com</t>
  </si>
  <si>
    <t>+91-7155829826</t>
  </si>
  <si>
    <t>CRM-00477</t>
  </si>
  <si>
    <t>Neha Rao</t>
  </si>
  <si>
    <t>neha.rao@novasolutions.com</t>
  </si>
  <si>
    <t>+91-8705891080</t>
  </si>
  <si>
    <t>CRM-00478</t>
  </si>
  <si>
    <t>pooja.bose@techaxisenterprise.com</t>
  </si>
  <si>
    <t>+91-7005873291</t>
  </si>
  <si>
    <t>CRM-00479</t>
  </si>
  <si>
    <t>amit.kapoor@techaxissystems.com</t>
  </si>
  <si>
    <t>+91-8389192907</t>
  </si>
  <si>
    <t>CRM-00480</t>
  </si>
  <si>
    <t>Neha Patel</t>
  </si>
  <si>
    <t>neha.patel@brightpathanalytic.com</t>
  </si>
  <si>
    <t>+91-7904231981</t>
  </si>
  <si>
    <t>CRM-00481</t>
  </si>
  <si>
    <t>aditi.khan@brightpathventures.com</t>
  </si>
  <si>
    <t>+91-8813537160</t>
  </si>
  <si>
    <t>CRM-00482</t>
  </si>
  <si>
    <t>nandini.patel@finedgeenterprises.com</t>
  </si>
  <si>
    <t>+91-8118197223</t>
  </si>
  <si>
    <t>CRM-00483</t>
  </si>
  <si>
    <t>Shruti Chopra</t>
  </si>
  <si>
    <t>shruti.chopra@databridgeconsulti.com</t>
  </si>
  <si>
    <t>+91-9016372716</t>
  </si>
  <si>
    <t>CRM-00484</t>
  </si>
  <si>
    <t>Suresh Kapoor</t>
  </si>
  <si>
    <t>suresh.kapoor@urbanedgeanalytics.com</t>
  </si>
  <si>
    <t>+91-9420840071</t>
  </si>
  <si>
    <t>CRM-00485</t>
  </si>
  <si>
    <t>Suresh Rao</t>
  </si>
  <si>
    <t>suresh.rao@finedgeventures.com</t>
  </si>
  <si>
    <t>+91-8328076197</t>
  </si>
  <si>
    <t>CRM-00486</t>
  </si>
  <si>
    <t>Suresh Mehta</t>
  </si>
  <si>
    <t>suresh.mehta@bluepeaksolutions.com</t>
  </si>
  <si>
    <t>+91-7372415981</t>
  </si>
  <si>
    <t>CRM-00487</t>
  </si>
  <si>
    <t>kavya.joshi@novaanalytics.com</t>
  </si>
  <si>
    <t>+91-7544852687</t>
  </si>
  <si>
    <t>CRM-00488</t>
  </si>
  <si>
    <t>neha.saxena@skillforgetechnolo.com</t>
  </si>
  <si>
    <t>+91-9915987903</t>
  </si>
  <si>
    <t>CRM-00489</t>
  </si>
  <si>
    <t>deepak.mishra@finedgelabs.com</t>
  </si>
  <si>
    <t>+91-7450520213</t>
  </si>
  <si>
    <t>CRM-00490</t>
  </si>
  <si>
    <t>suresh.mehta@growthlabsystems.com</t>
  </si>
  <si>
    <t>+91-7640961401</t>
  </si>
  <si>
    <t>CRM-00491</t>
  </si>
  <si>
    <t>harsh.singh@urbanedgelabs.com</t>
  </si>
  <si>
    <t>+91-7481264292</t>
  </si>
  <si>
    <t>CRM-00492</t>
  </si>
  <si>
    <t>Tanvi Joshi</t>
  </si>
  <si>
    <t>tanvi.joshi@primesystems.com</t>
  </si>
  <si>
    <t>+91-8724529310</t>
  </si>
  <si>
    <t>CRM-00493</t>
  </si>
  <si>
    <t>karan.sharma@skillforgeanalytic.com</t>
  </si>
  <si>
    <t>+91-7231919862</t>
  </si>
  <si>
    <t>CRM-00494</t>
  </si>
  <si>
    <t>Mehak Das</t>
  </si>
  <si>
    <t>mehak.das@insightwaveservice.com</t>
  </si>
  <si>
    <t>+91-8503160594</t>
  </si>
  <si>
    <t>CRM-00495</t>
  </si>
  <si>
    <t>divya.saxena@novatechnologies.com</t>
  </si>
  <si>
    <t>+91-8179851792</t>
  </si>
  <si>
    <t>CRM-00496</t>
  </si>
  <si>
    <t>riya.nair@nextgenservices.com</t>
  </si>
  <si>
    <t>+91-9676221024</t>
  </si>
  <si>
    <t>CRM-00497</t>
  </si>
  <si>
    <t>Arjun Singh</t>
  </si>
  <si>
    <t>arjun.singh@primeconsulting.com</t>
  </si>
  <si>
    <t>+91-9198621076</t>
  </si>
  <si>
    <t>CRM-00498</t>
  </si>
  <si>
    <t>tanvi.nair@insightwaveventure.com</t>
  </si>
  <si>
    <t>+91-9801814414</t>
  </si>
  <si>
    <t>CRM-00499</t>
  </si>
  <si>
    <t>isha.patel@urbanedgeconsultin.com</t>
  </si>
  <si>
    <t>+91-8939217053</t>
  </si>
  <si>
    <t>CRM-00500</t>
  </si>
  <si>
    <t>Mohan Patel</t>
  </si>
  <si>
    <t>mohan.patel@primesolutions.com</t>
  </si>
  <si>
    <t>+91-7379058499</t>
  </si>
  <si>
    <t>CRM-00501</t>
  </si>
  <si>
    <t>karan.chopra@mediplusgroup.com</t>
  </si>
  <si>
    <t>+91-8088710600</t>
  </si>
  <si>
    <t>CRM-00502</t>
  </si>
  <si>
    <t>nitin.saxena@novaanalytics.com</t>
  </si>
  <si>
    <t>+91-8302052090</t>
  </si>
  <si>
    <t>CRM-00503</t>
  </si>
  <si>
    <t>abhishek.kapoor@bluepeakenterprise.com</t>
  </si>
  <si>
    <t>+91-8261988641</t>
  </si>
  <si>
    <t>CRM-00504</t>
  </si>
  <si>
    <t>Varun Nair</t>
  </si>
  <si>
    <t>varun.nair@educorelabs.com</t>
  </si>
  <si>
    <t>+91-7224456493</t>
  </si>
  <si>
    <t>CRM-00505</t>
  </si>
  <si>
    <t>karan.singh@mediplustechnologi.com</t>
  </si>
  <si>
    <t>+91-9658138564</t>
  </si>
  <si>
    <t>CRM-00506</t>
  </si>
  <si>
    <t>Pooja Singh</t>
  </si>
  <si>
    <t>pooja.singh@growthlabconsultin.com</t>
  </si>
  <si>
    <t>+91-9864564441</t>
  </si>
  <si>
    <t>CRM-00507</t>
  </si>
  <si>
    <t>amit.patel@insightwavelabs.com</t>
  </si>
  <si>
    <t>+91-8455059304</t>
  </si>
  <si>
    <t>CRM-00508</t>
  </si>
  <si>
    <t>amit.mehta@techaxislabs.com</t>
  </si>
  <si>
    <t>+91-9204458244</t>
  </si>
  <si>
    <t>CRM-00509</t>
  </si>
  <si>
    <t>mohan.mehta@educoresystems.com</t>
  </si>
  <si>
    <t>+91-8165230527</t>
  </si>
  <si>
    <t>CRM-00510</t>
  </si>
  <si>
    <t>nitin.malhotra@novaenterprises.com</t>
  </si>
  <si>
    <t>+91-7812130721</t>
  </si>
  <si>
    <t>CRM-00511</t>
  </si>
  <si>
    <t>Amit Das</t>
  </si>
  <si>
    <t>MarketPulse Ventures</t>
  </si>
  <si>
    <t>amit.das@marketpulseventure.com</t>
  </si>
  <si>
    <t>+91-9717683589</t>
  </si>
  <si>
    <t>CRM-00512</t>
  </si>
  <si>
    <t>Nitin Agarwal</t>
  </si>
  <si>
    <t>nitin.agarwal@nextgenlabs.com</t>
  </si>
  <si>
    <t>+91-7689590067</t>
  </si>
  <si>
    <t>CRM-00513</t>
  </si>
  <si>
    <t>Vivek Agarwal</t>
  </si>
  <si>
    <t>vivek.agarwal@techaxisgroup.com</t>
  </si>
  <si>
    <t>+91-7214575405</t>
  </si>
  <si>
    <t>CRM-00514</t>
  </si>
  <si>
    <t>Simran Nair</t>
  </si>
  <si>
    <t>simran.nair@urbanedgeanalytics.com</t>
  </si>
  <si>
    <t>+91-7369420129</t>
  </si>
  <si>
    <t>CRM-00515</t>
  </si>
  <si>
    <t>mansi.malhotra@educoreenterprises.com</t>
  </si>
  <si>
    <t>+91-9867544901</t>
  </si>
  <si>
    <t>CRM-00516</t>
  </si>
  <si>
    <t>riya.mishra@skillforgetechnolo.com</t>
  </si>
  <si>
    <t>+91-9538782447</t>
  </si>
  <si>
    <t>CRM-00517</t>
  </si>
  <si>
    <t>Rakesh Mehta</t>
  </si>
  <si>
    <t>rakesh.mehta@educorelabs.com</t>
  </si>
  <si>
    <t>+91-9593220540</t>
  </si>
  <si>
    <t>CRM-00518</t>
  </si>
  <si>
    <t>Divya Chopra</t>
  </si>
  <si>
    <t>divya.chopra@nextgentechnologie.com</t>
  </si>
  <si>
    <t>+91-9400539374</t>
  </si>
  <si>
    <t>CRM-00519</t>
  </si>
  <si>
    <t>simran.mehta@nextgenanalytics.com</t>
  </si>
  <si>
    <t>+91-9237285250</t>
  </si>
  <si>
    <t>CRM-00520</t>
  </si>
  <si>
    <t>siddharth.malhotra@nextgensystems.com</t>
  </si>
  <si>
    <t>+91-9207899788</t>
  </si>
  <si>
    <t>CRM-00521</t>
  </si>
  <si>
    <t>BluePeak Services</t>
  </si>
  <si>
    <t>shruti.patel@bluepeakservices.com</t>
  </si>
  <si>
    <t>+91-7278965779</t>
  </si>
  <si>
    <t>CRM-00522</t>
  </si>
  <si>
    <t>Mehak Jain</t>
  </si>
  <si>
    <t>mehak.jain@marketpulseventure.com</t>
  </si>
  <si>
    <t>+91-7511584780</t>
  </si>
  <si>
    <t>CRM-00523</t>
  </si>
  <si>
    <t>Harsh Chopra</t>
  </si>
  <si>
    <t>harsh.chopra@urbanedgeservices.com</t>
  </si>
  <si>
    <t>+91-8450093140</t>
  </si>
  <si>
    <t>CRM-00524</t>
  </si>
  <si>
    <t>isha.patel@finedgeconsulting.com</t>
  </si>
  <si>
    <t>+91-8060717652</t>
  </si>
  <si>
    <t>CRM-00525</t>
  </si>
  <si>
    <t>Siddharth Sharma</t>
  </si>
  <si>
    <t>siddharth.sharma@educoregroup.com</t>
  </si>
  <si>
    <t>+91-9146060140</t>
  </si>
  <si>
    <t>CRM-00526</t>
  </si>
  <si>
    <t>rahul.mishra@growthlabanalytics.com</t>
  </si>
  <si>
    <t>+91-9418628688</t>
  </si>
  <si>
    <t>CRM-00527</t>
  </si>
  <si>
    <t>abhishek.agarwal@novasolutions.com</t>
  </si>
  <si>
    <t>+91-8194141223</t>
  </si>
  <si>
    <t>CRM-00528</t>
  </si>
  <si>
    <t>deepak.jain@brightpathventures.com</t>
  </si>
  <si>
    <t>+91-8720073953</t>
  </si>
  <si>
    <t>CRM-00529</t>
  </si>
  <si>
    <t>deepak.chopra@educoreenterprises.com</t>
  </si>
  <si>
    <t>+91-9054042341</t>
  </si>
  <si>
    <t>CRM-00530</t>
  </si>
  <si>
    <t>Divya Verma</t>
  </si>
  <si>
    <t>TechAxis Solutions</t>
  </si>
  <si>
    <t>divya.verma@techaxissolutions.com</t>
  </si>
  <si>
    <t>+91-7455975520</t>
  </si>
  <si>
    <t>CRM-00531</t>
  </si>
  <si>
    <t>Mansi Sharma</t>
  </si>
  <si>
    <t>mansi.sharma@brightpathventures.com</t>
  </si>
  <si>
    <t>+91-8652152397</t>
  </si>
  <si>
    <t>CRM-00532</t>
  </si>
  <si>
    <t>shruti.joshi@skillforgeenterpri.com</t>
  </si>
  <si>
    <t>+91-9387724063</t>
  </si>
  <si>
    <t>CRM-00533</t>
  </si>
  <si>
    <t>Suresh Verma</t>
  </si>
  <si>
    <t>suresh.verma@growthlabsystems.com</t>
  </si>
  <si>
    <t>+91-9654449738</t>
  </si>
  <si>
    <t>CRM-00534</t>
  </si>
  <si>
    <t>Tanvi Verma</t>
  </si>
  <si>
    <t>tanvi.verma@urbanedgesolutions.com</t>
  </si>
  <si>
    <t>+91-8350895762</t>
  </si>
  <si>
    <t>CRM-00535</t>
  </si>
  <si>
    <t>Manish Singh</t>
  </si>
  <si>
    <t>Prime Group</t>
  </si>
  <si>
    <t>manish.singh@primegroup.com</t>
  </si>
  <si>
    <t>+91-7926489801</t>
  </si>
  <si>
    <t>CRM-00536</t>
  </si>
  <si>
    <t>Siddharth Bose</t>
  </si>
  <si>
    <t>siddharth.bose@primeservices.com</t>
  </si>
  <si>
    <t>+91-7901881805</t>
  </si>
  <si>
    <t>CRM-00537</t>
  </si>
  <si>
    <t>simran.patel@skillforgetechnolo.com</t>
  </si>
  <si>
    <t>+91-8383748030</t>
  </si>
  <si>
    <t>CRM-00538</t>
  </si>
  <si>
    <t>Vivek Singh</t>
  </si>
  <si>
    <t>vivek.singh@urbanedgesolutions.com</t>
  </si>
  <si>
    <t>+91-7634296921</t>
  </si>
  <si>
    <t>CRM-00539</t>
  </si>
  <si>
    <t>Varun Mehta</t>
  </si>
  <si>
    <t>varun.mehta@databridgeenterpri.com</t>
  </si>
  <si>
    <t>+91-9763796004</t>
  </si>
  <si>
    <t>CRM-00540</t>
  </si>
  <si>
    <t>Vivek Saxena</t>
  </si>
  <si>
    <t>vivek.saxena@nextgensolutions.com</t>
  </si>
  <si>
    <t>+91-9459916913</t>
  </si>
  <si>
    <t>CRM-00541</t>
  </si>
  <si>
    <t>Simran Jain</t>
  </si>
  <si>
    <t>simran.jain@novatechnologies.com</t>
  </si>
  <si>
    <t>+91-7760022701</t>
  </si>
  <si>
    <t>CRM-00542</t>
  </si>
  <si>
    <t>tanvi.nair@brightpathtechnolo.com</t>
  </si>
  <si>
    <t>+91-8207892033</t>
  </si>
  <si>
    <t>CRM-00543</t>
  </si>
  <si>
    <t>Varun Rao</t>
  </si>
  <si>
    <t>varun.rao@mediplusconsulting.com</t>
  </si>
  <si>
    <t>+91-8859279725</t>
  </si>
  <si>
    <t>CRM-00544</t>
  </si>
  <si>
    <t>Ritika Kapoor</t>
  </si>
  <si>
    <t>ritika.kapoor@nextgenenterprises.com</t>
  </si>
  <si>
    <t>+91-7460031973</t>
  </si>
  <si>
    <t>CRM-00545</t>
  </si>
  <si>
    <t>tanvi.mehta@insightwaveenterpr.com</t>
  </si>
  <si>
    <t>+91-7062259646</t>
  </si>
  <si>
    <t>CRM-00546</t>
  </si>
  <si>
    <t>harsh.joshi@finedgeventures.com</t>
  </si>
  <si>
    <t>+91-9102432666</t>
  </si>
  <si>
    <t>CRM-00547</t>
  </si>
  <si>
    <t>isha.sharma@primegroup.com</t>
  </si>
  <si>
    <t>+91-9978729696</t>
  </si>
  <si>
    <t>CRM-00548</t>
  </si>
  <si>
    <t>harsh.joshi@educoresolutions.com</t>
  </si>
  <si>
    <t>+91-7345895487</t>
  </si>
  <si>
    <t>CRM-00549</t>
  </si>
  <si>
    <t>Nitin Singh</t>
  </si>
  <si>
    <t>nitin.singh@nextgenservices.com</t>
  </si>
  <si>
    <t>+91-8742373651</t>
  </si>
  <si>
    <t>CRM-00550</t>
  </si>
  <si>
    <t>Divya Malhotra</t>
  </si>
  <si>
    <t>divya.malhotra@insightwaveenterpr.com</t>
  </si>
  <si>
    <t>+91-8668742471</t>
  </si>
  <si>
    <t>CRM-00551</t>
  </si>
  <si>
    <t>Pooja Khan</t>
  </si>
  <si>
    <t>pooja.khan@nextgensolutions.com</t>
  </si>
  <si>
    <t>+91-9783913405</t>
  </si>
  <si>
    <t>CRM-00552</t>
  </si>
  <si>
    <t>karan.chopra@primeventures.com</t>
  </si>
  <si>
    <t>+91-8812512844</t>
  </si>
  <si>
    <t>CRM-00553</t>
  </si>
  <si>
    <t>manish.verma@educoreservices.com</t>
  </si>
  <si>
    <t>+91-9398027573</t>
  </si>
  <si>
    <t>CRM-00554</t>
  </si>
  <si>
    <t>varun.khan@novaanalytics.com</t>
  </si>
  <si>
    <t>+91-9824595959</t>
  </si>
  <si>
    <t>CRM-00555</t>
  </si>
  <si>
    <t>suresh.verma@bluepeakenterprise.com</t>
  </si>
  <si>
    <t>+91-7614990948</t>
  </si>
  <si>
    <t>CRM-00556</t>
  </si>
  <si>
    <t>Karan Verma</t>
  </si>
  <si>
    <t>karan.verma@nextgengroup.com</t>
  </si>
  <si>
    <t>+91-7690594829</t>
  </si>
  <si>
    <t>CRM-00557</t>
  </si>
  <si>
    <t>Shruti Verma</t>
  </si>
  <si>
    <t>shruti.verma@urbanedgetechnolog.com</t>
  </si>
  <si>
    <t>+91-7058684516</t>
  </si>
  <si>
    <t>CRM-00558</t>
  </si>
  <si>
    <t>harsh.malhotra@databridgesystems.com</t>
  </si>
  <si>
    <t>+91-8613150924</t>
  </si>
  <si>
    <t>CRM-00559</t>
  </si>
  <si>
    <t>varun.khan@brightpathservices.com</t>
  </si>
  <si>
    <t>+91-9032747395</t>
  </si>
  <si>
    <t>CRM-00560</t>
  </si>
  <si>
    <t>divya.chopra@urbanedgeconsultin.com</t>
  </si>
  <si>
    <t>+91-9246032716</t>
  </si>
  <si>
    <t>CRM-00561</t>
  </si>
  <si>
    <t>Mansi Kapoor</t>
  </si>
  <si>
    <t>mansi.kapoor@bluepeakenterprise.com</t>
  </si>
  <si>
    <t>+91-7317945085</t>
  </si>
  <si>
    <t>CRM-00562</t>
  </si>
  <si>
    <t>mansi.joshi@novaservices.com</t>
  </si>
  <si>
    <t>+91-7394891550</t>
  </si>
  <si>
    <t>CRM-00563</t>
  </si>
  <si>
    <t>Isha Jain</t>
  </si>
  <si>
    <t>isha.jain@novagroup.com</t>
  </si>
  <si>
    <t>+91-7143321131</t>
  </si>
  <si>
    <t>CRM-00564</t>
  </si>
  <si>
    <t>tanvi.singh@cloudnestconsultin.com</t>
  </si>
  <si>
    <t>+91-8147588202</t>
  </si>
  <si>
    <t>CRM-00565</t>
  </si>
  <si>
    <t>Sanya Iyer</t>
  </si>
  <si>
    <t>sanya.iyer@primelabs.com</t>
  </si>
  <si>
    <t>+91-8673298129</t>
  </si>
  <si>
    <t>CRM-00566</t>
  </si>
  <si>
    <t>Tanvi Sharma</t>
  </si>
  <si>
    <t>tanvi.sharma@finedgeanalytics.com</t>
  </si>
  <si>
    <t>+91-7658069117</t>
  </si>
  <si>
    <t>CRM-00567</t>
  </si>
  <si>
    <t>Varun Chopra</t>
  </si>
  <si>
    <t>varun.chopra@insightwavetechnol.com</t>
  </si>
  <si>
    <t>+91-7738324365</t>
  </si>
  <si>
    <t>CRM-00568</t>
  </si>
  <si>
    <t>isha.malhotra@techaxissystems.com</t>
  </si>
  <si>
    <t>+91-9989034743</t>
  </si>
  <si>
    <t>CRM-00569</t>
  </si>
  <si>
    <t>vivek.singh@marketpulsegroup.com</t>
  </si>
  <si>
    <t>+91-8775395904</t>
  </si>
  <si>
    <t>CRM-00570</t>
  </si>
  <si>
    <t>Mohan Malhotra</t>
  </si>
  <si>
    <t>mohan.malhotra@brightpathsystems.com</t>
  </si>
  <si>
    <t>+91-8329991027</t>
  </si>
  <si>
    <t>CRM-00571</t>
  </si>
  <si>
    <t>Nitin Nair</t>
  </si>
  <si>
    <t>nitin.nair@finedgeconsulting.com</t>
  </si>
  <si>
    <t>+91-9644259849</t>
  </si>
  <si>
    <t>CRM-00572</t>
  </si>
  <si>
    <t>simran.mehta@cloudnestsolutions.com</t>
  </si>
  <si>
    <t>+91-8794614209</t>
  </si>
  <si>
    <t>CRM-00573</t>
  </si>
  <si>
    <t>isha.mishra@databridgesystems.com</t>
  </si>
  <si>
    <t>+91-9102653609</t>
  </si>
  <si>
    <t>CRM-00574</t>
  </si>
  <si>
    <t>nandini.khan@marketpulsesolutio.com</t>
  </si>
  <si>
    <t>+91-7652389580</t>
  </si>
  <si>
    <t>CRM-00575</t>
  </si>
  <si>
    <t>varun.singh@urbanedgetechnolog.com</t>
  </si>
  <si>
    <t>+91-7030733099</t>
  </si>
  <si>
    <t>CRM-00576</t>
  </si>
  <si>
    <t>Siddharth Das</t>
  </si>
  <si>
    <t>siddharth.das@insightwaveservice.com</t>
  </si>
  <si>
    <t>+91-7987026133</t>
  </si>
  <si>
    <t>CRM-00577</t>
  </si>
  <si>
    <t>Neha Kapoor</t>
  </si>
  <si>
    <t>neha.kapoor@skillforgetechnolo.com</t>
  </si>
  <si>
    <t>+91-9777012565</t>
  </si>
  <si>
    <t>CRM-00578</t>
  </si>
  <si>
    <t>Deepak Gupta</t>
  </si>
  <si>
    <t>deepak.gupta@primeservices.com</t>
  </si>
  <si>
    <t>+91-8334735334</t>
  </si>
  <si>
    <t>CRM-00579</t>
  </si>
  <si>
    <t>ritika.verma@insightwavesystems.com</t>
  </si>
  <si>
    <t>+91-7830991034</t>
  </si>
  <si>
    <t>CRM-00580</t>
  </si>
  <si>
    <t>Mansi Saxena</t>
  </si>
  <si>
    <t>mansi.saxena@finedgeconsulting.com</t>
  </si>
  <si>
    <t>+91-9284888857</t>
  </si>
  <si>
    <t>CRM-00581</t>
  </si>
  <si>
    <t>neha.singh@skillforgeanalytic.com</t>
  </si>
  <si>
    <t>+91-9317440466</t>
  </si>
  <si>
    <t>CRM-00582</t>
  </si>
  <si>
    <t>Siddharth Gupta</t>
  </si>
  <si>
    <t>siddharth.gupta@techaxislabs.com</t>
  </si>
  <si>
    <t>+91-8858648111</t>
  </si>
  <si>
    <t>CRM-00583</t>
  </si>
  <si>
    <t>Ritika Saxena</t>
  </si>
  <si>
    <t>ritika.saxena@cloudnestlabs.com</t>
  </si>
  <si>
    <t>+91-8693016154</t>
  </si>
  <si>
    <t>CRM-00584</t>
  </si>
  <si>
    <t>manish.sharma@educoreconsulting.com</t>
  </si>
  <si>
    <t>+91-8838360384</t>
  </si>
  <si>
    <t>CRM-00585</t>
  </si>
  <si>
    <t>pooja.verma@brightpathtechnolo.com</t>
  </si>
  <si>
    <t>+91-8169070315</t>
  </si>
  <si>
    <t>CRM-00586</t>
  </si>
  <si>
    <t>karan.chopra@brightpathventures.com</t>
  </si>
  <si>
    <t>+91-8212586284</t>
  </si>
  <si>
    <t>CRM-00587</t>
  </si>
  <si>
    <t>Arjun Iyer</t>
  </si>
  <si>
    <t>arjun.iyer@databridgelabs.com</t>
  </si>
  <si>
    <t>+91-7953511536</t>
  </si>
  <si>
    <t>CRM-00588</t>
  </si>
  <si>
    <t>riya.rao@nextgengroup.com</t>
  </si>
  <si>
    <t>+91-9695750924</t>
  </si>
  <si>
    <t>CRM-00589</t>
  </si>
  <si>
    <t>Rakesh Chopra</t>
  </si>
  <si>
    <t>rakesh.chopra@databridgetechnolo.com</t>
  </si>
  <si>
    <t>+91-8218675123</t>
  </si>
  <si>
    <t>CRM-00590</t>
  </si>
  <si>
    <t>Isha Kapoor</t>
  </si>
  <si>
    <t>isha.kapoor@brightpathsystems.com</t>
  </si>
  <si>
    <t>+91-9656344927</t>
  </si>
  <si>
    <t>CRM-00591</t>
  </si>
  <si>
    <t>Rakesh Jain</t>
  </si>
  <si>
    <t>rakesh.jain@novasolutions.com</t>
  </si>
  <si>
    <t>+91-8059148320</t>
  </si>
  <si>
    <t>CRM-00592</t>
  </si>
  <si>
    <t>nitin.agarwal@bluepeakventures.com</t>
  </si>
  <si>
    <t>+91-9231355969</t>
  </si>
  <si>
    <t>CRM-00593</t>
  </si>
  <si>
    <t>Rahul Jain</t>
  </si>
  <si>
    <t>rahul.jain@databridgesystems.com</t>
  </si>
  <si>
    <t>+91-9658295136</t>
  </si>
  <si>
    <t>CRM-00594</t>
  </si>
  <si>
    <t>mehak.khan@novaconsulting.com</t>
  </si>
  <si>
    <t>+91-8070658031</t>
  </si>
  <si>
    <t>CRM-00595</t>
  </si>
  <si>
    <t>harsh.das@brightpathenterpri.com</t>
  </si>
  <si>
    <t>+91-9973426419</t>
  </si>
  <si>
    <t>CRM-00596</t>
  </si>
  <si>
    <t>manish.saxena@marketpulsesystems.com</t>
  </si>
  <si>
    <t>+91-9214719192</t>
  </si>
  <si>
    <t>CRM-00597</t>
  </si>
  <si>
    <t>mehak.bose@primeenterprises.com</t>
  </si>
  <si>
    <t>+91-8209712226</t>
  </si>
  <si>
    <t>CRM-00598</t>
  </si>
  <si>
    <t>varun.khan@finedgetechnologie.com</t>
  </si>
  <si>
    <t>+91-9842679617</t>
  </si>
  <si>
    <t>CRM-00599</t>
  </si>
  <si>
    <t>rakesh.iyer@novaventures.com</t>
  </si>
  <si>
    <t>+91-9140853615</t>
  </si>
  <si>
    <t>CRM-00600</t>
  </si>
  <si>
    <t>Varun Patel</t>
  </si>
  <si>
    <t>varun.patel@finedgelabs.com</t>
  </si>
  <si>
    <t>+91-9845317548</t>
  </si>
  <si>
    <t>CRM-00601</t>
  </si>
  <si>
    <t>Varun Bose</t>
  </si>
  <si>
    <t>varun.bose@insightwaveventure.com</t>
  </si>
  <si>
    <t>+91-8766198531</t>
  </si>
  <si>
    <t>CRM-00602</t>
  </si>
  <si>
    <t>riya.gupta@nextgenventures.com</t>
  </si>
  <si>
    <t>+91-9452555475</t>
  </si>
  <si>
    <t>CRM-00603</t>
  </si>
  <si>
    <t>Rakesh Bose</t>
  </si>
  <si>
    <t>rakesh.bose@educoresolutions.com</t>
  </si>
  <si>
    <t>+91-7642723835</t>
  </si>
  <si>
    <t>CRM-00604</t>
  </si>
  <si>
    <t>riya.bose@skillforgetechnolo.com</t>
  </si>
  <si>
    <t>+91-7029662463</t>
  </si>
  <si>
    <t>CRM-00605</t>
  </si>
  <si>
    <t>rakesh.jain@primeenterprises.com</t>
  </si>
  <si>
    <t>+91-7684639041</t>
  </si>
  <si>
    <t>CRM-00606</t>
  </si>
  <si>
    <t>amit.khan@skillforgeventures.com</t>
  </si>
  <si>
    <t>+91-8943390615</t>
  </si>
  <si>
    <t>CRM-00607</t>
  </si>
  <si>
    <t>ritika.saxena@bluepeakanalytics.com</t>
  </si>
  <si>
    <t>+91-9239094843</t>
  </si>
  <si>
    <t>CRM-00608</t>
  </si>
  <si>
    <t>siddharth.das@finedgesolutions.com</t>
  </si>
  <si>
    <t>+91-7305982370</t>
  </si>
  <si>
    <t>CRM-00609</t>
  </si>
  <si>
    <t>amit.khan@primesolutions.com</t>
  </si>
  <si>
    <t>+91-8451735288</t>
  </si>
  <si>
    <t>CRM-00610</t>
  </si>
  <si>
    <t>nandini.verma@techaxisservices.com</t>
  </si>
  <si>
    <t>+91-9360796730</t>
  </si>
  <si>
    <t>CRM-00611</t>
  </si>
  <si>
    <t>FinEdge Systems</t>
  </si>
  <si>
    <t>rakesh.kapoor@finedgesystems.com</t>
  </si>
  <si>
    <t>+91-8074078363</t>
  </si>
  <si>
    <t>CRM-00612</t>
  </si>
  <si>
    <t>amit.gupta@educoregroup.com</t>
  </si>
  <si>
    <t>+91-9770978604</t>
  </si>
  <si>
    <t>CRM-00613</t>
  </si>
  <si>
    <t>neha.gupta@cloudnestlabs.com</t>
  </si>
  <si>
    <t>+91-7855942273</t>
  </si>
  <si>
    <t>CRM-00614</t>
  </si>
  <si>
    <t>mehak.kapoor@finedgetechnologie.com</t>
  </si>
  <si>
    <t>+91-9523756762</t>
  </si>
  <si>
    <t>CRM-00615</t>
  </si>
  <si>
    <t>tanvi.malhotra@mediplusventures.com</t>
  </si>
  <si>
    <t>+91-8949460177</t>
  </si>
  <si>
    <t>CRM-00616</t>
  </si>
  <si>
    <t>simran.rao@insightwavesolutio.com</t>
  </si>
  <si>
    <t>+91-8080276151</t>
  </si>
  <si>
    <t>CRM-00617</t>
  </si>
  <si>
    <t>harsh.gupta@nextgensolutions.com</t>
  </si>
  <si>
    <t>+91-8172710397</t>
  </si>
  <si>
    <t>CRM-00618</t>
  </si>
  <si>
    <t>suresh.gupta@growthlabconsultin.com</t>
  </si>
  <si>
    <t>+91-7530617935</t>
  </si>
  <si>
    <t>CRM-00619</t>
  </si>
  <si>
    <t>Riya Singh</t>
  </si>
  <si>
    <t>riya.singh@skillforgeconsulti.com</t>
  </si>
  <si>
    <t>+91-8333332707</t>
  </si>
  <si>
    <t>CRM-00620</t>
  </si>
  <si>
    <t>mansi.patel@growthlabenterpris.com</t>
  </si>
  <si>
    <t>+91-8621550885</t>
  </si>
  <si>
    <t>CRM-00621</t>
  </si>
  <si>
    <t>Abhishek Mishra</t>
  </si>
  <si>
    <t>abhishek.mishra@skillforgeservices.com</t>
  </si>
  <si>
    <t>+91-9968852583</t>
  </si>
  <si>
    <t>CRM-00622</t>
  </si>
  <si>
    <t>Suresh Khan</t>
  </si>
  <si>
    <t>suresh.khan@databridgeconsulti.com</t>
  </si>
  <si>
    <t>+91-9348440558</t>
  </si>
  <si>
    <t>CRM-00623</t>
  </si>
  <si>
    <t>pooja.sharma@brightpathtechnolo.com</t>
  </si>
  <si>
    <t>+91-7113691812</t>
  </si>
  <si>
    <t>CRM-00624</t>
  </si>
  <si>
    <t>rahul.verma@skillforgeanalytic.com</t>
  </si>
  <si>
    <t>+91-8519124678</t>
  </si>
  <si>
    <t>CRM-00625</t>
  </si>
  <si>
    <t>siddharth.singh@medipluslabs.com</t>
  </si>
  <si>
    <t>+91-7560255547</t>
  </si>
  <si>
    <t>CRM-00626</t>
  </si>
  <si>
    <t>Kavya Patel</t>
  </si>
  <si>
    <t>kavya.patel@finedgeanalytics.com</t>
  </si>
  <si>
    <t>+91-8202994018</t>
  </si>
  <si>
    <t>CRM-00627</t>
  </si>
  <si>
    <t>Suresh Iyer</t>
  </si>
  <si>
    <t>suresh.iyer@novaventures.com</t>
  </si>
  <si>
    <t>+91-8802931209</t>
  </si>
  <si>
    <t>CRM-00628</t>
  </si>
  <si>
    <t>nandini.malhotra@marketpulseventure.com</t>
  </si>
  <si>
    <t>+91-8842072690</t>
  </si>
  <si>
    <t>CRM-00629</t>
  </si>
  <si>
    <t>mohan.malhotra@bluepeakconsulting.com</t>
  </si>
  <si>
    <t>+91-8829864579</t>
  </si>
  <si>
    <t>CRM-00630</t>
  </si>
  <si>
    <t>amit.bose@cloudnestsolutions.com</t>
  </si>
  <si>
    <t>+91-7810935825</t>
  </si>
  <si>
    <t>CRM-00631</t>
  </si>
  <si>
    <t>Kavya Kapoor</t>
  </si>
  <si>
    <t>kavya.kapoor@educoresystems.com</t>
  </si>
  <si>
    <t>+91-7489088379</t>
  </si>
  <si>
    <t>CRM-00632</t>
  </si>
  <si>
    <t>manish.joshi@novatechnologies.com</t>
  </si>
  <si>
    <t>+91-9659419043</t>
  </si>
  <si>
    <t>CRM-00633</t>
  </si>
  <si>
    <t>vivek.rao@educoresolutions.com</t>
  </si>
  <si>
    <t>+91-7490374050</t>
  </si>
  <si>
    <t>CRM-00634</t>
  </si>
  <si>
    <t>suresh.kapoor@urbanedgeenterpris.com</t>
  </si>
  <si>
    <t>+91-8251359256</t>
  </si>
  <si>
    <t>CRM-00635</t>
  </si>
  <si>
    <t>suresh.kapoor@insightwavesolutio.com</t>
  </si>
  <si>
    <t>+91-9490943696</t>
  </si>
  <si>
    <t>CRM-00636</t>
  </si>
  <si>
    <t>arjun.nair@finedgeanalytics.com</t>
  </si>
  <si>
    <t>+91-8299735243</t>
  </si>
  <si>
    <t>CRM-00637</t>
  </si>
  <si>
    <t>riya.nair@mediplusenterprise.com</t>
  </si>
  <si>
    <t>+91-7708657157</t>
  </si>
  <si>
    <t>CRM-00638</t>
  </si>
  <si>
    <t>Abhishek Sharma</t>
  </si>
  <si>
    <t>abhishek.sharma@educoreventures.com</t>
  </si>
  <si>
    <t>+91-7622834252</t>
  </si>
  <si>
    <t>CRM-00639</t>
  </si>
  <si>
    <t>Rahul Bose</t>
  </si>
  <si>
    <t>rahul.bose@skillforgeanalytic.com</t>
  </si>
  <si>
    <t>+91-8748670283</t>
  </si>
  <si>
    <t>CRM-00640</t>
  </si>
  <si>
    <t>kavya.mehta@bluepeakenterprise.com</t>
  </si>
  <si>
    <t>+91-7472668434</t>
  </si>
  <si>
    <t>CRM-00641</t>
  </si>
  <si>
    <t>rahul.bose@nextgenventures.com</t>
  </si>
  <si>
    <t>+91-8143125057</t>
  </si>
  <si>
    <t>CRM-00642</t>
  </si>
  <si>
    <t>mehak.verma@novaconsulting.com</t>
  </si>
  <si>
    <t>+91-7344699148</t>
  </si>
  <si>
    <t>CRM-00643</t>
  </si>
  <si>
    <t>abhishek.khan@databridgeconsulti.com</t>
  </si>
  <si>
    <t>+91-7316619240</t>
  </si>
  <si>
    <t>CRM-00644</t>
  </si>
  <si>
    <t>riya.rao@techaxistechnologi.com</t>
  </si>
  <si>
    <t>+91-8365321373</t>
  </si>
  <si>
    <t>CRM-00645</t>
  </si>
  <si>
    <t>Vivek Patel</t>
  </si>
  <si>
    <t>vivek.patel@finedgeenterprises.com</t>
  </si>
  <si>
    <t>+91-9155595544</t>
  </si>
  <si>
    <t>CRM-00646</t>
  </si>
  <si>
    <t>varun.khan@primesolutions.com</t>
  </si>
  <si>
    <t>+91-7438915310</t>
  </si>
  <si>
    <t>CRM-00647</t>
  </si>
  <si>
    <t>amit.das@nextgenanalytics.com</t>
  </si>
  <si>
    <t>+91-8424841932</t>
  </si>
  <si>
    <t>CRM-00648</t>
  </si>
  <si>
    <t>nitin.mehta@bluepeaklabs.com</t>
  </si>
  <si>
    <t>+91-8835263607</t>
  </si>
  <si>
    <t>CRM-00649</t>
  </si>
  <si>
    <t>ritika.malhotra@nextgensolutions.com</t>
  </si>
  <si>
    <t>+91-7048552578</t>
  </si>
  <si>
    <t>CRM-00650</t>
  </si>
  <si>
    <t>manish.saxena@nextgenventures.com</t>
  </si>
  <si>
    <t>+91-8074375389</t>
  </si>
  <si>
    <t>CRM-00651</t>
  </si>
  <si>
    <t>rahul.mishra@databridgeconsulti.com</t>
  </si>
  <si>
    <t>+91-9682973866</t>
  </si>
  <si>
    <t>CRM-00652</t>
  </si>
  <si>
    <t>Sanya Agarwal</t>
  </si>
  <si>
    <t>sanya.agarwal@cloudnestanalytics.com</t>
  </si>
  <si>
    <t>+91-9776269508</t>
  </si>
  <si>
    <t>CRM-00653</t>
  </si>
  <si>
    <t>manish.verma@brightpathventures.com</t>
  </si>
  <si>
    <t>+91-7580360120</t>
  </si>
  <si>
    <t>CRM-00654</t>
  </si>
  <si>
    <t>karan.chopra@mediplussystems.com</t>
  </si>
  <si>
    <t>+91-8031065214</t>
  </si>
  <si>
    <t>CRM-00655</t>
  </si>
  <si>
    <t>shruti.chopra@urbanedgeanalytics.com</t>
  </si>
  <si>
    <t>+91-9491244782</t>
  </si>
  <si>
    <t>CRM-00656</t>
  </si>
  <si>
    <t>vivek.patel@marketpulsetechnol.com</t>
  </si>
  <si>
    <t>+91-8972247410</t>
  </si>
  <si>
    <t>CRM-00657</t>
  </si>
  <si>
    <t>mohan.sharma@primeventures.com</t>
  </si>
  <si>
    <t>+91-8775094489</t>
  </si>
  <si>
    <t>CRM-00658</t>
  </si>
  <si>
    <t>riya.chopra@primeenterprises.com</t>
  </si>
  <si>
    <t>+91-7000473175</t>
  </si>
  <si>
    <t>CRM-00659</t>
  </si>
  <si>
    <t>Simran Verma</t>
  </si>
  <si>
    <t>simran.verma@primeanalytics.com</t>
  </si>
  <si>
    <t>+91-7654088261</t>
  </si>
  <si>
    <t>CRM-00660</t>
  </si>
  <si>
    <t>nandini.kapoor@techaxissolutions.com</t>
  </si>
  <si>
    <t>+91-7751652781</t>
  </si>
  <si>
    <t>CRM-00661</t>
  </si>
  <si>
    <t>neha.iyer@databridgesystems.com</t>
  </si>
  <si>
    <t>+91-8158079469</t>
  </si>
  <si>
    <t>CRM-00662</t>
  </si>
  <si>
    <t>Ritika Chopra</t>
  </si>
  <si>
    <t>ritika.chopra@mediplusconsulting.com</t>
  </si>
  <si>
    <t>+91-8626015849</t>
  </si>
  <si>
    <t>CRM-00663</t>
  </si>
  <si>
    <t>Aditi Verma</t>
  </si>
  <si>
    <t>aditi.verma@urbanedgegroup.com</t>
  </si>
  <si>
    <t>+91-8958987103</t>
  </si>
  <si>
    <t>CRM-00664</t>
  </si>
  <si>
    <t>pooja.agarwal@primeconsulting.com</t>
  </si>
  <si>
    <t>+91-8292530965</t>
  </si>
  <si>
    <t>CRM-00665</t>
  </si>
  <si>
    <t>Karan Malhotra</t>
  </si>
  <si>
    <t>karan.malhotra@marketpulsesystems.com</t>
  </si>
  <si>
    <t>+91-9540154929</t>
  </si>
  <si>
    <t>CRM-00666</t>
  </si>
  <si>
    <t>mansi.gupta@skillforgesystems.com</t>
  </si>
  <si>
    <t>+91-9514420991</t>
  </si>
  <si>
    <t>CRM-00667</t>
  </si>
  <si>
    <t>ritika.das@techaxissystems.com</t>
  </si>
  <si>
    <t>+91-8991766915</t>
  </si>
  <si>
    <t>CRM-00668</t>
  </si>
  <si>
    <t>deepak.malhotra@marketpulselabs.com</t>
  </si>
  <si>
    <t>+91-9807854777</t>
  </si>
  <si>
    <t>CRM-00669</t>
  </si>
  <si>
    <t>Nandini Mehta</t>
  </si>
  <si>
    <t>nandini.mehta@educoresystems.com</t>
  </si>
  <si>
    <t>+91-7694378847</t>
  </si>
  <si>
    <t>CRM-00670</t>
  </si>
  <si>
    <t>Rakesh Singh</t>
  </si>
  <si>
    <t>rakesh.singh@growthlablabs.com</t>
  </si>
  <si>
    <t>+91-7577517218</t>
  </si>
  <si>
    <t>CRM-00671</t>
  </si>
  <si>
    <t>kavya.patel@skillforgetechnolo.com</t>
  </si>
  <si>
    <t>+91-7047719474</t>
  </si>
  <si>
    <t>CRM-00672</t>
  </si>
  <si>
    <t>Amit Agarwal</t>
  </si>
  <si>
    <t>amit.agarwal@growthlabenterpris.com</t>
  </si>
  <si>
    <t>+91-9056073283</t>
  </si>
  <si>
    <t>CRM-00673</t>
  </si>
  <si>
    <t>Vivek Verma</t>
  </si>
  <si>
    <t>vivek.verma@primetechnologies.com</t>
  </si>
  <si>
    <t>+91-7503388917</t>
  </si>
  <si>
    <t>CRM-00674</t>
  </si>
  <si>
    <t>amit.agarwal@cloudnesttechnolog.com</t>
  </si>
  <si>
    <t>+91-9860416657</t>
  </si>
  <si>
    <t>CRM-00675</t>
  </si>
  <si>
    <t>EduCore Analytics</t>
  </si>
  <si>
    <t>shruti.kapoor@educoreanalytics.com</t>
  </si>
  <si>
    <t>+91-7444298787</t>
  </si>
  <si>
    <t>CRM-00676</t>
  </si>
  <si>
    <t>Riya Agarwal</t>
  </si>
  <si>
    <t>riya.agarwal@urbanedgeconsultin.com</t>
  </si>
  <si>
    <t>+91-8331225049</t>
  </si>
  <si>
    <t>CRM-00677</t>
  </si>
  <si>
    <t>Mohan Singh</t>
  </si>
  <si>
    <t>mohan.singh@finedgeenterprises.com</t>
  </si>
  <si>
    <t>+91-8835550168</t>
  </si>
  <si>
    <t>CRM-00678</t>
  </si>
  <si>
    <t>ritika.sharma@mediplusventures.com</t>
  </si>
  <si>
    <t>+91-7599874250</t>
  </si>
  <si>
    <t>CRM-00679</t>
  </si>
  <si>
    <t>mohan.chopra@finedgeenterprises.com</t>
  </si>
  <si>
    <t>+91-7709185207</t>
  </si>
  <si>
    <t>CRM-00680</t>
  </si>
  <si>
    <t>shruti.mishra@databridgesystems.com</t>
  </si>
  <si>
    <t>+91-9014280852</t>
  </si>
  <si>
    <t>CRM-00681</t>
  </si>
  <si>
    <t>Simran Saxena</t>
  </si>
  <si>
    <t>simran.saxena@cloudnestsolutions.com</t>
  </si>
  <si>
    <t>+91-9231223186</t>
  </si>
  <si>
    <t>CRM-00682</t>
  </si>
  <si>
    <t>nitin.sharma@techaxisconsulting.com</t>
  </si>
  <si>
    <t>+91-9424822789</t>
  </si>
  <si>
    <t>CRM-00683</t>
  </si>
  <si>
    <t>aditi.jain@urbanedgeservices.com</t>
  </si>
  <si>
    <t>+91-7087356724</t>
  </si>
  <si>
    <t>CRM-00684</t>
  </si>
  <si>
    <t>varun.kapoor@marketpulseconsult.com</t>
  </si>
  <si>
    <t>+91-9978524507</t>
  </si>
  <si>
    <t>CRM-00685</t>
  </si>
  <si>
    <t>deepak.iyer@novalabs.com</t>
  </si>
  <si>
    <t>+91-8395231455</t>
  </si>
  <si>
    <t>CRM-00686</t>
  </si>
  <si>
    <t>Siddharth Kapoor</t>
  </si>
  <si>
    <t>siddharth.kapoor@insightwavesolutio.com</t>
  </si>
  <si>
    <t>+91-7214159428</t>
  </si>
  <si>
    <t>CRM-00687</t>
  </si>
  <si>
    <t>Manish Gupta</t>
  </si>
  <si>
    <t>manish.gupta@primegroup.com</t>
  </si>
  <si>
    <t>+91-9960412571</t>
  </si>
  <si>
    <t>CRM-00688</t>
  </si>
  <si>
    <t>isha.nair@databridgelabs.com</t>
  </si>
  <si>
    <t>+91-7741932665</t>
  </si>
  <si>
    <t>CRM-00689</t>
  </si>
  <si>
    <t>Mansi Verma</t>
  </si>
  <si>
    <t>mansi.verma@insightwavegroup.com</t>
  </si>
  <si>
    <t>+91-9300173649</t>
  </si>
  <si>
    <t>CRM-00690</t>
  </si>
  <si>
    <t>sanya.agarwal@educoreenterprises.com</t>
  </si>
  <si>
    <t>+91-8655688385</t>
  </si>
  <si>
    <t>CRM-00691</t>
  </si>
  <si>
    <t>Abhishek Nair</t>
  </si>
  <si>
    <t>abhishek.nair@cloudnestgroup.com</t>
  </si>
  <si>
    <t>+91-8879231460</t>
  </si>
  <si>
    <t>CRM-00692</t>
  </si>
  <si>
    <t>nandini.joshi@cloudnesttechnolog.com</t>
  </si>
  <si>
    <t>+91-9810114184</t>
  </si>
  <si>
    <t>CRM-00693</t>
  </si>
  <si>
    <t>pooja.mehta@marketpulseventure.com</t>
  </si>
  <si>
    <t>+91-8142016151</t>
  </si>
  <si>
    <t>CRM-00694</t>
  </si>
  <si>
    <t>abhishek.iyer@educoreanalytics.com</t>
  </si>
  <si>
    <t>+91-8711054333</t>
  </si>
  <si>
    <t>CRM-00695</t>
  </si>
  <si>
    <t>ritika.das@educoresystems.com</t>
  </si>
  <si>
    <t>+91-9482237543</t>
  </si>
  <si>
    <t>CRM-00696</t>
  </si>
  <si>
    <t>isha.mehta@brightpathventures.com</t>
  </si>
  <si>
    <t>+91-7654964762</t>
  </si>
  <si>
    <t>CRM-00697</t>
  </si>
  <si>
    <t>Siddharth Rao</t>
  </si>
  <si>
    <t>siddharth.rao@nextgenenterprises.com</t>
  </si>
  <si>
    <t>+91-9338098765</t>
  </si>
  <si>
    <t>CRM-00698</t>
  </si>
  <si>
    <t>Aditi Mehta</t>
  </si>
  <si>
    <t>aditi.mehta@growthlablabs.com</t>
  </si>
  <si>
    <t>+91-9999383152</t>
  </si>
  <si>
    <t>CRM-00699</t>
  </si>
  <si>
    <t>vivek.kapoor@brightpathenterpri.com</t>
  </si>
  <si>
    <t>+91-8713831860</t>
  </si>
  <si>
    <t>CRM-00700</t>
  </si>
  <si>
    <t>Rakesh Verma</t>
  </si>
  <si>
    <t>rakesh.verma@novaventures.com</t>
  </si>
  <si>
    <t>+91-8596521043</t>
  </si>
  <si>
    <t>CRM-00701</t>
  </si>
  <si>
    <t>rahul.malhotra@skillforgeventures.com</t>
  </si>
  <si>
    <t>+91-7785393532</t>
  </si>
  <si>
    <t>CRM-00702</t>
  </si>
  <si>
    <t>sanya.bose@marketpulsetechnol.com</t>
  </si>
  <si>
    <t>+91-9120666198</t>
  </si>
  <si>
    <t>CRM-00703</t>
  </si>
  <si>
    <t>nandini.rao@databridgeservices.com</t>
  </si>
  <si>
    <t>+91-9583517729</t>
  </si>
  <si>
    <t>CRM-00704</t>
  </si>
  <si>
    <t>siddharth.gupta@skillforgesolution.com</t>
  </si>
  <si>
    <t>+91-8198950310</t>
  </si>
  <si>
    <t>CRM-00705</t>
  </si>
  <si>
    <t>manish.agarwal@educoreconsulting.com</t>
  </si>
  <si>
    <t>+91-7891913707</t>
  </si>
  <si>
    <t>CRM-00706</t>
  </si>
  <si>
    <t>ritika.gupta@mediplusventures.com</t>
  </si>
  <si>
    <t>+91-7506192305</t>
  </si>
  <si>
    <t>CRM-00707</t>
  </si>
  <si>
    <t>pooja.saxena@educoresystems.com</t>
  </si>
  <si>
    <t>+91-7399664546</t>
  </si>
  <si>
    <t>CRM-00708</t>
  </si>
  <si>
    <t>suresh.mehta@insightwavelabs.com</t>
  </si>
  <si>
    <t>+91-7098699371</t>
  </si>
  <si>
    <t>CRM-00709</t>
  </si>
  <si>
    <t>Amit Mishra</t>
  </si>
  <si>
    <t>amit.mishra@marketpulseanalyti.com</t>
  </si>
  <si>
    <t>+91-8312584697</t>
  </si>
  <si>
    <t>CRM-00710</t>
  </si>
  <si>
    <t>deepak.gupta@bluepeakgroup.com</t>
  </si>
  <si>
    <t>+91-7959117481</t>
  </si>
  <si>
    <t>CRM-00711</t>
  </si>
  <si>
    <t>mohan.sharma@cloudnestservices.com</t>
  </si>
  <si>
    <t>+91-7156753867</t>
  </si>
  <si>
    <t>CRM-00712</t>
  </si>
  <si>
    <t>BrightPath Consulting</t>
  </si>
  <si>
    <t>kavya.patel@brightpathconsulti.com</t>
  </si>
  <si>
    <t>+91-7057845331</t>
  </si>
  <si>
    <t>CRM-00713</t>
  </si>
  <si>
    <t>Aditi Sharma</t>
  </si>
  <si>
    <t>aditi.sharma@databridgelabs.com</t>
  </si>
  <si>
    <t>+91-8876896114</t>
  </si>
  <si>
    <t>CRM-00714</t>
  </si>
  <si>
    <t>deepak.patel@novaconsulting.com</t>
  </si>
  <si>
    <t>+91-7258216573</t>
  </si>
  <si>
    <t>CRM-00715</t>
  </si>
  <si>
    <t>Mohan Iyer</t>
  </si>
  <si>
    <t>mohan.iyer@skillforgesystems.com</t>
  </si>
  <si>
    <t>+91-8746685705</t>
  </si>
  <si>
    <t>CRM-00716</t>
  </si>
  <si>
    <t>amit.gupta@educoretechnologie.com</t>
  </si>
  <si>
    <t>+91-9357854307</t>
  </si>
  <si>
    <t>CRM-00717</t>
  </si>
  <si>
    <t>ritika.nair@databridgeventures.com</t>
  </si>
  <si>
    <t>+91-7809657518</t>
  </si>
  <si>
    <t>CRM-00718</t>
  </si>
  <si>
    <t>rahul.joshi@urbanedgesolutions.com</t>
  </si>
  <si>
    <t>+91-9937514657</t>
  </si>
  <si>
    <t>CRM-00719</t>
  </si>
  <si>
    <t>simran.das@educoresystems.com</t>
  </si>
  <si>
    <t>+91-9023817101</t>
  </si>
  <si>
    <t>CRM-00720</t>
  </si>
  <si>
    <t>riya.bose@skillforgeservices.com</t>
  </si>
  <si>
    <t>+91-7829569124</t>
  </si>
  <si>
    <t>CRM-00721</t>
  </si>
  <si>
    <t>abhishek.bose@marketpulsegroup.com</t>
  </si>
  <si>
    <t>+91-9176813340</t>
  </si>
  <si>
    <t>CRM-00722</t>
  </si>
  <si>
    <t>mohan.chopra@cloudnestservices.com</t>
  </si>
  <si>
    <t>+91-8173268689</t>
  </si>
  <si>
    <t>CRM-00723</t>
  </si>
  <si>
    <t>kavya.verma@mediplussolutions.com</t>
  </si>
  <si>
    <t>+91-8698622240</t>
  </si>
  <si>
    <t>CRM-00724</t>
  </si>
  <si>
    <t>shruti.saxena@growthlabanalytics.com</t>
  </si>
  <si>
    <t>+91-9366574002</t>
  </si>
  <si>
    <t>CRM-00725</t>
  </si>
  <si>
    <t>abhishek.agarwal@insightwavegroup.com</t>
  </si>
  <si>
    <t>+91-7448696400</t>
  </si>
  <si>
    <t>CRM-00726</t>
  </si>
  <si>
    <t>Isha Agarwal</t>
  </si>
  <si>
    <t>isha.agarwal@bluepeaktechnologi.com</t>
  </si>
  <si>
    <t>+91-7282857196</t>
  </si>
  <si>
    <t>CRM-00727</t>
  </si>
  <si>
    <t>pooja.singh@cloudnestsystems.com</t>
  </si>
  <si>
    <t>+91-8753878626</t>
  </si>
  <si>
    <t>CRM-00728</t>
  </si>
  <si>
    <t>vivek.mishra@bluepeakgroup.com</t>
  </si>
  <si>
    <t>+91-8575596741</t>
  </si>
  <si>
    <t>CRM-00729</t>
  </si>
  <si>
    <t>neha.patel@marketpulseanalyti.com</t>
  </si>
  <si>
    <t>+91-7843754846</t>
  </si>
  <si>
    <t>CRM-00730</t>
  </si>
  <si>
    <t>amit.verma@nextgenenterprises.com</t>
  </si>
  <si>
    <t>+91-7627146949</t>
  </si>
  <si>
    <t>CRM-00731</t>
  </si>
  <si>
    <t>divya.mishra@novalabs.com</t>
  </si>
  <si>
    <t>+91-7481532565</t>
  </si>
  <si>
    <t>CRM-00732</t>
  </si>
  <si>
    <t>harsh.singh@databridgelabs.com</t>
  </si>
  <si>
    <t>+91-7970556646</t>
  </si>
  <si>
    <t>CRM-00733</t>
  </si>
  <si>
    <t>varun.singh@educoretechnologie.com</t>
  </si>
  <si>
    <t>+91-7911724852</t>
  </si>
  <si>
    <t>CRM-00734</t>
  </si>
  <si>
    <t>CloudNest Ventures</t>
  </si>
  <si>
    <t>rakesh.das@cloudnestventures.com</t>
  </si>
  <si>
    <t>+91-7362880887</t>
  </si>
  <si>
    <t>CRM-00735</t>
  </si>
  <si>
    <t>mehak.iyer@skillforgeenterpri.com</t>
  </si>
  <si>
    <t>+91-9429781218</t>
  </si>
  <si>
    <t>CRM-00736</t>
  </si>
  <si>
    <t>vivek.rao@nextgenanalytics.com</t>
  </si>
  <si>
    <t>+91-7908482966</t>
  </si>
  <si>
    <t>CRM-00737</t>
  </si>
  <si>
    <t>siddharth.joshi@brightpathgroup.com</t>
  </si>
  <si>
    <t>+91-7064676727</t>
  </si>
  <si>
    <t>CRM-00738</t>
  </si>
  <si>
    <t>manish.saxena@brightpathlabs.com</t>
  </si>
  <si>
    <t>+91-9057844321</t>
  </si>
  <si>
    <t>CRM-00739</t>
  </si>
  <si>
    <t>shruti.kapoor@primeconsulting.com</t>
  </si>
  <si>
    <t>+91-8607187395</t>
  </si>
  <si>
    <t>CRM-00740</t>
  </si>
  <si>
    <t>aditi.verma@techaxisgroup.com</t>
  </si>
  <si>
    <t>+91-9017767052</t>
  </si>
  <si>
    <t>CRM-00741</t>
  </si>
  <si>
    <t>divya.agarwal@primeanalytics.com</t>
  </si>
  <si>
    <t>+91-9951948619</t>
  </si>
  <si>
    <t>CRM-00742</t>
  </si>
  <si>
    <t>nandini.joshi@marketpulseanalyti.com</t>
  </si>
  <si>
    <t>+91-7963739568</t>
  </si>
  <si>
    <t>CRM-00743</t>
  </si>
  <si>
    <t>deepak.malhotra@insightwavesystems.com</t>
  </si>
  <si>
    <t>+91-8236551063</t>
  </si>
  <si>
    <t>CRM-00744</t>
  </si>
  <si>
    <t>Riya Jain</t>
  </si>
  <si>
    <t>riya.jain@novasystems.com</t>
  </si>
  <si>
    <t>+91-8405959469</t>
  </si>
  <si>
    <t>CRM-00745</t>
  </si>
  <si>
    <t>tanvi.gupta@novaconsulting.com</t>
  </si>
  <si>
    <t>+91-9573178742</t>
  </si>
  <si>
    <t>CRM-00746</t>
  </si>
  <si>
    <t>Ritika Singh</t>
  </si>
  <si>
    <t>ritika.singh@brightpathsolution.com</t>
  </si>
  <si>
    <t>+91-7351683352</t>
  </si>
  <si>
    <t>CRM-00747</t>
  </si>
  <si>
    <t>Deepak Joshi</t>
  </si>
  <si>
    <t>deepak.joshi@cloudnestservices.com</t>
  </si>
  <si>
    <t>+91-9186753316</t>
  </si>
  <si>
    <t>CRM-00748</t>
  </si>
  <si>
    <t>pooja.agarwal@skillforgeconsulti.com</t>
  </si>
  <si>
    <t>+91-7874018193</t>
  </si>
  <si>
    <t>CRM-00749</t>
  </si>
  <si>
    <t>tanvi.gupta@finedgeconsulting.com</t>
  </si>
  <si>
    <t>+91-8238358972</t>
  </si>
  <si>
    <t>CRM-00750</t>
  </si>
  <si>
    <t>Nitin Patel</t>
  </si>
  <si>
    <t>nitin.patel@skillforgegroup.com</t>
  </si>
  <si>
    <t>+91-9960129834</t>
  </si>
  <si>
    <t>CRM-00751</t>
  </si>
  <si>
    <t>karan.sharma@brightpathanalytic.com</t>
  </si>
  <si>
    <t>+91-7242881452</t>
  </si>
  <si>
    <t>CRM-00752</t>
  </si>
  <si>
    <t>Shruti Khan</t>
  </si>
  <si>
    <t>shruti.khan@novagroup.com</t>
  </si>
  <si>
    <t>+91-7162528889</t>
  </si>
  <si>
    <t>CRM-00753</t>
  </si>
  <si>
    <t>deepak.sharma@marketpulselabs.com</t>
  </si>
  <si>
    <t>+91-8786575491</t>
  </si>
  <si>
    <t>CRM-00754</t>
  </si>
  <si>
    <t>Amit Nair</t>
  </si>
  <si>
    <t>amit.nair@mediplusconsulting.com</t>
  </si>
  <si>
    <t>+91-9377928989</t>
  </si>
  <si>
    <t>CRM-00755</t>
  </si>
  <si>
    <t>Manish Patel</t>
  </si>
  <si>
    <t>manish.patel@skillforgetechnolo.com</t>
  </si>
  <si>
    <t>+91-8229489632</t>
  </si>
  <si>
    <t>CRM-00756</t>
  </si>
  <si>
    <t>mansi.khan@bluepeakenterprise.com</t>
  </si>
  <si>
    <t>+91-8030728759</t>
  </si>
  <si>
    <t>CRM-00757</t>
  </si>
  <si>
    <t>mansi.nair@brightpathconsulti.com</t>
  </si>
  <si>
    <t>+91-7870567002</t>
  </si>
  <si>
    <t>CRM-00758</t>
  </si>
  <si>
    <t>isha.malhotra@mediplussolutions.com</t>
  </si>
  <si>
    <t>+91-8540474837</t>
  </si>
  <si>
    <t>CRM-00759</t>
  </si>
  <si>
    <t>ritika.sharma@skillforgesystems.com</t>
  </si>
  <si>
    <t>+91-8986692456</t>
  </si>
  <si>
    <t>CRM-00760</t>
  </si>
  <si>
    <t>Riya Mehta</t>
  </si>
  <si>
    <t>riya.mehta@marketpulsesolutio.com</t>
  </si>
  <si>
    <t>+91-8832824952</t>
  </si>
  <si>
    <t>CRM-00761</t>
  </si>
  <si>
    <t>Mohan Rao</t>
  </si>
  <si>
    <t>mohan.rao@primeventures.com</t>
  </si>
  <si>
    <t>+91-8024564945</t>
  </si>
  <si>
    <t>CRM-00762</t>
  </si>
  <si>
    <t>karan.kapoor@databridgesolution.com</t>
  </si>
  <si>
    <t>+91-8676310857</t>
  </si>
  <si>
    <t>CRM-00763</t>
  </si>
  <si>
    <t>mehak.malhotra@urbanedgeenterpris.com</t>
  </si>
  <si>
    <t>+91-9933561031</t>
  </si>
  <si>
    <t>CRM-00764</t>
  </si>
  <si>
    <t>amit.nair@growthlabenterpris.com</t>
  </si>
  <si>
    <t>+91-7254013148</t>
  </si>
  <si>
    <t>CRM-00765</t>
  </si>
  <si>
    <t>Pooja Chopra</t>
  </si>
  <si>
    <t>pooja.chopra@skillforgesystems.com</t>
  </si>
  <si>
    <t>+91-8832514786</t>
  </si>
  <si>
    <t>CRM-00766</t>
  </si>
  <si>
    <t>mansi.kapoor@nextgengroup.com</t>
  </si>
  <si>
    <t>+91-8359629955</t>
  </si>
  <si>
    <t>CRM-00767</t>
  </si>
  <si>
    <t>siddharth.verma@nextgensolutions.com</t>
  </si>
  <si>
    <t>+91-9163683683</t>
  </si>
  <si>
    <t>CRM-00768</t>
  </si>
  <si>
    <t>divya.chopra@databridgeconsulti.com</t>
  </si>
  <si>
    <t>+91-8492320360</t>
  </si>
  <si>
    <t>CRM-00769</t>
  </si>
  <si>
    <t>nandini.agarwal@primeservices.com</t>
  </si>
  <si>
    <t>+91-9992479663</t>
  </si>
  <si>
    <t>CRM-00770</t>
  </si>
  <si>
    <t>Suresh Patel</t>
  </si>
  <si>
    <t>suresh.patel@primeservices.com</t>
  </si>
  <si>
    <t>+91-8043985012</t>
  </si>
  <si>
    <t>CRM-00771</t>
  </si>
  <si>
    <t>nitin.saxena@mediplussystems.com</t>
  </si>
  <si>
    <t>+91-7674176424</t>
  </si>
  <si>
    <t>CRM-00772</t>
  </si>
  <si>
    <t>abhishek.sharma@nextgengroup.com</t>
  </si>
  <si>
    <t>+91-7602428478</t>
  </si>
  <si>
    <t>CRM-00773</t>
  </si>
  <si>
    <t>aditi.singh@cloudnestenterpris.com</t>
  </si>
  <si>
    <t>+91-8327321041</t>
  </si>
  <si>
    <t>CRM-00774</t>
  </si>
  <si>
    <t>riya.nair@skillforgeanalytic.com</t>
  </si>
  <si>
    <t>+91-8937944262</t>
  </si>
  <si>
    <t>CRM-00775</t>
  </si>
  <si>
    <t>Nitin Joshi</t>
  </si>
  <si>
    <t>nitin.joshi@growthlabservices.com</t>
  </si>
  <si>
    <t>+91-8774937825</t>
  </si>
  <si>
    <t>CRM-00776</t>
  </si>
  <si>
    <t>simran.mishra@databridgeventures.com</t>
  </si>
  <si>
    <t>+91-8433096868</t>
  </si>
  <si>
    <t>CRM-00777</t>
  </si>
  <si>
    <t>mohan.bose@mediplusanalytics.com</t>
  </si>
  <si>
    <t>+91-8848761858</t>
  </si>
  <si>
    <t>CRM-00778</t>
  </si>
  <si>
    <t>deepak.joshi@urbanedgesolutions.com</t>
  </si>
  <si>
    <t>+91-7499016093</t>
  </si>
  <si>
    <t>CRM-00779</t>
  </si>
  <si>
    <t>neha.gupta@urbanedgetechnolog.com</t>
  </si>
  <si>
    <t>+91-7418345137</t>
  </si>
  <si>
    <t>CRM-00780</t>
  </si>
  <si>
    <t>Karan Khan</t>
  </si>
  <si>
    <t>karan.khan@primesolutions.com</t>
  </si>
  <si>
    <t>+91-9272230415</t>
  </si>
  <si>
    <t>CRM-00781</t>
  </si>
  <si>
    <t>nitin.nair@bluepeakenterprise.com</t>
  </si>
  <si>
    <t>+91-8295267706</t>
  </si>
  <si>
    <t>CRM-00782</t>
  </si>
  <si>
    <t>karan.singh@educoreservices.com</t>
  </si>
  <si>
    <t>+91-8414545788</t>
  </si>
  <si>
    <t>CRM-00783</t>
  </si>
  <si>
    <t>Vivek Jain</t>
  </si>
  <si>
    <t>vivek.jain@growthlabventures.com</t>
  </si>
  <si>
    <t>+91-8106710286</t>
  </si>
  <si>
    <t>CRM-00784</t>
  </si>
  <si>
    <t>nitin.nair@primesolutions.com</t>
  </si>
  <si>
    <t>+91-8118610275</t>
  </si>
  <si>
    <t>CRM-00785</t>
  </si>
  <si>
    <t>Shruti Singh</t>
  </si>
  <si>
    <t>shruti.singh@techaxisgroup.com</t>
  </si>
  <si>
    <t>+91-9848949826</t>
  </si>
  <si>
    <t>CRM-00786</t>
  </si>
  <si>
    <t>Mansi Bose</t>
  </si>
  <si>
    <t>mansi.bose@novaservices.com</t>
  </si>
  <si>
    <t>+91-7268769373</t>
  </si>
  <si>
    <t>CRM-00787</t>
  </si>
  <si>
    <t>ritika.singh@cloudnestconsultin.com</t>
  </si>
  <si>
    <t>+91-8155823390</t>
  </si>
  <si>
    <t>CRM-00788</t>
  </si>
  <si>
    <t>Sanya Sharma</t>
  </si>
  <si>
    <t>sanya.sharma@novatechnologies.com</t>
  </si>
  <si>
    <t>+91-7419649673</t>
  </si>
  <si>
    <t>CRM-00789</t>
  </si>
  <si>
    <t>sanya.joshi@nextgensolutions.com</t>
  </si>
  <si>
    <t>+91-7071172342</t>
  </si>
  <si>
    <t>CRM-00790</t>
  </si>
  <si>
    <t>abhishek.mishra@bluepeakventures.com</t>
  </si>
  <si>
    <t>+91-7766978161</t>
  </si>
  <si>
    <t>CRM-00791</t>
  </si>
  <si>
    <t>riya.bose@databridgeconsulti.com</t>
  </si>
  <si>
    <t>+91-8370914459</t>
  </si>
  <si>
    <t>CRM-00792</t>
  </si>
  <si>
    <t>riya.saxena@growthlabenterpris.com</t>
  </si>
  <si>
    <t>+91-9561032695</t>
  </si>
  <si>
    <t>CRM-00793</t>
  </si>
  <si>
    <t>mohan.mishra@mediplustechnologi.com</t>
  </si>
  <si>
    <t>+91-9903440774</t>
  </si>
  <si>
    <t>CRM-00794</t>
  </si>
  <si>
    <t>Divya Gupta</t>
  </si>
  <si>
    <t>divya.gupta@cloudnestventures.com</t>
  </si>
  <si>
    <t>+91-7376122039</t>
  </si>
  <si>
    <t>CRM-00795</t>
  </si>
  <si>
    <t>neha.chopra@mediplusenterprise.com</t>
  </si>
  <si>
    <t>+91-8982644991</t>
  </si>
  <si>
    <t>CRM-00796</t>
  </si>
  <si>
    <t>suresh.nair@educoreanalytics.com</t>
  </si>
  <si>
    <t>+91-9404590125</t>
  </si>
  <si>
    <t>CRM-00797</t>
  </si>
  <si>
    <t>isha.gupta@databridgeservices.com</t>
  </si>
  <si>
    <t>+91-9299934098</t>
  </si>
  <si>
    <t>CRM-00798</t>
  </si>
  <si>
    <t>arjun.patel@novaanalytics.com</t>
  </si>
  <si>
    <t>+91-8434158339</t>
  </si>
  <si>
    <t>CRM-00799</t>
  </si>
  <si>
    <t>kavya.rao@novalabs.com</t>
  </si>
  <si>
    <t>+91-8983124362</t>
  </si>
  <si>
    <t>CRM-00800</t>
  </si>
  <si>
    <t>pooja.agarwal@mediplussolutions.com</t>
  </si>
  <si>
    <t>+91-7712867159</t>
  </si>
  <si>
    <t>CRM-00801</t>
  </si>
  <si>
    <t>Deepak Verma</t>
  </si>
  <si>
    <t>deepak.verma@nextgenservices.com</t>
  </si>
  <si>
    <t>+91-8219519095</t>
  </si>
  <si>
    <t>CRM-00802</t>
  </si>
  <si>
    <t>Siddharth Iyer</t>
  </si>
  <si>
    <t>siddharth.iyer@databridgesystems.com</t>
  </si>
  <si>
    <t>+91-9847432375</t>
  </si>
  <si>
    <t>CRM-00803</t>
  </si>
  <si>
    <t>tanvi.iyer@cloudnestsystems.com</t>
  </si>
  <si>
    <t>+91-8386862447</t>
  </si>
  <si>
    <t>CRM-00804</t>
  </si>
  <si>
    <t>ritika.mehta@novalabs.com</t>
  </si>
  <si>
    <t>+91-8835869517</t>
  </si>
  <si>
    <t>CRM-00805</t>
  </si>
  <si>
    <t>siddharth.nair@techaxisservices.com</t>
  </si>
  <si>
    <t>+91-7837070026</t>
  </si>
  <si>
    <t>CRM-00806</t>
  </si>
  <si>
    <t>Tanvi Khan</t>
  </si>
  <si>
    <t>tanvi.khan@primeenterprises.com</t>
  </si>
  <si>
    <t>+91-8869486867</t>
  </si>
  <si>
    <t>CRM-00807</t>
  </si>
  <si>
    <t>Riya Khan</t>
  </si>
  <si>
    <t>riya.khan@novalabs.com</t>
  </si>
  <si>
    <t>+91-9659732779</t>
  </si>
  <si>
    <t>CRM-00808</t>
  </si>
  <si>
    <t>tanvi.mehta@marketpulseenterpr.com</t>
  </si>
  <si>
    <t>+91-8811446143</t>
  </si>
  <si>
    <t>CRM-00809</t>
  </si>
  <si>
    <t>deepak.khan@insightwavelabs.com</t>
  </si>
  <si>
    <t>+91-8063432608</t>
  </si>
  <si>
    <t>CRM-00810</t>
  </si>
  <si>
    <t>Abhishek Das</t>
  </si>
  <si>
    <t>abhishek.das@marketpulselabs.com</t>
  </si>
  <si>
    <t>+91-8817114037</t>
  </si>
  <si>
    <t>CRM-00811</t>
  </si>
  <si>
    <t>mehak.gupta@finedgeanalytics.com</t>
  </si>
  <si>
    <t>+91-9469827161</t>
  </si>
  <si>
    <t>CRM-00812</t>
  </si>
  <si>
    <t>mansi.patel@mediplustechnologi.com</t>
  </si>
  <si>
    <t>+91-9445969792</t>
  </si>
  <si>
    <t>CRM-00813</t>
  </si>
  <si>
    <t>Suresh Singh</t>
  </si>
  <si>
    <t>suresh.singh@growthlabconsultin.com</t>
  </si>
  <si>
    <t>+91-7268212827</t>
  </si>
  <si>
    <t>CRM-00814</t>
  </si>
  <si>
    <t>tanvi.chopra@cloudnestenterpris.com</t>
  </si>
  <si>
    <t>+91-9427417098</t>
  </si>
  <si>
    <t>CRM-00815</t>
  </si>
  <si>
    <t>mansi.sharma@novaenterprises.com</t>
  </si>
  <si>
    <t>+91-8515085835</t>
  </si>
  <si>
    <t>CRM-00816</t>
  </si>
  <si>
    <t>vivek.jain@medipluslabs.com</t>
  </si>
  <si>
    <t>+91-7685355794</t>
  </si>
  <si>
    <t>CRM-00817</t>
  </si>
  <si>
    <t>Shruti Iyer</t>
  </si>
  <si>
    <t>shruti.iyer@nextgensystems.com</t>
  </si>
  <si>
    <t>+91-8764517466</t>
  </si>
  <si>
    <t>CRM-00818</t>
  </si>
  <si>
    <t>neha.joshi@marketpulseservice.com</t>
  </si>
  <si>
    <t>+91-7032852784</t>
  </si>
  <si>
    <t>CRM-00819</t>
  </si>
  <si>
    <t>Ritika Rao</t>
  </si>
  <si>
    <t>ritika.rao@databridgeventures.com</t>
  </si>
  <si>
    <t>+91-8725654253</t>
  </si>
  <si>
    <t>CRM-00820</t>
  </si>
  <si>
    <t>divya.singh@skillforgegroup.com</t>
  </si>
  <si>
    <t>+91-9944035479</t>
  </si>
  <si>
    <t>CRM-00821</t>
  </si>
  <si>
    <t>simran.patel@databridgeconsulti.com</t>
  </si>
  <si>
    <t>+91-7851276762</t>
  </si>
  <si>
    <t>CRM-00822</t>
  </si>
  <si>
    <t>isha.agarwal@primesystems.com</t>
  </si>
  <si>
    <t>+91-9341737400</t>
  </si>
  <si>
    <t>CRM-00823</t>
  </si>
  <si>
    <t>karan.mehta@cloudnestservices.com</t>
  </si>
  <si>
    <t>+91-7505569263</t>
  </si>
  <si>
    <t>CRM-00824</t>
  </si>
  <si>
    <t>Neha Mehta</t>
  </si>
  <si>
    <t>neha.mehta@techaxissystems.com</t>
  </si>
  <si>
    <t>+91-8973295238</t>
  </si>
  <si>
    <t>CRM-00825</t>
  </si>
  <si>
    <t>Riya Iyer</t>
  </si>
  <si>
    <t>riya.iyer@marketpulsegroup.com</t>
  </si>
  <si>
    <t>+91-7272033307</t>
  </si>
  <si>
    <t>CRM-00826</t>
  </si>
  <si>
    <t>abhishek.bose@cloudnestanalytics.com</t>
  </si>
  <si>
    <t>+91-9541816688</t>
  </si>
  <si>
    <t>CRM-00827</t>
  </si>
  <si>
    <t>nandini.kapoor@databridgetechnolo.com</t>
  </si>
  <si>
    <t>+91-9234827948</t>
  </si>
  <si>
    <t>CRM-00828</t>
  </si>
  <si>
    <t>Deepak Agarwal</t>
  </si>
  <si>
    <t>deepak.agarwal@urbanedgesystems.com</t>
  </si>
  <si>
    <t>+91-9213195428</t>
  </si>
  <si>
    <t>CRM-00829</t>
  </si>
  <si>
    <t>tanvi.mehta@insightwavesolutio.com</t>
  </si>
  <si>
    <t>+91-8595114365</t>
  </si>
  <si>
    <t>CRM-00830</t>
  </si>
  <si>
    <t>divya.agarwal@primeenterprises.com</t>
  </si>
  <si>
    <t>+91-8005434411</t>
  </si>
  <si>
    <t>CRM-00831</t>
  </si>
  <si>
    <t>Manish Nair</t>
  </si>
  <si>
    <t>manish.nair@nextgenenterprises.com</t>
  </si>
  <si>
    <t>+91-8168099245</t>
  </si>
  <si>
    <t>CRM-00832</t>
  </si>
  <si>
    <t>Nandini Gupta</t>
  </si>
  <si>
    <t>nandini.gupta@urbanedgelabs.com</t>
  </si>
  <si>
    <t>+91-7272018057</t>
  </si>
  <si>
    <t>CRM-00833</t>
  </si>
  <si>
    <t>Pooja Iyer</t>
  </si>
  <si>
    <t>pooja.iyer@medipluslabs.com</t>
  </si>
  <si>
    <t>+91-8154865275</t>
  </si>
  <si>
    <t>CRM-00834</t>
  </si>
  <si>
    <t>shruti.joshi@primesolutions.com</t>
  </si>
  <si>
    <t>+91-7467096504</t>
  </si>
  <si>
    <t>CRM-00835</t>
  </si>
  <si>
    <t>divya.nair@marketpulseenterpr.com</t>
  </si>
  <si>
    <t>+91-8310672676</t>
  </si>
  <si>
    <t>CRM-00836</t>
  </si>
  <si>
    <t>Shruti Bose</t>
  </si>
  <si>
    <t>shruti.bose@marketpulseconsult.com</t>
  </si>
  <si>
    <t>+91-9728031179</t>
  </si>
  <si>
    <t>CRM-00837</t>
  </si>
  <si>
    <t>kavya.mishra@techaxislabs.com</t>
  </si>
  <si>
    <t>+91-7947797223</t>
  </si>
  <si>
    <t>CRM-00838</t>
  </si>
  <si>
    <t>Aditi Gupta</t>
  </si>
  <si>
    <t>aditi.gupta@finedgeservices.com</t>
  </si>
  <si>
    <t>+91-9417864324</t>
  </si>
  <si>
    <t>CRM-00839</t>
  </si>
  <si>
    <t>+91-7597617598</t>
  </si>
  <si>
    <t>CRM-00840</t>
  </si>
  <si>
    <t>abhishek.saxena@educoretechnologie.com</t>
  </si>
  <si>
    <t>+91-9132970429</t>
  </si>
  <si>
    <t>CRM-00841</t>
  </si>
  <si>
    <t>Arjun Agarwal</t>
  </si>
  <si>
    <t>arjun.agarwal@novaventures.com</t>
  </si>
  <si>
    <t>+91-8593943886</t>
  </si>
  <si>
    <t>CRM-00842</t>
  </si>
  <si>
    <t>Isha Iyer</t>
  </si>
  <si>
    <t>isha.iyer@insightwaveventure.com</t>
  </si>
  <si>
    <t>+91-9435948557</t>
  </si>
  <si>
    <t>CRM-00843</t>
  </si>
  <si>
    <t>varun.agarwal@mediplusanalytics.com</t>
  </si>
  <si>
    <t>+91-9666534229</t>
  </si>
  <si>
    <t>CRM-00844</t>
  </si>
  <si>
    <t>Rahul Nair</t>
  </si>
  <si>
    <t>rahul.nair@primesystems.com</t>
  </si>
  <si>
    <t>+91-7340449109</t>
  </si>
  <si>
    <t>CRM-00845</t>
  </si>
  <si>
    <t>rakesh.saxena@novaenterprises.com</t>
  </si>
  <si>
    <t>+91-7364271838</t>
  </si>
  <si>
    <t>CRM-00846</t>
  </si>
  <si>
    <t>abhishek.joshi@databridgegroup.com</t>
  </si>
  <si>
    <t>+91-9346178742</t>
  </si>
  <si>
    <t>CRM-00847</t>
  </si>
  <si>
    <t>+91-9903290746</t>
  </si>
  <si>
    <t>CRM-00848</t>
  </si>
  <si>
    <t>Nandini Singh</t>
  </si>
  <si>
    <t>nandini.singh@brightpathventures.com</t>
  </si>
  <si>
    <t>+91-8920147031</t>
  </si>
  <si>
    <t>CRM-00849</t>
  </si>
  <si>
    <t>sanya.joshi@primesystems.com</t>
  </si>
  <si>
    <t>+91-8359424253</t>
  </si>
  <si>
    <t>CRM-00850</t>
  </si>
  <si>
    <t>Simran Bose</t>
  </si>
  <si>
    <t>simran.bose@growthlabenterpris.com</t>
  </si>
  <si>
    <t>+91-9476099595</t>
  </si>
  <si>
    <t>CRM-00851</t>
  </si>
  <si>
    <t>Mohan Das</t>
  </si>
  <si>
    <t>mohan.das@urbanedgelabs.com</t>
  </si>
  <si>
    <t>+91-9144368267</t>
  </si>
  <si>
    <t>CRM-00852</t>
  </si>
  <si>
    <t>rakesh.singh@primetechnologies.com</t>
  </si>
  <si>
    <t>+91-7585814941</t>
  </si>
  <si>
    <t>CRM-00853</t>
  </si>
  <si>
    <t>deepak.nair@cloudnestgroup.com</t>
  </si>
  <si>
    <t>+91-8815173282</t>
  </si>
  <si>
    <t>CRM-00854</t>
  </si>
  <si>
    <t>mohan.chopra@insightwavelabs.com</t>
  </si>
  <si>
    <t>+91-9032369481</t>
  </si>
  <si>
    <t>CRM-00855</t>
  </si>
  <si>
    <t>amit.iyer@nextgensystems.com</t>
  </si>
  <si>
    <t>+91-8443233589</t>
  </si>
  <si>
    <t>CRM-00856</t>
  </si>
  <si>
    <t>aditi.verma@mediplusgroup.com</t>
  </si>
  <si>
    <t>+91-8123245581</t>
  </si>
  <si>
    <t>CRM-00857</t>
  </si>
  <si>
    <t>mohan.kapoor@techaxisanalytics.com</t>
  </si>
  <si>
    <t>+91-9299844508</t>
  </si>
  <si>
    <t>CRM-00858</t>
  </si>
  <si>
    <t>siddharth.singh@brightpathsystems.com</t>
  </si>
  <si>
    <t>+91-9953933314</t>
  </si>
  <si>
    <t>CRM-00859</t>
  </si>
  <si>
    <t>Deepak Bose</t>
  </si>
  <si>
    <t>deepak.bose@cloudnestgroup.com</t>
  </si>
  <si>
    <t>+91-9932536005</t>
  </si>
  <si>
    <t>CRM-00860</t>
  </si>
  <si>
    <t>ritika.sharma@databridgeventures.com</t>
  </si>
  <si>
    <t>+91-7428393391</t>
  </si>
  <si>
    <t>CRM-00861</t>
  </si>
  <si>
    <t>mohan.iyer@educorelabs.com</t>
  </si>
  <si>
    <t>+91-8710477922</t>
  </si>
  <si>
    <t>CRM-00862</t>
  </si>
  <si>
    <t>vivek.saxena@insightwaveservice.com</t>
  </si>
  <si>
    <t>+91-9014598558</t>
  </si>
  <si>
    <t>CRM-00863</t>
  </si>
  <si>
    <t>tanvi.nair@finedgesolutions.com</t>
  </si>
  <si>
    <t>+91-8579272445</t>
  </si>
  <si>
    <t>CRM-00864</t>
  </si>
  <si>
    <t>Neha Jain</t>
  </si>
  <si>
    <t>neha.jain@marketpulsetechnol.com</t>
  </si>
  <si>
    <t>+91-8044296562</t>
  </si>
  <si>
    <t>CRM-00865</t>
  </si>
  <si>
    <t>abhishek.nair@primeanalytics.com</t>
  </si>
  <si>
    <t>+91-9043882182</t>
  </si>
  <si>
    <t>CRM-00866</t>
  </si>
  <si>
    <t>isha.chopra@primeservices.com</t>
  </si>
  <si>
    <t>+91-9802125997</t>
  </si>
  <si>
    <t>CRM-00867</t>
  </si>
  <si>
    <t>shruti.agarwal@insightwavegroup.com</t>
  </si>
  <si>
    <t>+91-7555863807</t>
  </si>
  <si>
    <t>CRM-00868</t>
  </si>
  <si>
    <t>mansi.chopra@bluepeakservices.com</t>
  </si>
  <si>
    <t>+91-7416294276</t>
  </si>
  <si>
    <t>CRM-00869</t>
  </si>
  <si>
    <t>Karan Bose</t>
  </si>
  <si>
    <t>karan.bose@marketpulseservice.com</t>
  </si>
  <si>
    <t>+91-7168885078</t>
  </si>
  <si>
    <t>CRM-00870</t>
  </si>
  <si>
    <t>Rakesh Malhotra</t>
  </si>
  <si>
    <t>rakesh.malhotra@bluepeaklabs.com</t>
  </si>
  <si>
    <t>+91-7216972128</t>
  </si>
  <si>
    <t>CRM-00871</t>
  </si>
  <si>
    <t>vivek.patel@databridgetechnolo.com</t>
  </si>
  <si>
    <t>+91-8780873522</t>
  </si>
  <si>
    <t>CRM-00872</t>
  </si>
  <si>
    <t>siddharth.verma@databridgelabs.com</t>
  </si>
  <si>
    <t>+91-7170929200</t>
  </si>
  <si>
    <t>CRM-00873</t>
  </si>
  <si>
    <t>pooja.kapoor@cloudnestlabs.com</t>
  </si>
  <si>
    <t>+91-7072684294</t>
  </si>
  <si>
    <t>CRM-00874</t>
  </si>
  <si>
    <t>nitin.agarwal@cloudnestlabs.com</t>
  </si>
  <si>
    <t>+91-8508616437</t>
  </si>
  <si>
    <t>CRM-00875</t>
  </si>
  <si>
    <t>suresh.chopra@mediplusgroup.com</t>
  </si>
  <si>
    <t>+91-7971957953</t>
  </si>
  <si>
    <t>CRM-00876</t>
  </si>
  <si>
    <t>vivek.mishra@bluepeakconsulting.com</t>
  </si>
  <si>
    <t>+91-9511469269</t>
  </si>
  <si>
    <t>CRM-00877</t>
  </si>
  <si>
    <t>vivek.verma@nextgenconsulting.com</t>
  </si>
  <si>
    <t>+91-7258225298</t>
  </si>
  <si>
    <t>CRM-00878</t>
  </si>
  <si>
    <t>Ritika Khan</t>
  </si>
  <si>
    <t>ritika.khan@novasolutions.com</t>
  </si>
  <si>
    <t>+91-7496498982</t>
  </si>
  <si>
    <t>CRM-00879</t>
  </si>
  <si>
    <t>deepak.khan@mediplusservices.com</t>
  </si>
  <si>
    <t>+91-7979967512</t>
  </si>
  <si>
    <t>CRM-00880</t>
  </si>
  <si>
    <t>karan.bose@skillforgeservices.com</t>
  </si>
  <si>
    <t>+91-7090668626</t>
  </si>
  <si>
    <t>CRM-00881</t>
  </si>
  <si>
    <t>sanya.das@bluepeakconsulting.com</t>
  </si>
  <si>
    <t>+91-9069877788</t>
  </si>
  <si>
    <t>CRM-00882</t>
  </si>
  <si>
    <t>Karan Agarwal</t>
  </si>
  <si>
    <t>karan.agarwal@brightpathlabs.com</t>
  </si>
  <si>
    <t>+91-9342137992</t>
  </si>
  <si>
    <t>CRM-00883</t>
  </si>
  <si>
    <t>harsh.chopra@primegroup.com</t>
  </si>
  <si>
    <t>+91-7420151280</t>
  </si>
  <si>
    <t>CRM-00884</t>
  </si>
  <si>
    <t>pooja.sharma@nextgenenterprises.com</t>
  </si>
  <si>
    <t>+91-8471797696</t>
  </si>
  <si>
    <t>CRM-00885</t>
  </si>
  <si>
    <t>nandini.kapoor@growthlabsystems.com</t>
  </si>
  <si>
    <t>+91-9724999781</t>
  </si>
  <si>
    <t>CRM-00886</t>
  </si>
  <si>
    <t>shruti.agarwal@primeconsulting.com</t>
  </si>
  <si>
    <t>+91-9759683994</t>
  </si>
  <si>
    <t>CRM-00887</t>
  </si>
  <si>
    <t>siddharth.gupta@educoregroup.com</t>
  </si>
  <si>
    <t>+91-9917047526</t>
  </si>
  <si>
    <t>CRM-00888</t>
  </si>
  <si>
    <t>nandini.malhotra@nextgenlabs.com</t>
  </si>
  <si>
    <t>+91-8433746030</t>
  </si>
  <si>
    <t>CRM-00889</t>
  </si>
  <si>
    <t>rahul.jain@educoregroup.com</t>
  </si>
  <si>
    <t>+91-8823172247</t>
  </si>
  <si>
    <t>CRM-00890</t>
  </si>
  <si>
    <t>Tanvi Saxena</t>
  </si>
  <si>
    <t>tanvi.saxena@educorelabs.com</t>
  </si>
  <si>
    <t>+91-7006659036</t>
  </si>
  <si>
    <t>CRM-00891</t>
  </si>
  <si>
    <t>Deepak Mehta</t>
  </si>
  <si>
    <t>deepak.mehta@educoretechnologie.com</t>
  </si>
  <si>
    <t>+91-9504884441</t>
  </si>
  <si>
    <t>CRM-00892</t>
  </si>
  <si>
    <t>manish.sharma@marketpulseconsult.com</t>
  </si>
  <si>
    <t>+91-8900848523</t>
  </si>
  <si>
    <t>CRM-00893</t>
  </si>
  <si>
    <t>abhishek.joshi@finedgetechnologie.com</t>
  </si>
  <si>
    <t>+91-7576680749</t>
  </si>
  <si>
    <t>CRM-00894</t>
  </si>
  <si>
    <t>arjun.rao@bluepeakventures.com</t>
  </si>
  <si>
    <t>+91-7640048713</t>
  </si>
  <si>
    <t>CRM-00895</t>
  </si>
  <si>
    <t>mansi.khan@insightwaveconsult.com</t>
  </si>
  <si>
    <t>+91-7835880699</t>
  </si>
  <si>
    <t>CRM-00896</t>
  </si>
  <si>
    <t>Nitin Jain</t>
  </si>
  <si>
    <t>nitin.jain@novaventures.com</t>
  </si>
  <si>
    <t>+91-8698531156</t>
  </si>
  <si>
    <t>CRM-00897</t>
  </si>
  <si>
    <t>vivek.verma@techaxisventures.com</t>
  </si>
  <si>
    <t>+91-7145264395</t>
  </si>
  <si>
    <t>CRM-00898</t>
  </si>
  <si>
    <t>Neha Verma</t>
  </si>
  <si>
    <t>neha.verma@cloudnestservices.com</t>
  </si>
  <si>
    <t>+91-7176558781</t>
  </si>
  <si>
    <t>CRM-00899</t>
  </si>
  <si>
    <t>mansi.malhotra@databridgesolution.com</t>
  </si>
  <si>
    <t>+91-9125282572</t>
  </si>
  <si>
    <t>CRM-00900</t>
  </si>
  <si>
    <t>Isha Verma</t>
  </si>
  <si>
    <t>isha.verma@nextgengroup.com</t>
  </si>
  <si>
    <t>+91-8062760597</t>
  </si>
  <si>
    <t>CRM-00901</t>
  </si>
  <si>
    <t>mohan.agarwal@skillforgesystems.com</t>
  </si>
  <si>
    <t>+91-9892798863</t>
  </si>
  <si>
    <t>CRM-00902</t>
  </si>
  <si>
    <t>divya.mishra@growthlablabs.com</t>
  </si>
  <si>
    <t>+91-8643211609</t>
  </si>
  <si>
    <t>CRM-00903</t>
  </si>
  <si>
    <t>harsh.nair@techaxisconsulting.com</t>
  </si>
  <si>
    <t>+91-8780772158</t>
  </si>
  <si>
    <t>CRM-00904</t>
  </si>
  <si>
    <t>mehak.iyer@cloudnestgroup.com</t>
  </si>
  <si>
    <t>+91-7768274079</t>
  </si>
  <si>
    <t>CRM-00905</t>
  </si>
  <si>
    <t>deepak.iyer@finedgeservices.com</t>
  </si>
  <si>
    <t>+91-7883952547</t>
  </si>
  <si>
    <t>CRM-00906</t>
  </si>
  <si>
    <t>GrowthLab Group</t>
  </si>
  <si>
    <t>karan.mishra@growthlabgroup.com</t>
  </si>
  <si>
    <t>+91-8921269850</t>
  </si>
  <si>
    <t>CRM-00907</t>
  </si>
  <si>
    <t>suresh.gupta@finedgeanalytics.com</t>
  </si>
  <si>
    <t>+91-8179140739</t>
  </si>
  <si>
    <t>CRM-00908</t>
  </si>
  <si>
    <t>nitin.rao@growthlabgroup.com</t>
  </si>
  <si>
    <t>+91-9832829787</t>
  </si>
  <si>
    <t>CRM-00909</t>
  </si>
  <si>
    <t>manish.nair@nextgenlabs.com</t>
  </si>
  <si>
    <t>+91-9061239938</t>
  </si>
  <si>
    <t>CRM-00910</t>
  </si>
  <si>
    <t>deepak.verma@educoresystems.com</t>
  </si>
  <si>
    <t>+91-8489798975</t>
  </si>
  <si>
    <t>CRM-00911</t>
  </si>
  <si>
    <t>amit.jain@urbanedgeservices.com</t>
  </si>
  <si>
    <t>+91-8781471660</t>
  </si>
  <si>
    <t>CRM-00912</t>
  </si>
  <si>
    <t>nitin.singh@educoregroup.com</t>
  </si>
  <si>
    <t>+91-7878812294</t>
  </si>
  <si>
    <t>CRM-00913</t>
  </si>
  <si>
    <t>nitin.joshi@cloudnestventures.com</t>
  </si>
  <si>
    <t>+91-9233857375</t>
  </si>
  <si>
    <t>CRM-00914</t>
  </si>
  <si>
    <t>amit.patel@marketpulseanalyti.com</t>
  </si>
  <si>
    <t>+91-7272450707</t>
  </si>
  <si>
    <t>CRM-00915</t>
  </si>
  <si>
    <t>Mohan Gupta</t>
  </si>
  <si>
    <t>mohan.gupta@mediplusanalytics.com</t>
  </si>
  <si>
    <t>+91-7841832313</t>
  </si>
  <si>
    <t>CRM-00916</t>
  </si>
  <si>
    <t>nitin.mehta@skillforgelabs.com</t>
  </si>
  <si>
    <t>+91-7625911376</t>
  </si>
  <si>
    <t>CRM-00917</t>
  </si>
  <si>
    <t>kavya.patel@skillforgeventures.com</t>
  </si>
  <si>
    <t>+91-7795427268</t>
  </si>
  <si>
    <t>CRM-00918</t>
  </si>
  <si>
    <t>sanya.bose@urbanedgeanalytics.com</t>
  </si>
  <si>
    <t>+91-8490093313</t>
  </si>
  <si>
    <t>CRM-00919</t>
  </si>
  <si>
    <t>pooja.bose@skillforgeconsulti.com</t>
  </si>
  <si>
    <t>+91-7249563652</t>
  </si>
  <si>
    <t>CRM-00920</t>
  </si>
  <si>
    <t>Harsh Saxena</t>
  </si>
  <si>
    <t>harsh.saxena@techaxistechnologi.com</t>
  </si>
  <si>
    <t>+91-8329919172</t>
  </si>
  <si>
    <t>CRM-00921</t>
  </si>
  <si>
    <t>varun.rao@primelabs.com</t>
  </si>
  <si>
    <t>+91-8919056493</t>
  </si>
  <si>
    <t>CRM-00922</t>
  </si>
  <si>
    <t>shruti.nair@brightpathtechnolo.com</t>
  </si>
  <si>
    <t>+91-8583931104</t>
  </si>
  <si>
    <t>CRM-00923</t>
  </si>
  <si>
    <t>isha.patel@novaservices.com</t>
  </si>
  <si>
    <t>+91-7466431722</t>
  </si>
  <si>
    <t>CRM-00924</t>
  </si>
  <si>
    <t>Rahul Patel</t>
  </si>
  <si>
    <t>rahul.patel@nextgentechnologie.com</t>
  </si>
  <si>
    <t>+91-7280790016</t>
  </si>
  <si>
    <t>CRM-00925</t>
  </si>
  <si>
    <t>neha.verma@primesystems.com</t>
  </si>
  <si>
    <t>+91-7144962161</t>
  </si>
  <si>
    <t>CRM-00926</t>
  </si>
  <si>
    <t>Manish Iyer</t>
  </si>
  <si>
    <t>manish.iyer@nextgensolutions.com</t>
  </si>
  <si>
    <t>+91-9538636910</t>
  </si>
  <si>
    <t>CRM-00927</t>
  </si>
  <si>
    <t>neha.jain@educoreconsulting.com</t>
  </si>
  <si>
    <t>+91-7418346548</t>
  </si>
  <si>
    <t>CRM-00928</t>
  </si>
  <si>
    <t>divya.nair@nextgenservices.com</t>
  </si>
  <si>
    <t>+91-9288310990</t>
  </si>
  <si>
    <t>CRM-00929</t>
  </si>
  <si>
    <t>manish.joshi@growthlabconsultin.com</t>
  </si>
  <si>
    <t>+91-8109134582</t>
  </si>
  <si>
    <t>CRM-00930</t>
  </si>
  <si>
    <t>Kavya Sharma</t>
  </si>
  <si>
    <t>kavya.sharma@urbanedgegroup.com</t>
  </si>
  <si>
    <t>+91-8802361812</t>
  </si>
  <si>
    <t>CRM-00931</t>
  </si>
  <si>
    <t>isha.joshi@primetechnologies.com</t>
  </si>
  <si>
    <t>+91-9217863294</t>
  </si>
  <si>
    <t>CRM-00932</t>
  </si>
  <si>
    <t>rakesh.gupta@techaxisgroup.com</t>
  </si>
  <si>
    <t>+91-7588778349</t>
  </si>
  <si>
    <t>CRM-00933</t>
  </si>
  <si>
    <t>mohan.das@skillforgetechnolo.com</t>
  </si>
  <si>
    <t>+91-7606645209</t>
  </si>
  <si>
    <t>CRM-00934</t>
  </si>
  <si>
    <t>deepak.nair@skillforgeventures.com</t>
  </si>
  <si>
    <t>+91-8993922124</t>
  </si>
  <si>
    <t>CRM-00935</t>
  </si>
  <si>
    <t>Shruti Mehta</t>
  </si>
  <si>
    <t>shruti.mehta@nextgentechnologie.com</t>
  </si>
  <si>
    <t>+91-7725247231</t>
  </si>
  <si>
    <t>CRM-00936</t>
  </si>
  <si>
    <t>varun.mehta@primegroup.com</t>
  </si>
  <si>
    <t>+91-7413740530</t>
  </si>
  <si>
    <t>CRM-00937</t>
  </si>
  <si>
    <t>kavya.malhotra@mediplusanalytics.com</t>
  </si>
  <si>
    <t>+91-8552155390</t>
  </si>
  <si>
    <t>CRM-00938</t>
  </si>
  <si>
    <t>mansi.gupta@insightwaveconsult.com</t>
  </si>
  <si>
    <t>+91-8750272890</t>
  </si>
  <si>
    <t>CRM-00939</t>
  </si>
  <si>
    <t>Deepak Das</t>
  </si>
  <si>
    <t>deepak.das@educoreventures.com</t>
  </si>
  <si>
    <t>+91-7323220059</t>
  </si>
  <si>
    <t>CRM-00940</t>
  </si>
  <si>
    <t>divya.sharma@mediplusventures.com</t>
  </si>
  <si>
    <t>+91-9744956550</t>
  </si>
  <si>
    <t>CRM-00941</t>
  </si>
  <si>
    <t>Mansi Jain</t>
  </si>
  <si>
    <t>mansi.jain@nextgensystems.com</t>
  </si>
  <si>
    <t>+91-8251372416</t>
  </si>
  <si>
    <t>CRM-00942</t>
  </si>
  <si>
    <t>siddharth.rao@bluepeakservices.com</t>
  </si>
  <si>
    <t>+91-8843456323</t>
  </si>
  <si>
    <t>CRM-00943</t>
  </si>
  <si>
    <t>nandini.iyer@novaconsulting.com</t>
  </si>
  <si>
    <t>+91-8025251923</t>
  </si>
  <si>
    <t>CRM-00944</t>
  </si>
  <si>
    <t>isha.malhotra@skillforgesystems.com</t>
  </si>
  <si>
    <t>+91-7614580833</t>
  </si>
  <si>
    <t>CRM-00945</t>
  </si>
  <si>
    <t>rahul.bose@urbanedgesolutions.com</t>
  </si>
  <si>
    <t>+91-7158736451</t>
  </si>
  <si>
    <t>CRM-00946</t>
  </si>
  <si>
    <t>sanya.verma@bluepeaksystems.com</t>
  </si>
  <si>
    <t>+91-9348374880</t>
  </si>
  <si>
    <t>CRM-00947</t>
  </si>
  <si>
    <t>vivek.nair@brightpathenterpri.com</t>
  </si>
  <si>
    <t>+91-8653790042</t>
  </si>
  <si>
    <t>CRM-00948</t>
  </si>
  <si>
    <t>arjun.agarwal@growthlabservices.com</t>
  </si>
  <si>
    <t>+91-7969836300</t>
  </si>
  <si>
    <t>CRM-00949</t>
  </si>
  <si>
    <t>shruti.sharma@brightpathservices.com</t>
  </si>
  <si>
    <t>+91-7437776890</t>
  </si>
  <si>
    <t>CRM-00950</t>
  </si>
  <si>
    <t>ritika.gupta@marketpulseanalyti.com</t>
  </si>
  <si>
    <t>+91-8346375408</t>
  </si>
  <si>
    <t>CRM-00951</t>
  </si>
  <si>
    <t>sanya.verma@skillforgetechnolo.com</t>
  </si>
  <si>
    <t>+91-8239415865</t>
  </si>
  <si>
    <t>CRM-00952</t>
  </si>
  <si>
    <t>varun.das@educoreanalytics.com</t>
  </si>
  <si>
    <t>+91-7555973645</t>
  </si>
  <si>
    <t>CRM-00953</t>
  </si>
  <si>
    <t>suresh.kapoor@cloudnestenterpris.com</t>
  </si>
  <si>
    <t>+91-7362535555</t>
  </si>
  <si>
    <t>CRM-00954</t>
  </si>
  <si>
    <t>shruti.iyer@novaenterprises.com</t>
  </si>
  <si>
    <t>+91-7032118773</t>
  </si>
  <si>
    <t>CRM-00955</t>
  </si>
  <si>
    <t>riya.nair@bluepeakventures.com</t>
  </si>
  <si>
    <t>+91-8925627863</t>
  </si>
  <si>
    <t>CRM-00956</t>
  </si>
  <si>
    <t>Isha Bose</t>
  </si>
  <si>
    <t>isha.bose@techaxisanalytics.com</t>
  </si>
  <si>
    <t>+91-9255052619</t>
  </si>
  <si>
    <t>CRM-00957</t>
  </si>
  <si>
    <t>Manish Rao</t>
  </si>
  <si>
    <t>manish.rao@primesolutions.com</t>
  </si>
  <si>
    <t>+91-8949583447</t>
  </si>
  <si>
    <t>CRM-00958</t>
  </si>
  <si>
    <t>manish.joshi@novaenterprises.com</t>
  </si>
  <si>
    <t>+91-9057990255</t>
  </si>
  <si>
    <t>CRM-00959</t>
  </si>
  <si>
    <t>ritika.rao@databridgeconsulti.com</t>
  </si>
  <si>
    <t>+91-8886863441</t>
  </si>
  <si>
    <t>CRM-00960</t>
  </si>
  <si>
    <t>Sanya Chopra</t>
  </si>
  <si>
    <t>sanya.chopra@marketpulseanalyti.com</t>
  </si>
  <si>
    <t>+91-9730243130</t>
  </si>
  <si>
    <t>CRM-00961</t>
  </si>
  <si>
    <t>deepak.singh@cloudnestservices.com</t>
  </si>
  <si>
    <t>+91-8779334850</t>
  </si>
  <si>
    <t>CRM-00962</t>
  </si>
  <si>
    <t>Nandini Saxena</t>
  </si>
  <si>
    <t>nandini.saxena@brightpathconsulti.com</t>
  </si>
  <si>
    <t>+91-8705421210</t>
  </si>
  <si>
    <t>CRM-00963</t>
  </si>
  <si>
    <t>vivek.chopra@primeservices.com</t>
  </si>
  <si>
    <t>+91-7129019176</t>
  </si>
  <si>
    <t>CRM-00964</t>
  </si>
  <si>
    <t>nitin.jain@urbanedgesystems.com</t>
  </si>
  <si>
    <t>+91-9405680965</t>
  </si>
  <si>
    <t>CRM-00965</t>
  </si>
  <si>
    <t>varun.nair@finedgeventures.com</t>
  </si>
  <si>
    <t>+91-7079029279</t>
  </si>
  <si>
    <t>CRM-00966</t>
  </si>
  <si>
    <t>pooja.khan@growthlabgroup.com</t>
  </si>
  <si>
    <t>+91-7975436598</t>
  </si>
  <si>
    <t>CRM-00967</t>
  </si>
  <si>
    <t>amit.mehta@marketpulseventure.com</t>
  </si>
  <si>
    <t>+91-8665698745</t>
  </si>
  <si>
    <t>CRM-00968</t>
  </si>
  <si>
    <t>mohan.patel@skillforgetechnolo.com</t>
  </si>
  <si>
    <t>+91-7755646835</t>
  </si>
  <si>
    <t>CRM-00969</t>
  </si>
  <si>
    <t>varun.chopra@skillforgetechnolo.com</t>
  </si>
  <si>
    <t>+91-9814434641</t>
  </si>
  <si>
    <t>CRM-00970</t>
  </si>
  <si>
    <t>shruti.verma@educoreservices.com</t>
  </si>
  <si>
    <t>+91-9673917179</t>
  </si>
  <si>
    <t>CRM-00971</t>
  </si>
  <si>
    <t>vivek.patel@brightpathsolution.com</t>
  </si>
  <si>
    <t>+91-8705649683</t>
  </si>
  <si>
    <t>CRM-00972</t>
  </si>
  <si>
    <t>Abhishek Rao</t>
  </si>
  <si>
    <t>abhishek.rao@skillforgeservices.com</t>
  </si>
  <si>
    <t>+91-7528154907</t>
  </si>
  <si>
    <t>CRM-00973</t>
  </si>
  <si>
    <t>Kavya Saxena</t>
  </si>
  <si>
    <t>kavya.saxena@primelabs.com</t>
  </si>
  <si>
    <t>+91-7199415316</t>
  </si>
  <si>
    <t>CRM-00974</t>
  </si>
  <si>
    <t>suresh.mehta@educoresolutions.com</t>
  </si>
  <si>
    <t>+91-9770749846</t>
  </si>
  <si>
    <t>CRM-00975</t>
  </si>
  <si>
    <t>shruti.khan@cloudnestenterpris.com</t>
  </si>
  <si>
    <t>+91-9909924502</t>
  </si>
  <si>
    <t>CRM-00976</t>
  </si>
  <si>
    <t>amit.sharma@growthlabenterpris.com</t>
  </si>
  <si>
    <t>+91-9851895133</t>
  </si>
  <si>
    <t>CRM-00977</t>
  </si>
  <si>
    <t>siddharth.mishra@nextgenenterprises.com</t>
  </si>
  <si>
    <t>+91-9013226852</t>
  </si>
  <si>
    <t>CRM-00978</t>
  </si>
  <si>
    <t>divya.agarwal@urbanedgetechnolog.com</t>
  </si>
  <si>
    <t>+91-9594589288</t>
  </si>
  <si>
    <t>CRM-00979</t>
  </si>
  <si>
    <t>Kavya Bose</t>
  </si>
  <si>
    <t>kavya.bose@marketpulseservice.com</t>
  </si>
  <si>
    <t>+91-9297812973</t>
  </si>
  <si>
    <t>CRM-00980</t>
  </si>
  <si>
    <t>Sanya Nair</t>
  </si>
  <si>
    <t>sanya.nair@databridgeanalytic.com</t>
  </si>
  <si>
    <t>+91-8895853646</t>
  </si>
  <si>
    <t>CRM-00981</t>
  </si>
  <si>
    <t>tanvi.saxena@medipluslabs.com</t>
  </si>
  <si>
    <t>+91-9464329806</t>
  </si>
  <si>
    <t>CRM-00982</t>
  </si>
  <si>
    <t>simran.verma@brightpathservices.com</t>
  </si>
  <si>
    <t>+91-7543226086</t>
  </si>
  <si>
    <t>CRM-00983</t>
  </si>
  <si>
    <t>vivek.kapoor@insightwaveservice.com</t>
  </si>
  <si>
    <t>+91-7316926967</t>
  </si>
  <si>
    <t>CRM-00984</t>
  </si>
  <si>
    <t>rakesh.singh@mediplussolutions.com</t>
  </si>
  <si>
    <t>+91-8315066747</t>
  </si>
  <si>
    <t>CRM-00985</t>
  </si>
  <si>
    <t>varun.nair@brightpathlabs.com</t>
  </si>
  <si>
    <t>+91-8813852851</t>
  </si>
  <si>
    <t>CRM-00986</t>
  </si>
  <si>
    <t>nitin.sharma@databridgeconsulti.com</t>
  </si>
  <si>
    <t>+91-8846957441</t>
  </si>
  <si>
    <t>CRM-00987</t>
  </si>
  <si>
    <t>Mansi Agarwal</t>
  </si>
  <si>
    <t>mansi.agarwal@brightpathanalytic.com</t>
  </si>
  <si>
    <t>+91-7235249815</t>
  </si>
  <si>
    <t>CRM-00988</t>
  </si>
  <si>
    <t>rahul.mehta@skillforgeconsulti.com</t>
  </si>
  <si>
    <t>+91-7960394744</t>
  </si>
  <si>
    <t>CRM-00989</t>
  </si>
  <si>
    <t>mansi.khan@growthlabsolutions.com</t>
  </si>
  <si>
    <t>+91-7256445906</t>
  </si>
  <si>
    <t>CRM-00990</t>
  </si>
  <si>
    <t>arjun.rao@databridgegroup.com</t>
  </si>
  <si>
    <t>+91-8218758593</t>
  </si>
  <si>
    <t>CRM-00991</t>
  </si>
  <si>
    <t>varun.kapoor@finedgegroup.com</t>
  </si>
  <si>
    <t>+91-7754679375</t>
  </si>
  <si>
    <t>CRM-00992</t>
  </si>
  <si>
    <t>Abhishek Malhotra</t>
  </si>
  <si>
    <t>abhishek.malhotra@growthlabsolutions.com</t>
  </si>
  <si>
    <t>+91-7702130949</t>
  </si>
  <si>
    <t>CRM-00993</t>
  </si>
  <si>
    <t>siddharth.nair@growthlabgroup.com</t>
  </si>
  <si>
    <t>+91-7509971489</t>
  </si>
  <si>
    <t>CRM-00994</t>
  </si>
  <si>
    <t>ritika.das@brightpathlabs.com</t>
  </si>
  <si>
    <t>+91-7794842781</t>
  </si>
  <si>
    <t>CRM-00995</t>
  </si>
  <si>
    <t>manish.saxena@nextgenanalytics.com</t>
  </si>
  <si>
    <t>+91-8040688518</t>
  </si>
  <si>
    <t>CRM-00996</t>
  </si>
  <si>
    <t>ritika.bose@brightpathanalytic.com</t>
  </si>
  <si>
    <t>+91-9591715539</t>
  </si>
  <si>
    <t>CRM-00997</t>
  </si>
  <si>
    <t>divya.verma@cloudnestservices.com</t>
  </si>
  <si>
    <t>+91-8060039938</t>
  </si>
  <si>
    <t>CRM-00998</t>
  </si>
  <si>
    <t>Deepak Saxena</t>
  </si>
  <si>
    <t>deepak.saxena@brightpathgroup.com</t>
  </si>
  <si>
    <t>+91-8538511747</t>
  </si>
  <si>
    <t>CRM-00999</t>
  </si>
  <si>
    <t>nitin.rao@novasystems.com</t>
  </si>
  <si>
    <t>+91-8353194407</t>
  </si>
  <si>
    <t>CRM-01000</t>
  </si>
  <si>
    <t>Harsh Verma</t>
  </si>
  <si>
    <t>harsh.verma@insightwavesolutio.com</t>
  </si>
  <si>
    <t>+91-9828487113</t>
  </si>
  <si>
    <t>CRM-01001</t>
  </si>
  <si>
    <t>amit.verma@mediplustechnologi.com</t>
  </si>
  <si>
    <t>+91-9491037191</t>
  </si>
  <si>
    <t>CRM-01002</t>
  </si>
  <si>
    <t>amit.joshi@cloudnestgroup.com</t>
  </si>
  <si>
    <t>+91-7214440945</t>
  </si>
  <si>
    <t>CRM-01003</t>
  </si>
  <si>
    <t>amit.patel@educoreservices.com</t>
  </si>
  <si>
    <t>+91-9883514086</t>
  </si>
  <si>
    <t>CRM-01004</t>
  </si>
  <si>
    <t>Mansi Das</t>
  </si>
  <si>
    <t>mansi.das@techaxisenterprise.com</t>
  </si>
  <si>
    <t>+91-8782294060</t>
  </si>
  <si>
    <t>CRM-01005</t>
  </si>
  <si>
    <t>Rahul Kapoor</t>
  </si>
  <si>
    <t>rahul.kapoor@educoreenterprises.com</t>
  </si>
  <si>
    <t>+91-9071949974</t>
  </si>
  <si>
    <t>CRM-01006</t>
  </si>
  <si>
    <t>rahul.mishra@urbanedgeanalytics.com</t>
  </si>
  <si>
    <t>+91-7601038143</t>
  </si>
  <si>
    <t>CRM-01007</t>
  </si>
  <si>
    <t>vivek.iyer@urbanedgesolutions.com</t>
  </si>
  <si>
    <t>+91-7924341866</t>
  </si>
  <si>
    <t>CRM-01008</t>
  </si>
  <si>
    <t>isha.bose@growthlabconsultin.com</t>
  </si>
  <si>
    <t>+91-7934881641</t>
  </si>
  <si>
    <t>CRM-01009</t>
  </si>
  <si>
    <t>suresh.verma@urbanedgetechnolog.com</t>
  </si>
  <si>
    <t>+91-7065771406</t>
  </si>
  <si>
    <t>CRM-01010</t>
  </si>
  <si>
    <t>Nitin Khan</t>
  </si>
  <si>
    <t>nitin.khan@marketpulseanalyti.com</t>
  </si>
  <si>
    <t>+91-9873161279</t>
  </si>
  <si>
    <t>CRM-01011</t>
  </si>
  <si>
    <t>harsh.iyer@educoresolutions.com</t>
  </si>
  <si>
    <t>+91-7170027974</t>
  </si>
  <si>
    <t>CRM-01012</t>
  </si>
  <si>
    <t>Aditi Mishra</t>
  </si>
  <si>
    <t>aditi.mishra@mediplustechnologi.com</t>
  </si>
  <si>
    <t>+91-7304870872</t>
  </si>
  <si>
    <t>CRM-01013</t>
  </si>
  <si>
    <t>ritika.nair@finedgeenterprises.com</t>
  </si>
  <si>
    <t>+91-8242444255</t>
  </si>
  <si>
    <t>CRM-01014</t>
  </si>
  <si>
    <t>mohan.malhotra@finedgesolutions.com</t>
  </si>
  <si>
    <t>+91-7671339328</t>
  </si>
  <si>
    <t>CRM-01015</t>
  </si>
  <si>
    <t>kavya.jain@growthlabconsultin.com</t>
  </si>
  <si>
    <t>+91-7145058832</t>
  </si>
  <si>
    <t>CRM-01016</t>
  </si>
  <si>
    <t>simran.joshi@nextgenventures.com</t>
  </si>
  <si>
    <t>+91-7660532843</t>
  </si>
  <si>
    <t>CRM-01017</t>
  </si>
  <si>
    <t>karan.agarwal@educoreservices.com</t>
  </si>
  <si>
    <t>+91-7489717196</t>
  </si>
  <si>
    <t>CRM-01018</t>
  </si>
  <si>
    <t>harsh.verma@growthlabventures.com</t>
  </si>
  <si>
    <t>+91-7623761537</t>
  </si>
  <si>
    <t>CRM-01019</t>
  </si>
  <si>
    <t>mehak.joshi@techaxissystems.com</t>
  </si>
  <si>
    <t>+91-8315950738</t>
  </si>
  <si>
    <t>CRM-01020</t>
  </si>
  <si>
    <t>mehak.verma@insightwaveenterpr.com</t>
  </si>
  <si>
    <t>+91-7301971533</t>
  </si>
  <si>
    <t>CRM-01021</t>
  </si>
  <si>
    <t>karan.rao@growthlabsystems.com</t>
  </si>
  <si>
    <t>+91-9407155730</t>
  </si>
  <si>
    <t>CRM-01022</t>
  </si>
  <si>
    <t>mansi.joshi@skillforgeenterpri.com</t>
  </si>
  <si>
    <t>+91-7122477582</t>
  </si>
  <si>
    <t>CRM-01023</t>
  </si>
  <si>
    <t>simran.jain@brightpathsolution.com</t>
  </si>
  <si>
    <t>+91-9116228820</t>
  </si>
  <si>
    <t>CRM-01024</t>
  </si>
  <si>
    <t>suresh.das@primeconsulting.com</t>
  </si>
  <si>
    <t>+91-7832858264</t>
  </si>
  <si>
    <t>CRM-01025</t>
  </si>
  <si>
    <t>Varun Gupta</t>
  </si>
  <si>
    <t>varun.gupta@bluepeakgroup.com</t>
  </si>
  <si>
    <t>+91-9950115493</t>
  </si>
  <si>
    <t>CRM-01026</t>
  </si>
  <si>
    <t>mohan.mishra@insightwavesystems.com</t>
  </si>
  <si>
    <t>+91-9196475231</t>
  </si>
  <si>
    <t>CRM-01027</t>
  </si>
  <si>
    <t>nandini.iyer@finedgeenterprises.com</t>
  </si>
  <si>
    <t>+91-7894962825</t>
  </si>
  <si>
    <t>CRM-01028</t>
  </si>
  <si>
    <t>divya.das@growthlabsystems.com</t>
  </si>
  <si>
    <t>+91-9641572075</t>
  </si>
  <si>
    <t>CRM-01029</t>
  </si>
  <si>
    <t>pooja.agarwal@educoresolutions.com</t>
  </si>
  <si>
    <t>+91-8862688383</t>
  </si>
  <si>
    <t>CRM-01030</t>
  </si>
  <si>
    <t>abhishek.sharma@bluepeaksolutions.com</t>
  </si>
  <si>
    <t>+91-8098979504</t>
  </si>
  <si>
    <t>CRM-01031</t>
  </si>
  <si>
    <t>shruti.patel@databridgesystems.com</t>
  </si>
  <si>
    <t>+91-9006091306</t>
  </si>
  <si>
    <t>CRM-01032</t>
  </si>
  <si>
    <t>Nandini Mishra</t>
  </si>
  <si>
    <t>nandini.mishra@brightpathgroup.com</t>
  </si>
  <si>
    <t>+91-7637242126</t>
  </si>
  <si>
    <t>CRM-01033</t>
  </si>
  <si>
    <t>pooja.kapoor@skillforgeservices.com</t>
  </si>
  <si>
    <t>+91-8348384825</t>
  </si>
  <si>
    <t>CRM-01034</t>
  </si>
  <si>
    <t>Nitin Kapoor</t>
  </si>
  <si>
    <t>nitin.kapoor@skillforgelabs.com</t>
  </si>
  <si>
    <t>+91-7882061351</t>
  </si>
  <si>
    <t>CRM-01035</t>
  </si>
  <si>
    <t>deepak.mehta@growthlabtechnolog.com</t>
  </si>
  <si>
    <t>+91-8750832913</t>
  </si>
  <si>
    <t>CRM-01036</t>
  </si>
  <si>
    <t>riya.verma@nextgenconsulting.com</t>
  </si>
  <si>
    <t>+91-7619289090</t>
  </si>
  <si>
    <t>CRM-01037</t>
  </si>
  <si>
    <t>kavya.bose@cloudnestconsultin.com</t>
  </si>
  <si>
    <t>+91-9506390463</t>
  </si>
  <si>
    <t>CRM-01038</t>
  </si>
  <si>
    <t>siddharth.bose@nextgenventures.com</t>
  </si>
  <si>
    <t>+91-9781321777</t>
  </si>
  <si>
    <t>CRM-01039</t>
  </si>
  <si>
    <t>Suresh Mishra</t>
  </si>
  <si>
    <t>suresh.mishra@marketpulsesolutio.com</t>
  </si>
  <si>
    <t>+91-9996989867</t>
  </si>
  <si>
    <t>CRM-01040</t>
  </si>
  <si>
    <t>+91-9288992645</t>
  </si>
  <si>
    <t>CRM-01041</t>
  </si>
  <si>
    <t>tanvi.iyer@skillforgeservices.com</t>
  </si>
  <si>
    <t>+91-7957357633</t>
  </si>
  <si>
    <t>CRM-01042</t>
  </si>
  <si>
    <t>suresh.agarwal@cloudnestlabs.com</t>
  </si>
  <si>
    <t>+91-9599382046</t>
  </si>
  <si>
    <t>CRM-01043</t>
  </si>
  <si>
    <t>rakesh.mehta@educoresystems.com</t>
  </si>
  <si>
    <t>+91-9200475111</t>
  </si>
  <si>
    <t>CRM-01044</t>
  </si>
  <si>
    <t>neha.verma@databridgeservices.com</t>
  </si>
  <si>
    <t>+91-7631213447</t>
  </si>
  <si>
    <t>CRM-01045</t>
  </si>
  <si>
    <t>amit.das@urbanedgegroup.com</t>
  </si>
  <si>
    <t>+91-9380921789</t>
  </si>
  <si>
    <t>CRM-01046</t>
  </si>
  <si>
    <t>harsh.chopra@finedgesolutions.com</t>
  </si>
  <si>
    <t>+91-7823354008</t>
  </si>
  <si>
    <t>CRM-01047</t>
  </si>
  <si>
    <t>arjun.malhotra@primeventures.com</t>
  </si>
  <si>
    <t>+91-8036567378</t>
  </si>
  <si>
    <t>CRM-01048</t>
  </si>
  <si>
    <t>simran.patel@finedgeventures.com</t>
  </si>
  <si>
    <t>+91-8997624407</t>
  </si>
  <si>
    <t>CRM-01049</t>
  </si>
  <si>
    <t>nandini.rao@primesystems.com</t>
  </si>
  <si>
    <t>+91-7381425075</t>
  </si>
  <si>
    <t>CRM-01050</t>
  </si>
  <si>
    <t>deepak.das@medipluslabs.com</t>
  </si>
  <si>
    <t>+91-8373028038</t>
  </si>
  <si>
    <t>CRM-01051</t>
  </si>
  <si>
    <t>Vivek Sharma</t>
  </si>
  <si>
    <t>vivek.sharma@urbanedgeanalytics.com</t>
  </si>
  <si>
    <t>+91-7100499617</t>
  </si>
  <si>
    <t>CRM-01052</t>
  </si>
  <si>
    <t>shruti.rao@finedgetechnologie.com</t>
  </si>
  <si>
    <t>+91-7255748500</t>
  </si>
  <si>
    <t>CRM-01053</t>
  </si>
  <si>
    <t>Mehak Rao</t>
  </si>
  <si>
    <t>mehak.rao@techaxissolutions.com</t>
  </si>
  <si>
    <t>+91-9284350804</t>
  </si>
  <si>
    <t>CRM-01054</t>
  </si>
  <si>
    <t>rakesh.agarwal@insightwaveenterpr.com</t>
  </si>
  <si>
    <t>+91-8628971140</t>
  </si>
  <si>
    <t>CRM-01055</t>
  </si>
  <si>
    <t>rahul.nair@brightpathtechnolo.com</t>
  </si>
  <si>
    <t>+91-9837717201</t>
  </si>
  <si>
    <t>CRM-01056</t>
  </si>
  <si>
    <t>+91-9724450148</t>
  </si>
  <si>
    <t>CRM-01057</t>
  </si>
  <si>
    <t>mansi.kapoor@primeventures.com</t>
  </si>
  <si>
    <t>+91-8208376458</t>
  </si>
  <si>
    <t>CRM-01058</t>
  </si>
  <si>
    <t>siddharth.joshi@urbanedgesystems.com</t>
  </si>
  <si>
    <t>+91-7910815352</t>
  </si>
  <si>
    <t>CRM-01059</t>
  </si>
  <si>
    <t>rakesh.jain@growthlabsystems.com</t>
  </si>
  <si>
    <t>+91-9277190909</t>
  </si>
  <si>
    <t>CRM-01060</t>
  </si>
  <si>
    <t>karan.bose@skillforgeventures.com</t>
  </si>
  <si>
    <t>+91-9726427253</t>
  </si>
  <si>
    <t>CRM-01061</t>
  </si>
  <si>
    <t>mehak.malhotra@primeconsulting.com</t>
  </si>
  <si>
    <t>+91-8121952441</t>
  </si>
  <si>
    <t>CRM-01062</t>
  </si>
  <si>
    <t>mehak.bose@bluepeakanalytics.com</t>
  </si>
  <si>
    <t>+91-7999549242</t>
  </si>
  <si>
    <t>CRM-01063</t>
  </si>
  <si>
    <t>deepak.joshi@nextgenenterprises.com</t>
  </si>
  <si>
    <t>+91-9495218452</t>
  </si>
  <si>
    <t>CRM-01064</t>
  </si>
  <si>
    <t>simran.joshi@marketpulselabs.com</t>
  </si>
  <si>
    <t>+91-7736160767</t>
  </si>
  <si>
    <t>CRM-01065</t>
  </si>
  <si>
    <t>Karan Jain</t>
  </si>
  <si>
    <t>karan.jain@bluepeaksolutions.com</t>
  </si>
  <si>
    <t>+91-9511371925</t>
  </si>
  <si>
    <t>CRM-01066</t>
  </si>
  <si>
    <t>tanvi.chopra@nextgenenterprises.com</t>
  </si>
  <si>
    <t>+91-7944658241</t>
  </si>
  <si>
    <t>CRM-01067</t>
  </si>
  <si>
    <t>tanvi.chopra@urbanedgetechnolog.com</t>
  </si>
  <si>
    <t>+91-7742379487</t>
  </si>
  <si>
    <t>CRM-01068</t>
  </si>
  <si>
    <t>vivek.jain@bluepeakgroup.com</t>
  </si>
  <si>
    <t>+91-7845117462</t>
  </si>
  <si>
    <t>CRM-01069</t>
  </si>
  <si>
    <t>ritika.kapoor@finedgegroup.com</t>
  </si>
  <si>
    <t>+91-8428683489</t>
  </si>
  <si>
    <t>CRM-01070</t>
  </si>
  <si>
    <t>isha.joshi@primesolutions.com</t>
  </si>
  <si>
    <t>+91-7926328830</t>
  </si>
  <si>
    <t>CRM-01071</t>
  </si>
  <si>
    <t>vivek.jain@bluepeakconsulting.com</t>
  </si>
  <si>
    <t>+91-9840521985</t>
  </si>
  <si>
    <t>CRM-01072</t>
  </si>
  <si>
    <t>divya.sharma@bluepeaksolutions.com</t>
  </si>
  <si>
    <t>+91-9864427262</t>
  </si>
  <si>
    <t>CRM-01073</t>
  </si>
  <si>
    <t>suresh.chopra@finedgeventures.com</t>
  </si>
  <si>
    <t>+91-7148446659</t>
  </si>
  <si>
    <t>CRM-01074</t>
  </si>
  <si>
    <t>harsh.iyer@marketpulseconsult.com</t>
  </si>
  <si>
    <t>+91-7321340657</t>
  </si>
  <si>
    <t>CRM-01075</t>
  </si>
  <si>
    <t>mohan.saxena@techaxisventures.com</t>
  </si>
  <si>
    <t>+91-7575198140</t>
  </si>
  <si>
    <t>CRM-01076</t>
  </si>
  <si>
    <t>siddharth.verma@novaventures.com</t>
  </si>
  <si>
    <t>+91-8668420370</t>
  </si>
  <si>
    <t>CRM-01077</t>
  </si>
  <si>
    <t>suresh.kapoor@nextgentechnologie.com</t>
  </si>
  <si>
    <t>+91-7195650331</t>
  </si>
  <si>
    <t>CRM-01078</t>
  </si>
  <si>
    <t>nandini.mehta@primeventures.com</t>
  </si>
  <si>
    <t>+91-7314065750</t>
  </si>
  <si>
    <t>CRM-01079</t>
  </si>
  <si>
    <t>varun.jain@databridgelabs.com</t>
  </si>
  <si>
    <t>+91-8844926624</t>
  </si>
  <si>
    <t>CRM-01080</t>
  </si>
  <si>
    <t>tanvi.malhotra@educoresystems.com</t>
  </si>
  <si>
    <t>+91-9231255432</t>
  </si>
  <si>
    <t>CRM-01081</t>
  </si>
  <si>
    <t>arjun.bose@databridgelabs.com</t>
  </si>
  <si>
    <t>+91-8232246827</t>
  </si>
  <si>
    <t>CRM-01082</t>
  </si>
  <si>
    <t>vivek.khan@databridgeenterpri.com</t>
  </si>
  <si>
    <t>+91-8687297327</t>
  </si>
  <si>
    <t>CRM-01083</t>
  </si>
  <si>
    <t>kavya.mishra@databridgeconsulti.com</t>
  </si>
  <si>
    <t>+91-9770173446</t>
  </si>
  <si>
    <t>CRM-01084</t>
  </si>
  <si>
    <t>mansi.iyer@primetechnologies.com</t>
  </si>
  <si>
    <t>+91-9656237454</t>
  </si>
  <si>
    <t>CRM-01085</t>
  </si>
  <si>
    <t>karan.sharma@primesystems.com</t>
  </si>
  <si>
    <t>+91-8921011277</t>
  </si>
  <si>
    <t>CRM-01086</t>
  </si>
  <si>
    <t>Harsh Agarwal</t>
  </si>
  <si>
    <t>harsh.agarwal@techaxisventures.com</t>
  </si>
  <si>
    <t>+91-7425050635</t>
  </si>
  <si>
    <t>CRM-01087</t>
  </si>
  <si>
    <t>manish.khan@brightpathgroup.com</t>
  </si>
  <si>
    <t>+91-7476434218</t>
  </si>
  <si>
    <t>CRM-01088</t>
  </si>
  <si>
    <t>amit.rao@educoresolutions.com</t>
  </si>
  <si>
    <t>+91-8621763452</t>
  </si>
  <si>
    <t>CRM-01089</t>
  </si>
  <si>
    <t>ritika.patel@finedgegroup.com</t>
  </si>
  <si>
    <t>+91-7025571403</t>
  </si>
  <si>
    <t>CRM-01090</t>
  </si>
  <si>
    <t>rahul.malhotra@mediplusanalytics.com</t>
  </si>
  <si>
    <t>+91-7270778475</t>
  </si>
  <si>
    <t>CRM-01091</t>
  </si>
  <si>
    <t>riya.kapoor@growthlabtechnolog.com</t>
  </si>
  <si>
    <t>+91-7966324338</t>
  </si>
  <si>
    <t>CRM-01092</t>
  </si>
  <si>
    <t>amit.mishra@insightwaveservice.com</t>
  </si>
  <si>
    <t>+91-9392367598</t>
  </si>
  <si>
    <t>CRM-01093</t>
  </si>
  <si>
    <t>rakesh.malhotra@databridgeanalytic.com</t>
  </si>
  <si>
    <t>+91-8619740938</t>
  </si>
  <si>
    <t>CRM-01094</t>
  </si>
  <si>
    <t>pooja.gupta@cloudnestgroup.com</t>
  </si>
  <si>
    <t>+91-7830215144</t>
  </si>
  <si>
    <t>CRM-01095</t>
  </si>
  <si>
    <t>arjun.bose@skillforgeconsulti.com</t>
  </si>
  <si>
    <t>+91-9074163981</t>
  </si>
  <si>
    <t>CRM-01096</t>
  </si>
  <si>
    <t>amit.nair@mediplussolutions.com</t>
  </si>
  <si>
    <t>+91-9153047174</t>
  </si>
  <si>
    <t>CRM-01097</t>
  </si>
  <si>
    <t>kavya.malhotra@nextgenanalytics.com</t>
  </si>
  <si>
    <t>+91-9646024431</t>
  </si>
  <si>
    <t>CRM-01098</t>
  </si>
  <si>
    <t>Rahul Chopra</t>
  </si>
  <si>
    <t>rahul.chopra@marketpulsesystems.com</t>
  </si>
  <si>
    <t>+91-8477395081</t>
  </si>
  <si>
    <t>CRM-01099</t>
  </si>
  <si>
    <t>Kavya Agarwal</t>
  </si>
  <si>
    <t>kavya.agarwal@brightpathventures.com</t>
  </si>
  <si>
    <t>+91-8306660726</t>
  </si>
  <si>
    <t>CRM-01100</t>
  </si>
  <si>
    <t>rahul.joshi@novaventures.com</t>
  </si>
  <si>
    <t>+91-7491499567</t>
  </si>
  <si>
    <t>CRM-01101</t>
  </si>
  <si>
    <t>Pooja Malhotra</t>
  </si>
  <si>
    <t>pooja.malhotra@primeenterprises.com</t>
  </si>
  <si>
    <t>+91-8440628861</t>
  </si>
  <si>
    <t>CRM-01102</t>
  </si>
  <si>
    <t>Arjun Joshi</t>
  </si>
  <si>
    <t>arjun.joshi@nextgentechnologie.com</t>
  </si>
  <si>
    <t>+91-8765579576</t>
  </si>
  <si>
    <t>CRM-01103</t>
  </si>
  <si>
    <t>riya.kapoor@mediplussystems.com</t>
  </si>
  <si>
    <t>+91-9145389077</t>
  </si>
  <si>
    <t>CRM-01104</t>
  </si>
  <si>
    <t>tanvi.verma@finedgeservices.com</t>
  </si>
  <si>
    <t>+91-7424530436</t>
  </si>
  <si>
    <t>CRM-01105</t>
  </si>
  <si>
    <t>nandini.patel@bluepeakgroup.com</t>
  </si>
  <si>
    <t>+91-7546572319</t>
  </si>
  <si>
    <t>CRM-01106</t>
  </si>
  <si>
    <t>aditi.singh@databridgesolution.com</t>
  </si>
  <si>
    <t>+91-9975629164</t>
  </si>
  <si>
    <t>CRM-01107</t>
  </si>
  <si>
    <t>pooja.mishra@insightwavesolutio.com</t>
  </si>
  <si>
    <t>+91-8821690670</t>
  </si>
  <si>
    <t>CRM-01108</t>
  </si>
  <si>
    <t>amit.khan@insightwaveenterpr.com</t>
  </si>
  <si>
    <t>+91-9989333424</t>
  </si>
  <si>
    <t>CRM-01109</t>
  </si>
  <si>
    <t>arjun.gupta@mediplusenterprise.com</t>
  </si>
  <si>
    <t>+91-9472840512</t>
  </si>
  <si>
    <t>CRM-01110</t>
  </si>
  <si>
    <t>suresh.gupta@finedgeservices.com</t>
  </si>
  <si>
    <t>+91-8339894846</t>
  </si>
  <si>
    <t>CRM-01111</t>
  </si>
  <si>
    <t>abhishek.patel@finedgeservices.com</t>
  </si>
  <si>
    <t>+91-7796913976</t>
  </si>
  <si>
    <t>CRM-01112</t>
  </si>
  <si>
    <t>amit.joshi@nextgenenterprises.com</t>
  </si>
  <si>
    <t>+91-7215875798</t>
  </si>
  <si>
    <t>CRM-01113</t>
  </si>
  <si>
    <t>isha.chopra@finedgeanalytics.com</t>
  </si>
  <si>
    <t>+91-8935772988</t>
  </si>
  <si>
    <t>CRM-01114</t>
  </si>
  <si>
    <t>Ritika Jain</t>
  </si>
  <si>
    <t>ritika.jain@cloudnestventures.com</t>
  </si>
  <si>
    <t>+91-7319174864</t>
  </si>
  <si>
    <t>CRM-01115</t>
  </si>
  <si>
    <t>manish.khan@brightpathconsulti.com</t>
  </si>
  <si>
    <t>+91-8004189678</t>
  </si>
  <si>
    <t>CRM-01116</t>
  </si>
  <si>
    <t>sanya.sharma@growthlabtechnolog.com</t>
  </si>
  <si>
    <t>+91-9117724159</t>
  </si>
  <si>
    <t>CRM-01117</t>
  </si>
  <si>
    <t>vivek.mehta@educoresolutions.com</t>
  </si>
  <si>
    <t>+91-9785412660</t>
  </si>
  <si>
    <t>CRM-01118</t>
  </si>
  <si>
    <t>Tanvi Agarwal</t>
  </si>
  <si>
    <t>tanvi.agarwal@brightpathenterpri.com</t>
  </si>
  <si>
    <t>+91-9433145278</t>
  </si>
  <si>
    <t>CRM-01119</t>
  </si>
  <si>
    <t>varun.singh@mediplussystems.com</t>
  </si>
  <si>
    <t>+91-8742757329</t>
  </si>
  <si>
    <t>CRM-01120</t>
  </si>
  <si>
    <t>ritika.chopra@techaxisgroup.com</t>
  </si>
  <si>
    <t>+91-7439387824</t>
  </si>
  <si>
    <t>CRM-01121</t>
  </si>
  <si>
    <t>isha.verma@techaxisanalytics.com</t>
  </si>
  <si>
    <t>+91-8851743783</t>
  </si>
  <si>
    <t>CRM-01122</t>
  </si>
  <si>
    <t>varun.khan@skillforgegroup.com</t>
  </si>
  <si>
    <t>+91-7686737671</t>
  </si>
  <si>
    <t>CRM-01123</t>
  </si>
  <si>
    <t>Harsh Patel</t>
  </si>
  <si>
    <t>harsh.patel@growthlablabs.com</t>
  </si>
  <si>
    <t>+91-7295268891</t>
  </si>
  <si>
    <t>CRM-01124</t>
  </si>
  <si>
    <t>varun.malhotra@techaxistechnologi.com</t>
  </si>
  <si>
    <t>+91-7544730625</t>
  </si>
  <si>
    <t>CRM-01125</t>
  </si>
  <si>
    <t>divya.rao@urbanedgelabs.com</t>
  </si>
  <si>
    <t>+91-7721048231</t>
  </si>
  <si>
    <t>CRM-01126</t>
  </si>
  <si>
    <t>rahul.mehta@urbanedgelabs.com</t>
  </si>
  <si>
    <t>+91-9450839897</t>
  </si>
  <si>
    <t>CRM-01127</t>
  </si>
  <si>
    <t>Rakesh Mishra</t>
  </si>
  <si>
    <t>rakesh.mishra@finedgelabs.com</t>
  </si>
  <si>
    <t>+91-8005561778</t>
  </si>
  <si>
    <t>CRM-01128</t>
  </si>
  <si>
    <t>Rakesh Sharma</t>
  </si>
  <si>
    <t>rakesh.sharma@bluepeakgroup.com</t>
  </si>
  <si>
    <t>+91-9626218322</t>
  </si>
  <si>
    <t>CRM-01129</t>
  </si>
  <si>
    <t>varun.patel@brightpathanalytic.com</t>
  </si>
  <si>
    <t>+91-9493778280</t>
  </si>
  <si>
    <t>CRM-01130</t>
  </si>
  <si>
    <t>mansi.saxena@educoregroup.com</t>
  </si>
  <si>
    <t>+91-8812410604</t>
  </si>
  <si>
    <t>CRM-01131</t>
  </si>
  <si>
    <t>mansi.gupta@techaxisanalytics.com</t>
  </si>
  <si>
    <t>+91-8894966788</t>
  </si>
  <si>
    <t>CRM-01132</t>
  </si>
  <si>
    <t>mohan.agarwal@marketpulseenterpr.com</t>
  </si>
  <si>
    <t>+91-7077329113</t>
  </si>
  <si>
    <t>CRM-01133</t>
  </si>
  <si>
    <t>Siddharth Chopra</t>
  </si>
  <si>
    <t>siddharth.chopra@novasystems.com</t>
  </si>
  <si>
    <t>+91-8443960505</t>
  </si>
  <si>
    <t>CRM-01134</t>
  </si>
  <si>
    <t>nandini.gupta@marketpulseservice.com</t>
  </si>
  <si>
    <t>+91-8563093047</t>
  </si>
  <si>
    <t>CRM-01135</t>
  </si>
  <si>
    <t>Neha Sharma</t>
  </si>
  <si>
    <t>neha.sharma@cloudnestlabs.com</t>
  </si>
  <si>
    <t>+91-7492838046</t>
  </si>
  <si>
    <t>CRM-01136</t>
  </si>
  <si>
    <t>nandini.khan@educorelabs.com</t>
  </si>
  <si>
    <t>+91-8793328585</t>
  </si>
  <si>
    <t>CRM-01137</t>
  </si>
  <si>
    <t>siddharth.chopra@databridgeventures.com</t>
  </si>
  <si>
    <t>+91-9686314185</t>
  </si>
  <si>
    <t>CRM-01138</t>
  </si>
  <si>
    <t>nandini.agarwal@brightpathservices.com</t>
  </si>
  <si>
    <t>+91-7119428099</t>
  </si>
  <si>
    <t>CRM-01139</t>
  </si>
  <si>
    <t>harsh.patel@skillforgesolution.com</t>
  </si>
  <si>
    <t>+91-9964337381</t>
  </si>
  <si>
    <t>CRM-01140</t>
  </si>
  <si>
    <t>aditi.chopra@techaxislabs.com</t>
  </si>
  <si>
    <t>+91-7660917198</t>
  </si>
  <si>
    <t>CRM-01141</t>
  </si>
  <si>
    <t>neha.kapoor@cloudnestsolutions.com</t>
  </si>
  <si>
    <t>+91-8355726459</t>
  </si>
  <si>
    <t>CRM-01142</t>
  </si>
  <si>
    <t>tanvi.joshi@techaxisservices.com</t>
  </si>
  <si>
    <t>+91-8577585893</t>
  </si>
  <si>
    <t>CRM-01143</t>
  </si>
  <si>
    <t>rahul.malhotra@bluepeakconsulting.com</t>
  </si>
  <si>
    <t>+91-7093733013</t>
  </si>
  <si>
    <t>CRM-01144</t>
  </si>
  <si>
    <t>Siddharth Patel</t>
  </si>
  <si>
    <t>siddharth.patel@nextgenservices.com</t>
  </si>
  <si>
    <t>+91-8602317775</t>
  </si>
  <si>
    <t>CRM-01145</t>
  </si>
  <si>
    <t>Siddharth Mehta</t>
  </si>
  <si>
    <t>siddharth.mehta@cloudnestventures.com</t>
  </si>
  <si>
    <t>+91-8110682050</t>
  </si>
  <si>
    <t>CRM-01146</t>
  </si>
  <si>
    <t>karan.verma@brightpathventures.com</t>
  </si>
  <si>
    <t>+91-9749927727</t>
  </si>
  <si>
    <t>CRM-01147</t>
  </si>
  <si>
    <t>mehak.das@bluepeakanalytics.com</t>
  </si>
  <si>
    <t>+91-7200172020</t>
  </si>
  <si>
    <t>CRM-01148</t>
  </si>
  <si>
    <t>siddharth.kapoor@finedgeservices.com</t>
  </si>
  <si>
    <t>+91-7890959211</t>
  </si>
  <si>
    <t>CRM-01149</t>
  </si>
  <si>
    <t>shruti.agarwal@skillforgeservices.com</t>
  </si>
  <si>
    <t>+91-9718056384</t>
  </si>
  <si>
    <t>CRM-01150</t>
  </si>
  <si>
    <t>Arjun Chopra</t>
  </si>
  <si>
    <t>arjun.chopra@marketpulsesystems.com</t>
  </si>
  <si>
    <t>+91-9144786047</t>
  </si>
  <si>
    <t>CRM-01151</t>
  </si>
  <si>
    <t>aditi.mishra@insightwaveservice.com</t>
  </si>
  <si>
    <t>+91-7084835273</t>
  </si>
  <si>
    <t>CRM-01152</t>
  </si>
  <si>
    <t>Siddharth Jain</t>
  </si>
  <si>
    <t>siddharth.jain@bluepeakenterprise.com</t>
  </si>
  <si>
    <t>+91-9664351632</t>
  </si>
  <si>
    <t>CRM-01153</t>
  </si>
  <si>
    <t>manish.khan@growthlabenterpris.com</t>
  </si>
  <si>
    <t>+91-7461944624</t>
  </si>
  <si>
    <t>CRM-01154</t>
  </si>
  <si>
    <t>shruti.mishra@brightpathsolution.com</t>
  </si>
  <si>
    <t>+91-9860114613</t>
  </si>
  <si>
    <t>CRM-01155</t>
  </si>
  <si>
    <t>vivek.saxena@techaxistechnologi.com</t>
  </si>
  <si>
    <t>+91-9048461982</t>
  </si>
  <si>
    <t>CRM-01156</t>
  </si>
  <si>
    <t>ritika.sharma@educoreanalytics.com</t>
  </si>
  <si>
    <t>+91-9491846060</t>
  </si>
  <si>
    <t>CRM-01157</t>
  </si>
  <si>
    <t>vivek.mehta@skillforgeservices.com</t>
  </si>
  <si>
    <t>+91-7923715833</t>
  </si>
  <si>
    <t>CRM-01158</t>
  </si>
  <si>
    <t>varun.verma@skillforgetechnolo.com</t>
  </si>
  <si>
    <t>+91-8659034553</t>
  </si>
  <si>
    <t>CRM-01159</t>
  </si>
  <si>
    <t>siddharth.sharma@growthlabventures.com</t>
  </si>
  <si>
    <t>+91-8556417321</t>
  </si>
  <si>
    <t>CRM-01160</t>
  </si>
  <si>
    <t>karan.mehta@techaxisservices.com</t>
  </si>
  <si>
    <t>+91-7790559631</t>
  </si>
  <si>
    <t>CRM-01161</t>
  </si>
  <si>
    <t>harsh.saxena@insightwavesystems.com</t>
  </si>
  <si>
    <t>+91-8172926147</t>
  </si>
  <si>
    <t>CRM-01162</t>
  </si>
  <si>
    <t>tanvi.saxena@cloudnestenterpris.com</t>
  </si>
  <si>
    <t>+91-8463851700</t>
  </si>
  <si>
    <t>CRM-01163</t>
  </si>
  <si>
    <t>rakesh.agarwal@databridgeconsulti.com</t>
  </si>
  <si>
    <t>+91-7997365961</t>
  </si>
  <si>
    <t>CRM-01164</t>
  </si>
  <si>
    <t>sanya.iyer@urbanedgeanalytics.com</t>
  </si>
  <si>
    <t>+91-7108468796</t>
  </si>
  <si>
    <t>CRM-01165</t>
  </si>
  <si>
    <t>amit.khan@urbanedgeanalytics.com</t>
  </si>
  <si>
    <t>+91-9325975455</t>
  </si>
  <si>
    <t>CRM-01166</t>
  </si>
  <si>
    <t>mehak.iyer@educoreenterprises.com</t>
  </si>
  <si>
    <t>+91-9073218063</t>
  </si>
  <si>
    <t>CRM-01167</t>
  </si>
  <si>
    <t>arjun.singh@marketpulselabs.com</t>
  </si>
  <si>
    <t>+91-7057185509</t>
  </si>
  <si>
    <t>CRM-01168</t>
  </si>
  <si>
    <t>karan.mishra@nextgenanalytics.com</t>
  </si>
  <si>
    <t>+91-9472190196</t>
  </si>
  <si>
    <t>CRM-01169</t>
  </si>
  <si>
    <t>mehak.patel@nextgenservices.com</t>
  </si>
  <si>
    <t>+91-8045179576</t>
  </si>
  <si>
    <t>CRM-01170</t>
  </si>
  <si>
    <t>vivek.das@techaxissolutions.com</t>
  </si>
  <si>
    <t>+91-9561752747</t>
  </si>
  <si>
    <t>CRM-01171</t>
  </si>
  <si>
    <t>karan.mehta@brightpathlabs.com</t>
  </si>
  <si>
    <t>+91-9038093713</t>
  </si>
  <si>
    <t>CRM-01172</t>
  </si>
  <si>
    <t>riya.singh@bluepeakanalytics.com</t>
  </si>
  <si>
    <t>+91-9844348172</t>
  </si>
  <si>
    <t>CRM-01173</t>
  </si>
  <si>
    <t>simran.mishra@techaxisventures.com</t>
  </si>
  <si>
    <t>+91-8204281679</t>
  </si>
  <si>
    <t>CRM-01174</t>
  </si>
  <si>
    <t>Ritika Mishra</t>
  </si>
  <si>
    <t>ritika.mishra@educoreenterprises.com</t>
  </si>
  <si>
    <t>+91-7140824027</t>
  </si>
  <si>
    <t>CRM-01175</t>
  </si>
  <si>
    <t>shruti.kapoor@cloudnestsolutions.com</t>
  </si>
  <si>
    <t>+91-9137699446</t>
  </si>
  <si>
    <t>CRM-01176</t>
  </si>
  <si>
    <t>neha.kapoor@finedgeventures.com</t>
  </si>
  <si>
    <t>+91-8345663219</t>
  </si>
  <si>
    <t>CRM-01177</t>
  </si>
  <si>
    <t>mehak.agarwal@databridgesolution.com</t>
  </si>
  <si>
    <t>+91-7582195933</t>
  </si>
  <si>
    <t>CRM-01178</t>
  </si>
  <si>
    <t>karan.kapoor@bluepeakventures.com</t>
  </si>
  <si>
    <t>+91-9561691783</t>
  </si>
  <si>
    <t>CRM-01179</t>
  </si>
  <si>
    <t>Harsh Jain</t>
  </si>
  <si>
    <t>harsh.jain@techaxisconsulting.com</t>
  </si>
  <si>
    <t>+91-9885743538</t>
  </si>
  <si>
    <t>CRM-01180</t>
  </si>
  <si>
    <t>abhishek.joshi@finedgesolutions.com</t>
  </si>
  <si>
    <t>+91-8326372100</t>
  </si>
  <si>
    <t>CRM-01181</t>
  </si>
  <si>
    <t>neha.kapoor@bluepeakgroup.com</t>
  </si>
  <si>
    <t>+91-8388860464</t>
  </si>
  <si>
    <t>CRM-01182</t>
  </si>
  <si>
    <t>Riya Malhotra</t>
  </si>
  <si>
    <t>riya.malhotra@growthlabgroup.com</t>
  </si>
  <si>
    <t>+91-8963797735</t>
  </si>
  <si>
    <t>CRM-01183</t>
  </si>
  <si>
    <t>riya.agarwal@brightpathsolution.com</t>
  </si>
  <si>
    <t>+91-9740076532</t>
  </si>
  <si>
    <t>CRM-01184</t>
  </si>
  <si>
    <t>Mohan Khan</t>
  </si>
  <si>
    <t>mohan.khan@marketpulseservice.com</t>
  </si>
  <si>
    <t>+91-7879554351</t>
  </si>
  <si>
    <t>CRM-01185</t>
  </si>
  <si>
    <t>rakesh.verma@techaxisservices.com</t>
  </si>
  <si>
    <t>+91-7753121905</t>
  </si>
  <si>
    <t>CRM-01186</t>
  </si>
  <si>
    <t>Aditi Nair</t>
  </si>
  <si>
    <t>aditi.nair@skillforgeventures.com</t>
  </si>
  <si>
    <t>+91-9222633247</t>
  </si>
  <si>
    <t>CRM-01187</t>
  </si>
  <si>
    <t>sanya.sharma@finedgegroup.com</t>
  </si>
  <si>
    <t>+91-7401845449</t>
  </si>
  <si>
    <t>CRM-01188</t>
  </si>
  <si>
    <t>mohan.iyer@urbanedgeventures.com</t>
  </si>
  <si>
    <t>+91-7917936792</t>
  </si>
  <si>
    <t>CRM-01189</t>
  </si>
  <si>
    <t>Tanvi Jain</t>
  </si>
  <si>
    <t>tanvi.jain@databridgeenterpri.com</t>
  </si>
  <si>
    <t>+91-7964224903</t>
  </si>
  <si>
    <t>CRM-01190</t>
  </si>
  <si>
    <t>Rahul Sharma</t>
  </si>
  <si>
    <t>rahul.sharma@finedgesolutions.com</t>
  </si>
  <si>
    <t>+91-7738237403</t>
  </si>
  <si>
    <t>CRM-01191</t>
  </si>
  <si>
    <t>Arjun Mehta</t>
  </si>
  <si>
    <t>arjun.mehta@educoreventures.com</t>
  </si>
  <si>
    <t>+91-8924346839</t>
  </si>
  <si>
    <t>CRM-01192</t>
  </si>
  <si>
    <t>suresh.verma@cloudnesttechnolog.com</t>
  </si>
  <si>
    <t>+91-7759029293</t>
  </si>
  <si>
    <t>CRM-01193</t>
  </si>
  <si>
    <t>riya.saxena@techaxistechnologi.com</t>
  </si>
  <si>
    <t>+91-7983438063</t>
  </si>
  <si>
    <t>CRM-01194</t>
  </si>
  <si>
    <t>kavya.jain@databridgetechnolo.com</t>
  </si>
  <si>
    <t>+91-9846454189</t>
  </si>
  <si>
    <t>CRM-01195</t>
  </si>
  <si>
    <t>mohan.kapoor@nextgensystems.com</t>
  </si>
  <si>
    <t>+91-9977185510</t>
  </si>
  <si>
    <t>CRM-01196</t>
  </si>
  <si>
    <t>manish.sharma@growthlabenterpris.com</t>
  </si>
  <si>
    <t>+91-7310410952</t>
  </si>
  <si>
    <t>CRM-01197</t>
  </si>
  <si>
    <t>arjun.verma@educoregroup.com</t>
  </si>
  <si>
    <t>+91-7690823983</t>
  </si>
  <si>
    <t>CRM-01198</t>
  </si>
  <si>
    <t>kavya.mishra@growthlablabs.com</t>
  </si>
  <si>
    <t>+91-8664054920</t>
  </si>
  <si>
    <t>CRM-01199</t>
  </si>
  <si>
    <t>karan.gupta@nextgengroup.com</t>
  </si>
  <si>
    <t>+91-9628097627</t>
  </si>
  <si>
    <t>CRM-01200</t>
  </si>
  <si>
    <t>pooja.iyer@skillforgelabs.com</t>
  </si>
  <si>
    <t>+91-8230978994</t>
  </si>
  <si>
    <t>CRM-01201</t>
  </si>
  <si>
    <t>arjun.gupta@primeanalytics.com</t>
  </si>
  <si>
    <t>+91-7520376557</t>
  </si>
  <si>
    <t>CRM-01202</t>
  </si>
  <si>
    <t>riya.chopra@databridgelabs.com</t>
  </si>
  <si>
    <t>+91-8975157784</t>
  </si>
  <si>
    <t>CRM-01203</t>
  </si>
  <si>
    <t>amit.sharma@urbanedgeanalytics.com</t>
  </si>
  <si>
    <t>+91-7326488488</t>
  </si>
  <si>
    <t>CRM-01204</t>
  </si>
  <si>
    <t>neha.jain@urbanedgeenterpris.com</t>
  </si>
  <si>
    <t>+91-8504369119</t>
  </si>
  <si>
    <t>CRM-01205</t>
  </si>
  <si>
    <t>Nandini Sharma</t>
  </si>
  <si>
    <t>nandini.sharma@nextgengroup.com</t>
  </si>
  <si>
    <t>+91-7572892337</t>
  </si>
  <si>
    <t>CRM-01206</t>
  </si>
  <si>
    <t>tanvi.saxena@finedgegroup.com</t>
  </si>
  <si>
    <t>+91-9680334331</t>
  </si>
  <si>
    <t>CRM-01207</t>
  </si>
  <si>
    <t>mehak.iyer@mediplusventures.com</t>
  </si>
  <si>
    <t>+91-7366474568</t>
  </si>
  <si>
    <t>CRM-01208</t>
  </si>
  <si>
    <t>varun.jain@cloudnestconsultin.com</t>
  </si>
  <si>
    <t>+91-9303463260</t>
  </si>
  <si>
    <t>CRM-01209</t>
  </si>
  <si>
    <t>amit.iyer@nextgenenterprises.com</t>
  </si>
  <si>
    <t>+91-7845868370</t>
  </si>
  <si>
    <t>CRM-01210</t>
  </si>
  <si>
    <t>mehak.das@skillforgegroup.com</t>
  </si>
  <si>
    <t>+91-8645768064</t>
  </si>
  <si>
    <t>CRM-01211</t>
  </si>
  <si>
    <t>simran.verma@cloudnestsolutions.com</t>
  </si>
  <si>
    <t>+91-9237821607</t>
  </si>
  <si>
    <t>CRM-01212</t>
  </si>
  <si>
    <t>Arjun Das</t>
  </si>
  <si>
    <t>arjun.das@techaxisventures.com</t>
  </si>
  <si>
    <t>+91-7756553130</t>
  </si>
  <si>
    <t>CRM-01213</t>
  </si>
  <si>
    <t>manish.das@novagroup.com</t>
  </si>
  <si>
    <t>+91-7646987648</t>
  </si>
  <si>
    <t>CRM-01214</t>
  </si>
  <si>
    <t>sanya.iyer@cloudnesttechnolog.com</t>
  </si>
  <si>
    <t>+91-9685883310</t>
  </si>
  <si>
    <t>CRM-01215</t>
  </si>
  <si>
    <t>ritika.rao@nextgentechnologie.com</t>
  </si>
  <si>
    <t>+91-9724610550</t>
  </si>
  <si>
    <t>CRM-01216</t>
  </si>
  <si>
    <t>divya.sharma@bluepeakanalytics.com</t>
  </si>
  <si>
    <t>+91-8570073240</t>
  </si>
  <si>
    <t>CRM-01217</t>
  </si>
  <si>
    <t>isha.malhotra@skillforgeanalytic.com</t>
  </si>
  <si>
    <t>+91-9048910790</t>
  </si>
  <si>
    <t>CRM-01218</t>
  </si>
  <si>
    <t>Aditi Patel</t>
  </si>
  <si>
    <t>aditi.patel@nextgensystems.com</t>
  </si>
  <si>
    <t>+91-9055086071</t>
  </si>
  <si>
    <t>CRM-01219</t>
  </si>
  <si>
    <t>deepak.mishra@cloudnestservices.com</t>
  </si>
  <si>
    <t>+91-8233225914</t>
  </si>
  <si>
    <t>CRM-01220</t>
  </si>
  <si>
    <t>abhishek.kapoor@primeservices.com</t>
  </si>
  <si>
    <t>+91-8057967986</t>
  </si>
  <si>
    <t>CRM-01221</t>
  </si>
  <si>
    <t>arjun.malhotra@growthlabventures.com</t>
  </si>
  <si>
    <t>+91-8284365222</t>
  </si>
  <si>
    <t>CRM-01222</t>
  </si>
  <si>
    <t>kavya.khan@novalabs.com</t>
  </si>
  <si>
    <t>+91-8891383051</t>
  </si>
  <si>
    <t>CRM-01223</t>
  </si>
  <si>
    <t>kavya.verma@educoresolutions.com</t>
  </si>
  <si>
    <t>+91-7753023774</t>
  </si>
  <si>
    <t>CRM-01224</t>
  </si>
  <si>
    <t>mansi.gupta@educoretechnologie.com</t>
  </si>
  <si>
    <t>+91-8305855341</t>
  </si>
  <si>
    <t>CRM-01225</t>
  </si>
  <si>
    <t>vivek.sharma@nextgenventures.com</t>
  </si>
  <si>
    <t>+91-9943435230</t>
  </si>
  <si>
    <t>CRM-01226</t>
  </si>
  <si>
    <t>kavya.sharma@insightwaveanalyti.com</t>
  </si>
  <si>
    <t>+91-9292516037</t>
  </si>
  <si>
    <t>CRM-01227</t>
  </si>
  <si>
    <t>karan.jain@finedgeventures.com</t>
  </si>
  <si>
    <t>+91-8557927695</t>
  </si>
  <si>
    <t>CRM-01228</t>
  </si>
  <si>
    <t>rahul.kapoor@primeconsulting.com</t>
  </si>
  <si>
    <t>+91-7134179027</t>
  </si>
  <si>
    <t>CRM-01229</t>
  </si>
  <si>
    <t>kavya.sharma@novaanalytics.com</t>
  </si>
  <si>
    <t>+91-8995740561</t>
  </si>
  <si>
    <t>CRM-01230</t>
  </si>
  <si>
    <t>kavya.malhotra@brightpathsystems.com</t>
  </si>
  <si>
    <t>+91-9597928728</t>
  </si>
  <si>
    <t>CRM-01231</t>
  </si>
  <si>
    <t>abhishek.mehta@primelabs.com</t>
  </si>
  <si>
    <t>+91-9473724691</t>
  </si>
  <si>
    <t>CRM-01232</t>
  </si>
  <si>
    <t>rakesh.das@brightpathenterpri.com</t>
  </si>
  <si>
    <t>+91-8334412026</t>
  </si>
  <si>
    <t>CRM-01233</t>
  </si>
  <si>
    <t>rakesh.patel@cloudnestsystems.com</t>
  </si>
  <si>
    <t>+91-8837836759</t>
  </si>
  <si>
    <t>CRM-01234</t>
  </si>
  <si>
    <t>amit.bose@insightwaveanalyti.com</t>
  </si>
  <si>
    <t>+91-9982361207</t>
  </si>
  <si>
    <t>CRM-01235</t>
  </si>
  <si>
    <t>rakesh.sharma@marketpulseventure.com</t>
  </si>
  <si>
    <t>+91-8654991967</t>
  </si>
  <si>
    <t>CRM-01236</t>
  </si>
  <si>
    <t>arjun.joshi@techaxissystems.com</t>
  </si>
  <si>
    <t>+91-9090619029</t>
  </si>
  <si>
    <t>CRM-01237</t>
  </si>
  <si>
    <t>suresh.rao@nextgenlabs.com</t>
  </si>
  <si>
    <t>+91-9578326394</t>
  </si>
  <si>
    <t>CRM-01238</t>
  </si>
  <si>
    <t>harsh.nair@bluepeakanalytics.com</t>
  </si>
  <si>
    <t>+91-9302055896</t>
  </si>
  <si>
    <t>CRM-01239</t>
  </si>
  <si>
    <t>isha.bose@growthlabservices.com</t>
  </si>
  <si>
    <t>+91-8972289397</t>
  </si>
  <si>
    <t>CRM-01240</t>
  </si>
  <si>
    <t>isha.gupta@growthlablabs.com</t>
  </si>
  <si>
    <t>+91-9411161201</t>
  </si>
  <si>
    <t>CRM-01241</t>
  </si>
  <si>
    <t>karan.khan@mediplusenterprise.com</t>
  </si>
  <si>
    <t>+91-8087091034</t>
  </si>
  <si>
    <t>CRM-01242</t>
  </si>
  <si>
    <t>abhishek.saxena@mediplussolutions.com</t>
  </si>
  <si>
    <t>+91-9234535854</t>
  </si>
  <si>
    <t>CRM-01243</t>
  </si>
  <si>
    <t>aditi.rao@medipluslabs.com</t>
  </si>
  <si>
    <t>+91-9134191727</t>
  </si>
  <si>
    <t>CRM-01244</t>
  </si>
  <si>
    <t>vivek.chopra@growthlabenterpris.com</t>
  </si>
  <si>
    <t>+91-8248334649</t>
  </si>
  <si>
    <t>CRM-01245</t>
  </si>
  <si>
    <t>mohan.khan@insightwavelabs.com</t>
  </si>
  <si>
    <t>+91-8646266070</t>
  </si>
  <si>
    <t>CRM-01246</t>
  </si>
  <si>
    <t>arjun.chopra@brightpathanalytic.com</t>
  </si>
  <si>
    <t>+91-9889985454</t>
  </si>
  <si>
    <t>CRM-01247</t>
  </si>
  <si>
    <t>manish.chopra@techaxistechnologi.com</t>
  </si>
  <si>
    <t>+91-9104513374</t>
  </si>
  <si>
    <t>CRM-01248</t>
  </si>
  <si>
    <t>amit.sharma@insightwavelabs.com</t>
  </si>
  <si>
    <t>+91-8372915768</t>
  </si>
  <si>
    <t>CRM-01249</t>
  </si>
  <si>
    <t>sanya.bose@growthlabventures.com</t>
  </si>
  <si>
    <t>+91-9743296654</t>
  </si>
  <si>
    <t>CRM-01250</t>
  </si>
  <si>
    <t>nitin.saxena@marketpulseconsult.com</t>
  </si>
  <si>
    <t>+91-7727848228</t>
  </si>
  <si>
    <t>CRM-01251</t>
  </si>
  <si>
    <t>rakesh.mehta@urbanedgetechnolog.com</t>
  </si>
  <si>
    <t>+91-8666242883</t>
  </si>
  <si>
    <t>CRM-01252</t>
  </si>
  <si>
    <t>Simran Singh</t>
  </si>
  <si>
    <t>simran.singh@insightwaveenterpr.com</t>
  </si>
  <si>
    <t>+91-9973122247</t>
  </si>
  <si>
    <t>CRM-01253</t>
  </si>
  <si>
    <t>karan.mishra@bluepeaklabs.com</t>
  </si>
  <si>
    <t>+91-7157269771</t>
  </si>
  <si>
    <t>CRM-01254</t>
  </si>
  <si>
    <t>+91-7764524227</t>
  </si>
  <si>
    <t>CRM-01255</t>
  </si>
  <si>
    <t>simran.saxena@techaxisanalytics.com</t>
  </si>
  <si>
    <t>+91-9964933771</t>
  </si>
  <si>
    <t>CRM-01256</t>
  </si>
  <si>
    <t>amit.malhotra@skillforgeenterpri.com</t>
  </si>
  <si>
    <t>+91-8756538210</t>
  </si>
  <si>
    <t>CRM-01257</t>
  </si>
  <si>
    <t>isha.mishra@finedgegroup.com</t>
  </si>
  <si>
    <t>+91-8746280954</t>
  </si>
  <si>
    <t>CRM-01258</t>
  </si>
  <si>
    <t>+91-9814855562</t>
  </si>
  <si>
    <t>CRM-01259</t>
  </si>
  <si>
    <t>riya.bose@marketpulseventure.com</t>
  </si>
  <si>
    <t>+91-8663081999</t>
  </si>
  <si>
    <t>CRM-01260</t>
  </si>
  <si>
    <t>deepak.jain@bluepeaklabs.com</t>
  </si>
  <si>
    <t>+91-9833580126</t>
  </si>
  <si>
    <t>CRM-01261</t>
  </si>
  <si>
    <t>pooja.mehta@urbanedgeventures.com</t>
  </si>
  <si>
    <t>+91-7275318272</t>
  </si>
  <si>
    <t>CRM-01262</t>
  </si>
  <si>
    <t>vivek.rao@marketpulsesolutio.com</t>
  </si>
  <si>
    <t>+91-9034522704</t>
  </si>
  <si>
    <t>CRM-01263</t>
  </si>
  <si>
    <t>nitin.das@growthlabservices.com</t>
  </si>
  <si>
    <t>+91-9638116499</t>
  </si>
  <si>
    <t>CRM-01264</t>
  </si>
  <si>
    <t>riya.malhotra@databridgelabs.com</t>
  </si>
  <si>
    <t>+91-7853536065</t>
  </si>
  <si>
    <t>CRM-01265</t>
  </si>
  <si>
    <t>deepak.jain@marketpulsetechnol.com</t>
  </si>
  <si>
    <t>+91-7487993670</t>
  </si>
  <si>
    <t>CRM-01266</t>
  </si>
  <si>
    <t>abhishek.sharma@techaxislabs.com</t>
  </si>
  <si>
    <t>+91-8053688650</t>
  </si>
  <si>
    <t>CRM-01267</t>
  </si>
  <si>
    <t>pooja.agarwal@growthlabservices.com</t>
  </si>
  <si>
    <t>+91-7504935239</t>
  </si>
  <si>
    <t>CRM-01268</t>
  </si>
  <si>
    <t>Divya Iyer</t>
  </si>
  <si>
    <t>divya.iyer@educoresystems.com</t>
  </si>
  <si>
    <t>+91-7581898866</t>
  </si>
  <si>
    <t>CRM-01269</t>
  </si>
  <si>
    <t>ritika.chopra@novasolutions.com</t>
  </si>
  <si>
    <t>+91-8690741909</t>
  </si>
  <si>
    <t>CRM-01270</t>
  </si>
  <si>
    <t>divya.das@marketpulseenterpr.com</t>
  </si>
  <si>
    <t>+91-9853744889</t>
  </si>
  <si>
    <t>CRM-01271</t>
  </si>
  <si>
    <t>kavya.bose@databridgegroup.com</t>
  </si>
  <si>
    <t>+91-9977133256</t>
  </si>
  <si>
    <t>CRM-01272</t>
  </si>
  <si>
    <t>pooja.iyer@databridgesystems.com</t>
  </si>
  <si>
    <t>+91-8706758300</t>
  </si>
  <si>
    <t>CRM-01273</t>
  </si>
  <si>
    <t>mohan.joshi@nextgenconsulting.com</t>
  </si>
  <si>
    <t>+91-8721883573</t>
  </si>
  <si>
    <t>CRM-01274</t>
  </si>
  <si>
    <t>mohan.das@brightpathgroup.com</t>
  </si>
  <si>
    <t>+91-8254514559</t>
  </si>
  <si>
    <t>CRM-01275</t>
  </si>
  <si>
    <t>aditi.gupta@insightwaveconsult.com</t>
  </si>
  <si>
    <t>+91-8297819468</t>
  </si>
  <si>
    <t>CRM-01276</t>
  </si>
  <si>
    <t>siddharth.malhotra@primegroup.com</t>
  </si>
  <si>
    <t>+91-8198726300</t>
  </si>
  <si>
    <t>CRM-01277</t>
  </si>
  <si>
    <t>divya.patel@brightpathsystems.com</t>
  </si>
  <si>
    <t>+91-8859678499</t>
  </si>
  <si>
    <t>CRM-01278</t>
  </si>
  <si>
    <t>varun.iyer@marketpulseenterpr.com</t>
  </si>
  <si>
    <t>+91-7301381249</t>
  </si>
  <si>
    <t>CRM-01279</t>
  </si>
  <si>
    <t>varun.gupta@finedgesystems.com</t>
  </si>
  <si>
    <t>+91-7358874174</t>
  </si>
  <si>
    <t>CRM-01280</t>
  </si>
  <si>
    <t>rahul.das@urbanedgeventures.com</t>
  </si>
  <si>
    <t>+91-8790123017</t>
  </si>
  <si>
    <t>CRM-01281</t>
  </si>
  <si>
    <t>rahul.mishra@growthlabventures.com</t>
  </si>
  <si>
    <t>+91-8040348284</t>
  </si>
  <si>
    <t>CRM-01282</t>
  </si>
  <si>
    <t>divya.kapoor@bluepeaktechnologi.com</t>
  </si>
  <si>
    <t>+91-8923948999</t>
  </si>
  <si>
    <t>CRM-01283</t>
  </si>
  <si>
    <t>suresh.das@brightpathsolution.com</t>
  </si>
  <si>
    <t>+91-7324899449</t>
  </si>
  <si>
    <t>CRM-01284</t>
  </si>
  <si>
    <t>Sanya Mehta</t>
  </si>
  <si>
    <t>sanya.mehta@nextgenservices.com</t>
  </si>
  <si>
    <t>+91-9040937038</t>
  </si>
  <si>
    <t>CRM-01285</t>
  </si>
  <si>
    <t>kavya.rao@marketpulseanalyti.com</t>
  </si>
  <si>
    <t>+91-9537681564</t>
  </si>
  <si>
    <t>CRM-01286</t>
  </si>
  <si>
    <t>ritika.agarwal@insightwaveservice.com</t>
  </si>
  <si>
    <t>+91-8460957639</t>
  </si>
  <si>
    <t>CRM-01287</t>
  </si>
  <si>
    <t>riya.patel@novasolutions.com</t>
  </si>
  <si>
    <t>+91-7706397956</t>
  </si>
  <si>
    <t>CRM-01288</t>
  </si>
  <si>
    <t>arjun.rao@educoretechnologie.com</t>
  </si>
  <si>
    <t>+91-9269978656</t>
  </si>
  <si>
    <t>CRM-01289</t>
  </si>
  <si>
    <t>divya.mishra@insightwaveventure.com</t>
  </si>
  <si>
    <t>+91-7254965843</t>
  </si>
  <si>
    <t>CRM-01290</t>
  </si>
  <si>
    <t>arjun.verma@databridgegroup.com</t>
  </si>
  <si>
    <t>+91-8194244955</t>
  </si>
  <si>
    <t>CRM-01291</t>
  </si>
  <si>
    <t>ritika.saxena@educoreventures.com</t>
  </si>
  <si>
    <t>+91-7309857016</t>
  </si>
  <si>
    <t>CRM-01292</t>
  </si>
  <si>
    <t>rahul.malhotra@primeservices.com</t>
  </si>
  <si>
    <t>+91-8043725662</t>
  </si>
  <si>
    <t>CRM-01293</t>
  </si>
  <si>
    <t>vivek.gupta@techaxisconsulting.com</t>
  </si>
  <si>
    <t>+91-9055143720</t>
  </si>
  <si>
    <t>CRM-01294</t>
  </si>
  <si>
    <t>shruti.kapoor@finedgeenterprises.com</t>
  </si>
  <si>
    <t>+91-8100888242</t>
  </si>
  <si>
    <t>CRM-01295</t>
  </si>
  <si>
    <t>nandini.mishra@novasystems.com</t>
  </si>
  <si>
    <t>+91-7795848956</t>
  </si>
  <si>
    <t>CRM-01296</t>
  </si>
  <si>
    <t>Neha Bose</t>
  </si>
  <si>
    <t>neha.bose@urbanedgesystems.com</t>
  </si>
  <si>
    <t>+91-9491444966</t>
  </si>
  <si>
    <t>CRM-01297</t>
  </si>
  <si>
    <t>nandini.nair@finedgeservices.com</t>
  </si>
  <si>
    <t>+91-8049667902</t>
  </si>
  <si>
    <t>CRM-01298</t>
  </si>
  <si>
    <t>+91-8056593515</t>
  </si>
  <si>
    <t>CRM-01299</t>
  </si>
  <si>
    <t>shruti.sharma@nextgenanalytics.com</t>
  </si>
  <si>
    <t>+91-9199521582</t>
  </si>
  <si>
    <t>CRM-01300</t>
  </si>
  <si>
    <t>mehak.jain@mediplusventures.com</t>
  </si>
  <si>
    <t>+91-7421075574</t>
  </si>
  <si>
    <t>CRM-01301</t>
  </si>
  <si>
    <t>manish.mishra@databridgeservices.com</t>
  </si>
  <si>
    <t>+91-9368433873</t>
  </si>
  <si>
    <t>CRM-01302</t>
  </si>
  <si>
    <t>nandini.chopra@mediplustechnologi.com</t>
  </si>
  <si>
    <t>+91-8553559621</t>
  </si>
  <si>
    <t>CRM-01303</t>
  </si>
  <si>
    <t>varun.rao@brightpathanalytic.com</t>
  </si>
  <si>
    <t>+91-9810151817</t>
  </si>
  <si>
    <t>CRM-01304</t>
  </si>
  <si>
    <t>tanvi.nair@growthlabtechnolog.com</t>
  </si>
  <si>
    <t>+91-8269743687</t>
  </si>
  <si>
    <t>CRM-01305</t>
  </si>
  <si>
    <t>rakesh.saxena@cloudnestsystems.com</t>
  </si>
  <si>
    <t>+91-7103525336</t>
  </si>
  <si>
    <t>CRM-01306</t>
  </si>
  <si>
    <t>shruti.chopra@growthlabconsultin.com</t>
  </si>
  <si>
    <t>+91-8104568375</t>
  </si>
  <si>
    <t>CRM-01307</t>
  </si>
  <si>
    <t>arjun.iyer@databridgeenterpri.com</t>
  </si>
  <si>
    <t>+91-9563198907</t>
  </si>
  <si>
    <t>CRM-01308</t>
  </si>
  <si>
    <t>pooja.khan@finedgeservices.com</t>
  </si>
  <si>
    <t>+91-9871535932</t>
  </si>
  <si>
    <t>CRM-01309</t>
  </si>
  <si>
    <t>pooja.nair@skillforgeventures.com</t>
  </si>
  <si>
    <t>+91-7389520636</t>
  </si>
  <si>
    <t>CRM-01310</t>
  </si>
  <si>
    <t>rahul.joshi@urbanedgetechnolog.com</t>
  </si>
  <si>
    <t>+91-7278939652</t>
  </si>
  <si>
    <t>CRM-01311</t>
  </si>
  <si>
    <t>simran.gupta@growthlabsolutions.com</t>
  </si>
  <si>
    <t>+91-9784788101</t>
  </si>
  <si>
    <t>CRM-01312</t>
  </si>
  <si>
    <t>aditi.nair@databridgeventures.com</t>
  </si>
  <si>
    <t>+91-9977983246</t>
  </si>
  <si>
    <t>CRM-01313</t>
  </si>
  <si>
    <t>manish.saxena@urbanedgesystems.com</t>
  </si>
  <si>
    <t>+91-9298366577</t>
  </si>
  <si>
    <t>CRM-01314</t>
  </si>
  <si>
    <t>mehak.khan@databridgeconsulti.com</t>
  </si>
  <si>
    <t>+91-7905965787</t>
  </si>
  <si>
    <t>CRM-01315</t>
  </si>
  <si>
    <t>neha.mehta@cloudnestenterpris.com</t>
  </si>
  <si>
    <t>+91-9505172163</t>
  </si>
  <si>
    <t>CRM-01316</t>
  </si>
  <si>
    <t>mohan.saxena@urbanedgeanalytics.com</t>
  </si>
  <si>
    <t>+91-8461898204</t>
  </si>
  <si>
    <t>CRM-01317</t>
  </si>
  <si>
    <t>mansi.singh@skillforgeservices.com</t>
  </si>
  <si>
    <t>+91-8667080629</t>
  </si>
  <si>
    <t>CRM-01318</t>
  </si>
  <si>
    <t>mansi.kapoor@databridgeanalytic.com</t>
  </si>
  <si>
    <t>+91-8609570862</t>
  </si>
  <si>
    <t>CRM-01319</t>
  </si>
  <si>
    <t>mohan.agarwal@databridgesystems.com</t>
  </si>
  <si>
    <t>+91-8564494029</t>
  </si>
  <si>
    <t>CRM-01320</t>
  </si>
  <si>
    <t>mohan.sharma@skillforgeenterpri.com</t>
  </si>
  <si>
    <t>+91-8993611867</t>
  </si>
  <si>
    <t>CRM-01321</t>
  </si>
  <si>
    <t>+91-9956691898</t>
  </si>
  <si>
    <t>CRM-01322</t>
  </si>
  <si>
    <t>amit.agarwal@growthlabservices.com</t>
  </si>
  <si>
    <t>+91-9442944857</t>
  </si>
  <si>
    <t>CRM-01323</t>
  </si>
  <si>
    <t>arjun.saxena@growthlabtechnolog.com</t>
  </si>
  <si>
    <t>+91-7685520621</t>
  </si>
  <si>
    <t>CRM-01324</t>
  </si>
  <si>
    <t>pooja.bose@novaservices.com</t>
  </si>
  <si>
    <t>+91-8226083284</t>
  </si>
  <si>
    <t>CRM-01325</t>
  </si>
  <si>
    <t>divya.mehta@novaenterprises.com</t>
  </si>
  <si>
    <t>+91-9794771605</t>
  </si>
  <si>
    <t>CRM-01326</t>
  </si>
  <si>
    <t>mansi.nair@growthlabservices.com</t>
  </si>
  <si>
    <t>+91-9661493374</t>
  </si>
  <si>
    <t>CRM-01327</t>
  </si>
  <si>
    <t>rahul.das@nextgentechnologie.com</t>
  </si>
  <si>
    <t>+91-8007290983</t>
  </si>
  <si>
    <t>CRM-01328</t>
  </si>
  <si>
    <t>amit.kapoor@cloudnestsystems.com</t>
  </si>
  <si>
    <t>+91-8227716696</t>
  </si>
  <si>
    <t>CRM-01329</t>
  </si>
  <si>
    <t>shruti.bose@primeservices.com</t>
  </si>
  <si>
    <t>+91-7614017614</t>
  </si>
  <si>
    <t>CRM-01330</t>
  </si>
  <si>
    <t>nandini.rao@brightpathlabs.com</t>
  </si>
  <si>
    <t>+91-8203869449</t>
  </si>
  <si>
    <t>CRM-01331</t>
  </si>
  <si>
    <t>nandini.agarwal@primelabs.com</t>
  </si>
  <si>
    <t>+91-9111469440</t>
  </si>
  <si>
    <t>CRM-01332</t>
  </si>
  <si>
    <t>simran.bose@growthlabventures.com</t>
  </si>
  <si>
    <t>+91-8436646458</t>
  </si>
  <si>
    <t>CRM-01333</t>
  </si>
  <si>
    <t>karan.mishra@novaenterprises.com</t>
  </si>
  <si>
    <t>+91-7543693817</t>
  </si>
  <si>
    <t>CRM-01334</t>
  </si>
  <si>
    <t>nandini.malhotra@growthlabsystems.com</t>
  </si>
  <si>
    <t>+91-7470252660</t>
  </si>
  <si>
    <t>CRM-01335</t>
  </si>
  <si>
    <t>isha.singh@skillforgeconsulti.com</t>
  </si>
  <si>
    <t>+91-8697159186</t>
  </si>
  <si>
    <t>CRM-01336</t>
  </si>
  <si>
    <t>tanvi.das@brightpathservices.com</t>
  </si>
  <si>
    <t>+91-8251192391</t>
  </si>
  <si>
    <t>CRM-01337</t>
  </si>
  <si>
    <t>nandini.chopra@skillforgegroup.com</t>
  </si>
  <si>
    <t>+91-9525935856</t>
  </si>
  <si>
    <t>CRM-01338</t>
  </si>
  <si>
    <t>pooja.sharma@databridgeenterpri.com</t>
  </si>
  <si>
    <t>+91-8964747617</t>
  </si>
  <si>
    <t>CRM-01339</t>
  </si>
  <si>
    <t>mehak.rao@novasystems.com</t>
  </si>
  <si>
    <t>+91-9535199902</t>
  </si>
  <si>
    <t>CRM-01340</t>
  </si>
  <si>
    <t>Nitin Bose</t>
  </si>
  <si>
    <t>nitin.bose@educoregroup.com</t>
  </si>
  <si>
    <t>+91-7637676045</t>
  </si>
  <si>
    <t>CRM-01341</t>
  </si>
  <si>
    <t>rakesh.malhotra@mediplussolutions.com</t>
  </si>
  <si>
    <t>+91-8163754844</t>
  </si>
  <si>
    <t>CRM-01342</t>
  </si>
  <si>
    <t>isha.nair@databridgeanalytic.com</t>
  </si>
  <si>
    <t>+91-9730645205</t>
  </si>
  <si>
    <t>CRM-01343</t>
  </si>
  <si>
    <t>karan.rao@novaenterprises.com</t>
  </si>
  <si>
    <t>+91-7677996636</t>
  </si>
  <si>
    <t>CRM-01344</t>
  </si>
  <si>
    <t>sanya.mehta@finedgesystems.com</t>
  </si>
  <si>
    <t>+91-7566126674</t>
  </si>
  <si>
    <t>CRM-01345</t>
  </si>
  <si>
    <t>harsh.patel@skillforgesystems.com</t>
  </si>
  <si>
    <t>+91-8798264991</t>
  </si>
  <si>
    <t>CRM-01346</t>
  </si>
  <si>
    <t>arjun.mishra@educoreservices.com</t>
  </si>
  <si>
    <t>+91-8158040355</t>
  </si>
  <si>
    <t>CRM-01347</t>
  </si>
  <si>
    <t>riya.agarwal@insightwaveconsult.com</t>
  </si>
  <si>
    <t>+91-8922875972</t>
  </si>
  <si>
    <t>CRM-01348</t>
  </si>
  <si>
    <t>mansi.nair@finedgesystems.com</t>
  </si>
  <si>
    <t>+91-9466799073</t>
  </si>
  <si>
    <t>CRM-01349</t>
  </si>
  <si>
    <t>varun.gupta@cloudnestlabs.com</t>
  </si>
  <si>
    <t>+91-9953858706</t>
  </si>
  <si>
    <t>CRM-01350</t>
  </si>
  <si>
    <t>nandini.patel@insightwaveservice.com</t>
  </si>
  <si>
    <t>+91-7908321259</t>
  </si>
  <si>
    <t>CRM-01351</t>
  </si>
  <si>
    <t>varun.mehta@urbanedgegroup.com</t>
  </si>
  <si>
    <t>+91-8856364165</t>
  </si>
  <si>
    <t>CRM-01352</t>
  </si>
  <si>
    <t>manish.singh@databridgelabs.com</t>
  </si>
  <si>
    <t>+91-7307856832</t>
  </si>
  <si>
    <t>CRM-01353</t>
  </si>
  <si>
    <t>nandini.chopra@finedgegroup.com</t>
  </si>
  <si>
    <t>+91-7103683642</t>
  </si>
  <si>
    <t>CRM-01354</t>
  </si>
  <si>
    <t>mansi.jain@insightwavetechnol.com</t>
  </si>
  <si>
    <t>+91-8865313866</t>
  </si>
  <si>
    <t>CRM-01355</t>
  </si>
  <si>
    <t>Varun Sharma</t>
  </si>
  <si>
    <t>varun.sharma@brightpathventures.com</t>
  </si>
  <si>
    <t>+91-9160460826</t>
  </si>
  <si>
    <t>CRM-01356</t>
  </si>
  <si>
    <t>shruti.bose@marketpulseventure.com</t>
  </si>
  <si>
    <t>+91-8648227017</t>
  </si>
  <si>
    <t>CRM-01357</t>
  </si>
  <si>
    <t>neha.sharma@primeenterprises.com</t>
  </si>
  <si>
    <t>+91-8749986890</t>
  </si>
  <si>
    <t>CRM-01358</t>
  </si>
  <si>
    <t>mohan.khan@cloudnestservices.com</t>
  </si>
  <si>
    <t>+91-9676811909</t>
  </si>
  <si>
    <t>CRM-01359</t>
  </si>
  <si>
    <t>rahul.chopra@nextgenventures.com</t>
  </si>
  <si>
    <t>+91-7525368426</t>
  </si>
  <si>
    <t>CRM-01360</t>
  </si>
  <si>
    <t>Suresh Sharma</t>
  </si>
  <si>
    <t>suresh.sharma@cloudnestanalytics.com</t>
  </si>
  <si>
    <t>+91-9739027205</t>
  </si>
  <si>
    <t>CRM-01361</t>
  </si>
  <si>
    <t>kavya.mishra@cloudnestventures.com</t>
  </si>
  <si>
    <t>+91-8257181283</t>
  </si>
  <si>
    <t>CRM-01362</t>
  </si>
  <si>
    <t>mehak.bose@finedgesolutions.com</t>
  </si>
  <si>
    <t>+91-8574876153</t>
  </si>
  <si>
    <t>CRM-01363</t>
  </si>
  <si>
    <t>isha.iyer@marketpulsegroup.com</t>
  </si>
  <si>
    <t>+91-9073144780</t>
  </si>
  <si>
    <t>CRM-01364</t>
  </si>
  <si>
    <t>neha.mehta@bluepeakconsulting.com</t>
  </si>
  <si>
    <t>+91-9980568388</t>
  </si>
  <si>
    <t>CRM-01365</t>
  </si>
  <si>
    <t>tanvi.khan@mediplussolutions.com</t>
  </si>
  <si>
    <t>+91-7635799215</t>
  </si>
  <si>
    <t>CRM-01366</t>
  </si>
  <si>
    <t>shruti.gupta@brightpathservices.com</t>
  </si>
  <si>
    <t>+91-8552120590</t>
  </si>
  <si>
    <t>CRM-01367</t>
  </si>
  <si>
    <t>abhishek.chopra@finedgeconsulting.com</t>
  </si>
  <si>
    <t>+91-8615599423</t>
  </si>
  <si>
    <t>CRM-01368</t>
  </si>
  <si>
    <t>karan.kapoor@mediplusenterprise.com</t>
  </si>
  <si>
    <t>+91-8658738286</t>
  </si>
  <si>
    <t>CRM-01369</t>
  </si>
  <si>
    <t>divya.agarwal@novalabs.com</t>
  </si>
  <si>
    <t>+91-9311733543</t>
  </si>
  <si>
    <t>CRM-01370</t>
  </si>
  <si>
    <t>deepak.patel@marketpulseanalyti.com</t>
  </si>
  <si>
    <t>+91-9596390954</t>
  </si>
  <si>
    <t>CRM-01371</t>
  </si>
  <si>
    <t>Pooja Rao</t>
  </si>
  <si>
    <t>pooja.rao@cloudnestconsultin.com</t>
  </si>
  <si>
    <t>+91-7388919430</t>
  </si>
  <si>
    <t>CRM-01372</t>
  </si>
  <si>
    <t>mohan.agarwal@nextgenventures.com</t>
  </si>
  <si>
    <t>+91-8386615319</t>
  </si>
  <si>
    <t>CRM-01373</t>
  </si>
  <si>
    <t>deepak.bose@primeventures.com</t>
  </si>
  <si>
    <t>+91-9286489355</t>
  </si>
  <si>
    <t>CRM-01374</t>
  </si>
  <si>
    <t>rakesh.patel@bluepeaksolutions.com</t>
  </si>
  <si>
    <t>+91-8620199697</t>
  </si>
  <si>
    <t>CRM-01375</t>
  </si>
  <si>
    <t>shruti.saxena@marketpulseanalyti.com</t>
  </si>
  <si>
    <t>+91-8234759576</t>
  </si>
  <si>
    <t>CRM-01376</t>
  </si>
  <si>
    <t>isha.bose@brightpathtechnolo.com</t>
  </si>
  <si>
    <t>+91-9079173328</t>
  </si>
  <si>
    <t>CRM-01377</t>
  </si>
  <si>
    <t>vivek.agarwal@educoreventures.com</t>
  </si>
  <si>
    <t>+91-8401632757</t>
  </si>
  <si>
    <t>CRM-01378</t>
  </si>
  <si>
    <t>abhishek.joshi@finedgegroup.com</t>
  </si>
  <si>
    <t>+91-9894830464</t>
  </si>
  <si>
    <t>CRM-01379</t>
  </si>
  <si>
    <t>manish.agarwal@insightwavetechnol.com</t>
  </si>
  <si>
    <t>+91-7723997207</t>
  </si>
  <si>
    <t>CRM-01380</t>
  </si>
  <si>
    <t>divya.mehta@growthlabsolutions.com</t>
  </si>
  <si>
    <t>+91-8539448049</t>
  </si>
  <si>
    <t>CRM-01381</t>
  </si>
  <si>
    <t>Abhishek Singh</t>
  </si>
  <si>
    <t>abhishek.singh@brightpathsolution.com</t>
  </si>
  <si>
    <t>+91-7997450691</t>
  </si>
  <si>
    <t>CRM-01382</t>
  </si>
  <si>
    <t>rakesh.patel@novaventures.com</t>
  </si>
  <si>
    <t>+91-8263123019</t>
  </si>
  <si>
    <t>CRM-01383</t>
  </si>
  <si>
    <t>neha.rao@mediplusgroup.com</t>
  </si>
  <si>
    <t>+91-9239687403</t>
  </si>
  <si>
    <t>CRM-01384</t>
  </si>
  <si>
    <t>karan.joshi@cloudnestsystems.com</t>
  </si>
  <si>
    <t>+91-9923732897</t>
  </si>
  <si>
    <t>CRM-01385</t>
  </si>
  <si>
    <t>rakesh.bose@novalabs.com</t>
  </si>
  <si>
    <t>+91-7745528005</t>
  </si>
  <si>
    <t>CRM-01386</t>
  </si>
  <si>
    <t>aditi.kapoor@insightwaveventure.com</t>
  </si>
  <si>
    <t>+91-7458445369</t>
  </si>
  <si>
    <t>CRM-01387</t>
  </si>
  <si>
    <t>rahul.iyer@brightpathanalytic.com</t>
  </si>
  <si>
    <t>+91-7015789780</t>
  </si>
  <si>
    <t>CRM-01388</t>
  </si>
  <si>
    <t>vivek.mishra@finedgeventures.com</t>
  </si>
  <si>
    <t>+91-8458430346</t>
  </si>
  <si>
    <t>CRM-01389</t>
  </si>
  <si>
    <t>mehak.agarwal@techaxisconsulting.com</t>
  </si>
  <si>
    <t>+91-8002773466</t>
  </si>
  <si>
    <t>CRM-01390</t>
  </si>
  <si>
    <t>manish.sharma@primetechnologies.com</t>
  </si>
  <si>
    <t>+91-8300084697</t>
  </si>
  <si>
    <t>CRM-01391</t>
  </si>
  <si>
    <t>manish.iyer@novaservices.com</t>
  </si>
  <si>
    <t>+91-7213654475</t>
  </si>
  <si>
    <t>CRM-01392</t>
  </si>
  <si>
    <t>neha.agarwal@nextgentechnologie.com</t>
  </si>
  <si>
    <t>+91-8162910047</t>
  </si>
  <si>
    <t>CRM-01393</t>
  </si>
  <si>
    <t>simran.mishra@novaservices.com</t>
  </si>
  <si>
    <t>+91-9455216804</t>
  </si>
  <si>
    <t>CRM-01394</t>
  </si>
  <si>
    <t>Divya Jain</t>
  </si>
  <si>
    <t>divya.jain@bluepeakenterprise.com</t>
  </si>
  <si>
    <t>+91-9223681230</t>
  </si>
  <si>
    <t>CRM-01395</t>
  </si>
  <si>
    <t>rakesh.verma@marketpulselabs.com</t>
  </si>
  <si>
    <t>+91-8896854244</t>
  </si>
  <si>
    <t>CRM-01396</t>
  </si>
  <si>
    <t>ritika.saxena@insightwavegroup.com</t>
  </si>
  <si>
    <t>+91-8086029494</t>
  </si>
  <si>
    <t>CRM-01397</t>
  </si>
  <si>
    <t>neha.gupta@primesolutions.com</t>
  </si>
  <si>
    <t>+91-9409723243</t>
  </si>
  <si>
    <t>CRM-01398</t>
  </si>
  <si>
    <t>riya.malhotra@brightpathgroup.com</t>
  </si>
  <si>
    <t>+91-8973148004</t>
  </si>
  <si>
    <t>CRM-01399</t>
  </si>
  <si>
    <t>mansi.bose@marketpulsesolutio.com</t>
  </si>
  <si>
    <t>+91-7348262589</t>
  </si>
  <si>
    <t>CRM-01400</t>
  </si>
  <si>
    <t>abhishek.bose@techaxissolutions.com</t>
  </si>
  <si>
    <t>+91-8241078197</t>
  </si>
  <si>
    <t>CRM-01401</t>
  </si>
  <si>
    <t>varun.malhotra@nextgenventures.com</t>
  </si>
  <si>
    <t>+91-7347777477</t>
  </si>
  <si>
    <t>CRM-01402</t>
  </si>
  <si>
    <t>nitin.nair@medipluslabs.com</t>
  </si>
  <si>
    <t>+91-8766970258</t>
  </si>
  <si>
    <t>CRM-01403</t>
  </si>
  <si>
    <t>nitin.iyer@primesolutions.com</t>
  </si>
  <si>
    <t>+91-9516323910</t>
  </si>
  <si>
    <t>CRM-01404</t>
  </si>
  <si>
    <t>pooja.iyer@finedgesystems.com</t>
  </si>
  <si>
    <t>+91-8372920698</t>
  </si>
  <si>
    <t>CRM-01405</t>
  </si>
  <si>
    <t>amit.das@databridgeconsulti.com</t>
  </si>
  <si>
    <t>+91-9355368938</t>
  </si>
  <si>
    <t>CRM-01406</t>
  </si>
  <si>
    <t>Kavya Das</t>
  </si>
  <si>
    <t>kavya.das@skillforgeanalytic.com</t>
  </si>
  <si>
    <t>+91-7141580377</t>
  </si>
  <si>
    <t>CRM-01407</t>
  </si>
  <si>
    <t>karan.iyer@growthlabconsultin.com</t>
  </si>
  <si>
    <t>+91-7678075527</t>
  </si>
  <si>
    <t>CRM-01408</t>
  </si>
  <si>
    <t>deepak.singh@finedgeservices.com</t>
  </si>
  <si>
    <t>+91-7702436471</t>
  </si>
  <si>
    <t>CRM-01409</t>
  </si>
  <si>
    <t>ritika.bose@marketpulselabs.com</t>
  </si>
  <si>
    <t>+91-9935450087</t>
  </si>
  <si>
    <t>CRM-01410</t>
  </si>
  <si>
    <t>neha.khan@insightwavetechnol.com</t>
  </si>
  <si>
    <t>+91-7477261591</t>
  </si>
  <si>
    <t>CRM-01411</t>
  </si>
  <si>
    <t>mehak.das@mediplustechnologi.com</t>
  </si>
  <si>
    <t>+91-9296842927</t>
  </si>
  <si>
    <t>CRM-01412</t>
  </si>
  <si>
    <t>arjun.joshi@urbanedgetechnolog.com</t>
  </si>
  <si>
    <t>+91-9460738443</t>
  </si>
  <si>
    <t>CRM-01413</t>
  </si>
  <si>
    <t>amit.singh@primeconsulting.com</t>
  </si>
  <si>
    <t>+91-9183322189</t>
  </si>
  <si>
    <t>CRM-01414</t>
  </si>
  <si>
    <t>manish.mishra@mediplussystems.com</t>
  </si>
  <si>
    <t>+91-8915093878</t>
  </si>
  <si>
    <t>CRM-01415</t>
  </si>
  <si>
    <t>tanvi.joshi@urbanedgesystems.com</t>
  </si>
  <si>
    <t>+91-9303492348</t>
  </si>
  <si>
    <t>CRM-01416</t>
  </si>
  <si>
    <t>Mohan Jain</t>
  </si>
  <si>
    <t>mohan.jain@databridgelabs.com</t>
  </si>
  <si>
    <t>+91-9571016018</t>
  </si>
  <si>
    <t>CRM-01417</t>
  </si>
  <si>
    <t>karan.nair@skillforgeconsulti.com</t>
  </si>
  <si>
    <t>+91-8342123674</t>
  </si>
  <si>
    <t>CRM-01418</t>
  </si>
  <si>
    <t>amit.chopra@mediplusanalytics.com</t>
  </si>
  <si>
    <t>+91-9633231880</t>
  </si>
  <si>
    <t>CRM-01419</t>
  </si>
  <si>
    <t>suresh.singh@insightwaveservice.com</t>
  </si>
  <si>
    <t>+91-8424753195</t>
  </si>
  <si>
    <t>CRM-01420</t>
  </si>
  <si>
    <t>riya.rao@novaconsulting.com</t>
  </si>
  <si>
    <t>+91-8049913210</t>
  </si>
  <si>
    <t>CRM-01421</t>
  </si>
  <si>
    <t>aditi.singh@techaxislabs.com</t>
  </si>
  <si>
    <t>+91-7473986811</t>
  </si>
  <si>
    <t>CRM-01422</t>
  </si>
  <si>
    <t>deepak.chopra@growthlablabs.com</t>
  </si>
  <si>
    <t>+91-9009131557</t>
  </si>
  <si>
    <t>CRM-01423</t>
  </si>
  <si>
    <t>kavya.malhotra@educoreservices.com</t>
  </si>
  <si>
    <t>+91-9401952160</t>
  </si>
  <si>
    <t>CRM-01424</t>
  </si>
  <si>
    <t>varun.iyer@novasolutions.com</t>
  </si>
  <si>
    <t>+91-7642587867</t>
  </si>
  <si>
    <t>CRM-01425</t>
  </si>
  <si>
    <t>nandini.saxena@finedgelabs.com</t>
  </si>
  <si>
    <t>+91-9344054752</t>
  </si>
  <si>
    <t>CRM-01426</t>
  </si>
  <si>
    <t>+91-8082083514</t>
  </si>
  <si>
    <t>CRM-01427</t>
  </si>
  <si>
    <t>nandini.rao@marketpulseservice.com</t>
  </si>
  <si>
    <t>+91-8629142306</t>
  </si>
  <si>
    <t>CRM-01428</t>
  </si>
  <si>
    <t>Deepak Kapoor</t>
  </si>
  <si>
    <t>deepak.kapoor@marketpulseventure.com</t>
  </si>
  <si>
    <t>+91-7105178303</t>
  </si>
  <si>
    <t>CRM-01429</t>
  </si>
  <si>
    <t>harsh.chopra@educoreservices.com</t>
  </si>
  <si>
    <t>+91-7485937171</t>
  </si>
  <si>
    <t>CRM-01430</t>
  </si>
  <si>
    <t>mehak.rao@medipluslabs.com</t>
  </si>
  <si>
    <t>+91-7023427719</t>
  </si>
  <si>
    <t>CRM-01431</t>
  </si>
  <si>
    <t>Aditi Saxena</t>
  </si>
  <si>
    <t>aditi.saxena@brightpathlabs.com</t>
  </si>
  <si>
    <t>+91-8409872878</t>
  </si>
  <si>
    <t>CRM-01432</t>
  </si>
  <si>
    <t>rahul.das@finedgesystems.com</t>
  </si>
  <si>
    <t>+91-9156159701</t>
  </si>
  <si>
    <t>CRM-01433</t>
  </si>
  <si>
    <t>varun.gupta@cloudnestconsultin.com</t>
  </si>
  <si>
    <t>+91-7901037352</t>
  </si>
  <si>
    <t>CRM-01434</t>
  </si>
  <si>
    <t>abhishek.singh@urbanedgetechnolog.com</t>
  </si>
  <si>
    <t>+91-9129789561</t>
  </si>
  <si>
    <t>CRM-01435</t>
  </si>
  <si>
    <t>neha.saxena@finedgeanalytics.com</t>
  </si>
  <si>
    <t>+91-9121352467</t>
  </si>
  <si>
    <t>CRM-01436</t>
  </si>
  <si>
    <t>abhishek.agarwal@mediplusservices.com</t>
  </si>
  <si>
    <t>+91-7777685397</t>
  </si>
  <si>
    <t>CRM-01437</t>
  </si>
  <si>
    <t>Isha Rao</t>
  </si>
  <si>
    <t>isha.rao@marketpulseconsult.com</t>
  </si>
  <si>
    <t>+91-7908033790</t>
  </si>
  <si>
    <t>CRM-01438</t>
  </si>
  <si>
    <t>suresh.nair@cloudnestsystems.com</t>
  </si>
  <si>
    <t>+91-9597632745</t>
  </si>
  <si>
    <t>CRM-01439</t>
  </si>
  <si>
    <t>nandini.sharma@educoretechnologie.com</t>
  </si>
  <si>
    <t>+91-8081289922</t>
  </si>
  <si>
    <t>CRM-01440</t>
  </si>
  <si>
    <t>suresh.mehta@mediplusanalytics.com</t>
  </si>
  <si>
    <t>+91-9944433211</t>
  </si>
  <si>
    <t>CRM-01441</t>
  </si>
  <si>
    <t>simran.singh@bluepeaksystems.com</t>
  </si>
  <si>
    <t>+91-8965439335</t>
  </si>
  <si>
    <t>CRM-01442</t>
  </si>
  <si>
    <t>karan.verma@mediplusservices.com</t>
  </si>
  <si>
    <t>+91-9394585609</t>
  </si>
  <si>
    <t>CRM-01443</t>
  </si>
  <si>
    <t>shruti.chopra@marketpulsesystems.com</t>
  </si>
  <si>
    <t>+91-7522077531</t>
  </si>
  <si>
    <t>CRM-01444</t>
  </si>
  <si>
    <t>amit.chopra@brightpathgroup.com</t>
  </si>
  <si>
    <t>+91-9717574893</t>
  </si>
  <si>
    <t>CRM-01445</t>
  </si>
  <si>
    <t>riya.verma@growthlabanalytics.com</t>
  </si>
  <si>
    <t>+91-8744377790</t>
  </si>
  <si>
    <t>CRM-01446</t>
  </si>
  <si>
    <t>ritika.patel@growthlabgroup.com</t>
  </si>
  <si>
    <t>+91-9388690614</t>
  </si>
  <si>
    <t>CRM-01447</t>
  </si>
  <si>
    <t>simran.jain@urbanedgeservices.com</t>
  </si>
  <si>
    <t>+91-9227463475</t>
  </si>
  <si>
    <t>CRM-01448</t>
  </si>
  <si>
    <t>neha.saxena@brightpathventures.com</t>
  </si>
  <si>
    <t>+91-7501567946</t>
  </si>
  <si>
    <t>CRM-01449</t>
  </si>
  <si>
    <t>Harsh Mishra</t>
  </si>
  <si>
    <t>harsh.mishra@finedgesystems.com</t>
  </si>
  <si>
    <t>+91-7859363013</t>
  </si>
  <si>
    <t>CRM-01450</t>
  </si>
  <si>
    <t>neha.mehta@bluepeakanalytics.com</t>
  </si>
  <si>
    <t>+91-9114957014</t>
  </si>
  <si>
    <t>CRM-01451</t>
  </si>
  <si>
    <t>mansi.jain@skillforgeconsulti.com</t>
  </si>
  <si>
    <t>+91-7746445917</t>
  </si>
  <si>
    <t>CRM-01452</t>
  </si>
  <si>
    <t>karan.joshi@novagroup.com</t>
  </si>
  <si>
    <t>+91-8741534251</t>
  </si>
  <si>
    <t>CRM-01453</t>
  </si>
  <si>
    <t>simran.singh@novalabs.com</t>
  </si>
  <si>
    <t>+91-7947834414</t>
  </si>
  <si>
    <t>CRM-01454</t>
  </si>
  <si>
    <t>+91-8067563410</t>
  </si>
  <si>
    <t>CRM-01455</t>
  </si>
  <si>
    <t>+91-8840535480</t>
  </si>
  <si>
    <t>CRM-01456</t>
  </si>
  <si>
    <t>Manish Mehta</t>
  </si>
  <si>
    <t>manish.mehta@cloudnestlabs.com</t>
  </si>
  <si>
    <t>+91-9533315536</t>
  </si>
  <si>
    <t>CRM-01457</t>
  </si>
  <si>
    <t>isha.joshi@novatechnologies.com</t>
  </si>
  <si>
    <t>+91-8620824105</t>
  </si>
  <si>
    <t>CRM-01458</t>
  </si>
  <si>
    <t>deepak.gupta@marketpulseanalyti.com</t>
  </si>
  <si>
    <t>+91-9236367671</t>
  </si>
  <si>
    <t>CRM-01459</t>
  </si>
  <si>
    <t>pooja.singh@educoreventures.com</t>
  </si>
  <si>
    <t>+91-7021088948</t>
  </si>
  <si>
    <t>CRM-01460</t>
  </si>
  <si>
    <t>shruti.chopra@primelabs.com</t>
  </si>
  <si>
    <t>+91-7568553311</t>
  </si>
  <si>
    <t>CRM-01461</t>
  </si>
  <si>
    <t>abhishek.singh@databridgeanalytic.com</t>
  </si>
  <si>
    <t>+91-7694154034</t>
  </si>
  <si>
    <t>CRM-01462</t>
  </si>
  <si>
    <t>nitin.malhotra@bluepeakservices.com</t>
  </si>
  <si>
    <t>+91-8452519464</t>
  </si>
  <si>
    <t>CRM-01463</t>
  </si>
  <si>
    <t>sanya.das@techaxisservices.com</t>
  </si>
  <si>
    <t>+91-9247093498</t>
  </si>
  <si>
    <t>CRM-01464</t>
  </si>
  <si>
    <t>Harsh Mehta</t>
  </si>
  <si>
    <t>harsh.mehta@techaxisconsulting.com</t>
  </si>
  <si>
    <t>+91-9903267585</t>
  </si>
  <si>
    <t>CRM-01465</t>
  </si>
  <si>
    <t>mohan.iyer@novaanalytics.com</t>
  </si>
  <si>
    <t>+91-8639312479</t>
  </si>
  <si>
    <t>CRM-01466</t>
  </si>
  <si>
    <t>amit.sharma@finedgeanalytics.com</t>
  </si>
  <si>
    <t>+91-8813478770</t>
  </si>
  <si>
    <t>CRM-01467</t>
  </si>
  <si>
    <t>Suresh Saxena</t>
  </si>
  <si>
    <t>suresh.saxena@marketpulseservice.com</t>
  </si>
  <si>
    <t>+91-8368635958</t>
  </si>
  <si>
    <t>CRM-01468</t>
  </si>
  <si>
    <t>harsh.jain@primesystems.com</t>
  </si>
  <si>
    <t>+91-9719283800</t>
  </si>
  <si>
    <t>CRM-01469</t>
  </si>
  <si>
    <t>amit.gupta@skillforgeenterpri.com</t>
  </si>
  <si>
    <t>+91-8268061656</t>
  </si>
  <si>
    <t>CRM-01470</t>
  </si>
  <si>
    <t>pooja.singh@bluepeaksystems.com</t>
  </si>
  <si>
    <t>+91-8851424666</t>
  </si>
  <si>
    <t>CRM-01471</t>
  </si>
  <si>
    <t>riya.gupta@techaxisanalytics.com</t>
  </si>
  <si>
    <t>+91-7813975267</t>
  </si>
  <si>
    <t>CRM-01472</t>
  </si>
  <si>
    <t>nitin.kapoor@mediplusventures.com</t>
  </si>
  <si>
    <t>+91-9665852860</t>
  </si>
  <si>
    <t>CRM-01473</t>
  </si>
  <si>
    <t>riya.verma@marketpulseanalyti.com</t>
  </si>
  <si>
    <t>+91-7264280662</t>
  </si>
  <si>
    <t>CRM-01474</t>
  </si>
  <si>
    <t>karan.sharma@nextgentechnologie.com</t>
  </si>
  <si>
    <t>+91-7813013736</t>
  </si>
  <si>
    <t>CRM-01475</t>
  </si>
  <si>
    <t>nitin.bose@novagroup.com</t>
  </si>
  <si>
    <t>+91-7554346018</t>
  </si>
  <si>
    <t>CRM-01476</t>
  </si>
  <si>
    <t>tanvi.saxena@bluepeaklabs.com</t>
  </si>
  <si>
    <t>+91-7585227261</t>
  </si>
  <si>
    <t>CRM-01477</t>
  </si>
  <si>
    <t>manish.bose@marketpulseventure.com</t>
  </si>
  <si>
    <t>+91-9246786436</t>
  </si>
  <si>
    <t>CRM-01478</t>
  </si>
  <si>
    <t>karan.singh@urbanedgeconsultin.com</t>
  </si>
  <si>
    <t>+91-9224646296</t>
  </si>
  <si>
    <t>CRM-01479</t>
  </si>
  <si>
    <t>rakesh.joshi@mediplusenterprise.com</t>
  </si>
  <si>
    <t>+91-7121314974</t>
  </si>
  <si>
    <t>CRM-01480</t>
  </si>
  <si>
    <t>mansi.saxena@bluepeakventures.com</t>
  </si>
  <si>
    <t>+91-7190535968</t>
  </si>
  <si>
    <t>CRM-01481</t>
  </si>
  <si>
    <t>siddharth.gupta@skillforgeconsulti.com</t>
  </si>
  <si>
    <t>+91-8116160966</t>
  </si>
  <si>
    <t>CRM-01482</t>
  </si>
  <si>
    <t>karan.chopra@primetechnologies.com</t>
  </si>
  <si>
    <t>+91-8254886765</t>
  </si>
  <si>
    <t>CRM-01483</t>
  </si>
  <si>
    <t>manish.saxena@techaxisconsulting.com</t>
  </si>
  <si>
    <t>+91-7160182921</t>
  </si>
  <si>
    <t>CRM-01484</t>
  </si>
  <si>
    <t>divya.kapoor@finedgeenterprises.com</t>
  </si>
  <si>
    <t>+91-7564124794</t>
  </si>
  <si>
    <t>CRM-01485</t>
  </si>
  <si>
    <t>mohan.mishra@mediplusanalytics.com</t>
  </si>
  <si>
    <t>+91-8027444425</t>
  </si>
  <si>
    <t>CRM-01486</t>
  </si>
  <si>
    <t>suresh.gupta@bluepeakgroup.com</t>
  </si>
  <si>
    <t>+91-9918166548</t>
  </si>
  <si>
    <t>CRM-01487</t>
  </si>
  <si>
    <t>simran.nair@skillforgesystems.com</t>
  </si>
  <si>
    <t>+91-8432137575</t>
  </si>
  <si>
    <t>CRM-01488</t>
  </si>
  <si>
    <t>mohan.chopra@nextgenanalytics.com</t>
  </si>
  <si>
    <t>+91-9764047962</t>
  </si>
  <si>
    <t>CRM-01489</t>
  </si>
  <si>
    <t>Harsh Kapoor</t>
  </si>
  <si>
    <t>harsh.kapoor@bluepeakenterprise.com</t>
  </si>
  <si>
    <t>+91-7388116359</t>
  </si>
  <si>
    <t>CRM-01490</t>
  </si>
  <si>
    <t>aditi.rao@novatechnologies.com</t>
  </si>
  <si>
    <t>+91-7027552963</t>
  </si>
  <si>
    <t>CRM-01491</t>
  </si>
  <si>
    <t>ritika.sharma@medipluslabs.com</t>
  </si>
  <si>
    <t>+91-9950897425</t>
  </si>
  <si>
    <t>CRM-01492</t>
  </si>
  <si>
    <t>karan.malhotra@nextgentechnologie.com</t>
  </si>
  <si>
    <t>+91-9642781417</t>
  </si>
  <si>
    <t>CRM-01493</t>
  </si>
  <si>
    <t>rakesh.mishra@nextgenventures.com</t>
  </si>
  <si>
    <t>+91-7876217251</t>
  </si>
  <si>
    <t>CRM-01494</t>
  </si>
  <si>
    <t>ritika.nair@skillforgeconsulti.com</t>
  </si>
  <si>
    <t>+91-9896686784</t>
  </si>
  <si>
    <t>CRM-01495</t>
  </si>
  <si>
    <t>sanya.bose@bluepeakgroup.com</t>
  </si>
  <si>
    <t>+91-8002944011</t>
  </si>
  <si>
    <t>CRM-01496</t>
  </si>
  <si>
    <t>mohan.jain@nextgensystems.com</t>
  </si>
  <si>
    <t>+91-7265088672</t>
  </si>
  <si>
    <t>CRM-01497</t>
  </si>
  <si>
    <t>+91-9830214743</t>
  </si>
  <si>
    <t>CRM-01498</t>
  </si>
  <si>
    <t>aditi.mehta@nextgenanalytics.com</t>
  </si>
  <si>
    <t>+91-8016529316</t>
  </si>
  <si>
    <t>CRM-01499</t>
  </si>
  <si>
    <t>+91-9474543544</t>
  </si>
  <si>
    <t>CRM-01500</t>
  </si>
  <si>
    <t>arjun.gupta@growthlabservices.com</t>
  </si>
  <si>
    <t>+91-9113749733</t>
  </si>
  <si>
    <t>CRM-01501</t>
  </si>
  <si>
    <t>deepak.das@nextgentechnologie.com</t>
  </si>
  <si>
    <t>+91-8143328911</t>
  </si>
  <si>
    <t>CRM-01502</t>
  </si>
  <si>
    <t>arjun.verma@cloudnestlabs.com</t>
  </si>
  <si>
    <t>+91-7388089240</t>
  </si>
  <si>
    <t>CRM-01503</t>
  </si>
  <si>
    <t>simran.chopra@novalabs.com</t>
  </si>
  <si>
    <t>+91-7919767031</t>
  </si>
  <si>
    <t>CRM-01504</t>
  </si>
  <si>
    <t>Simran Malhotra</t>
  </si>
  <si>
    <t>simran.malhotra@mediplussolutions.com</t>
  </si>
  <si>
    <t>+91-7411332403</t>
  </si>
  <si>
    <t>CRM-01505</t>
  </si>
  <si>
    <t>rakesh.gupta@urbanedgeconsultin.com</t>
  </si>
  <si>
    <t>+91-7550258988</t>
  </si>
  <si>
    <t>CRM-01506</t>
  </si>
  <si>
    <t>neha.joshi@techaxistechnologi.com</t>
  </si>
  <si>
    <t>+91-7018380712</t>
  </si>
  <si>
    <t>CRM-01507</t>
  </si>
  <si>
    <t>tanvi.das@educoresystems.com</t>
  </si>
  <si>
    <t>+91-9293531271</t>
  </si>
  <si>
    <t>CRM-01508</t>
  </si>
  <si>
    <t>siddharth.nair@novagroup.com</t>
  </si>
  <si>
    <t>+91-8888559266</t>
  </si>
  <si>
    <t>CRM-01509</t>
  </si>
  <si>
    <t>karan.joshi@marketpulseventure.com</t>
  </si>
  <si>
    <t>+91-7169822718</t>
  </si>
  <si>
    <t>CRM-01510</t>
  </si>
  <si>
    <t>rakesh.chopra@bluepeaklabs.com</t>
  </si>
  <si>
    <t>+91-8345788580</t>
  </si>
  <si>
    <t>CRM-01511</t>
  </si>
  <si>
    <t>abhishek.sharma@mediplussolutions.com</t>
  </si>
  <si>
    <t>+91-9627487083</t>
  </si>
  <si>
    <t>CRM-01512</t>
  </si>
  <si>
    <t>ritika.agarwal@techaxissolutions.com</t>
  </si>
  <si>
    <t>+91-8261412106</t>
  </si>
  <si>
    <t>CRM-01513</t>
  </si>
  <si>
    <t>neha.mehta@insightwaveconsult.com</t>
  </si>
  <si>
    <t>+91-8442458516</t>
  </si>
  <si>
    <t>CRM-01514</t>
  </si>
  <si>
    <t>suresh.joshi@brightpathventures.com</t>
  </si>
  <si>
    <t>+91-8095310917</t>
  </si>
  <si>
    <t>CRM-01515</t>
  </si>
  <si>
    <t>amit.patel@educoresystems.com</t>
  </si>
  <si>
    <t>+91-9976380356</t>
  </si>
  <si>
    <t>CRM-01516</t>
  </si>
  <si>
    <t>pooja.verma@primegroup.com</t>
  </si>
  <si>
    <t>+91-7950070914</t>
  </si>
  <si>
    <t>CRM-01517</t>
  </si>
  <si>
    <t>arjun.joshi@novasolutions.com</t>
  </si>
  <si>
    <t>+91-7201569197</t>
  </si>
  <si>
    <t>CRM-01518</t>
  </si>
  <si>
    <t>shruti.jain@finedgegroup.com</t>
  </si>
  <si>
    <t>+91-9879684830</t>
  </si>
  <si>
    <t>CRM-01519</t>
  </si>
  <si>
    <t>varun.verma@bluepeakgroup.com</t>
  </si>
  <si>
    <t>+91-7066521187</t>
  </si>
  <si>
    <t>CRM-01520</t>
  </si>
  <si>
    <t>nitin.malhotra@cloudnestgroup.com</t>
  </si>
  <si>
    <t>+91-7570574265</t>
  </si>
  <si>
    <t>CRM-01521</t>
  </si>
  <si>
    <t>mansi.das@skillforgesolution.com</t>
  </si>
  <si>
    <t>+91-9683685297</t>
  </si>
  <si>
    <t>CRM-01522</t>
  </si>
  <si>
    <t>neha.mehta@databridgeanalytic.com</t>
  </si>
  <si>
    <t>+91-8988315431</t>
  </si>
  <si>
    <t>CRM-01523</t>
  </si>
  <si>
    <t>mansi.bose@finedgesolutions.com</t>
  </si>
  <si>
    <t>+91-7530484437</t>
  </si>
  <si>
    <t>CRM-01524</t>
  </si>
  <si>
    <t>Abhishek Verma</t>
  </si>
  <si>
    <t>abhishek.verma@educoreconsulting.com</t>
  </si>
  <si>
    <t>+91-8519031463</t>
  </si>
  <si>
    <t>CRM-01525</t>
  </si>
  <si>
    <t>Kavya Gupta</t>
  </si>
  <si>
    <t>kavya.gupta@insightwaveanalyti.com</t>
  </si>
  <si>
    <t>+91-8905764658</t>
  </si>
  <si>
    <t>CRM-01526</t>
  </si>
  <si>
    <t>Pooja Das</t>
  </si>
  <si>
    <t>pooja.das@marketpulselabs.com</t>
  </si>
  <si>
    <t>+91-8225974764</t>
  </si>
  <si>
    <t>CRM-01527</t>
  </si>
  <si>
    <t>siddharth.patel@educoreconsulting.com</t>
  </si>
  <si>
    <t>+91-9756125406</t>
  </si>
  <si>
    <t>CRM-01528</t>
  </si>
  <si>
    <t>deepak.jain@techaxisconsulting.com</t>
  </si>
  <si>
    <t>+91-8088242531</t>
  </si>
  <si>
    <t>CRM-01529</t>
  </si>
  <si>
    <t>manish.saxena@databridgelabs.com</t>
  </si>
  <si>
    <t>+91-7074522657</t>
  </si>
  <si>
    <t>CRM-01530</t>
  </si>
  <si>
    <t>manish.sharma@mediplusenterprise.com</t>
  </si>
  <si>
    <t>+91-7092880393</t>
  </si>
  <si>
    <t>CRM-01531</t>
  </si>
  <si>
    <t>harsh.sharma@educoregroup.com</t>
  </si>
  <si>
    <t>+91-9312370242</t>
  </si>
  <si>
    <t>CRM-01532</t>
  </si>
  <si>
    <t>manish.das@growthlabservices.com</t>
  </si>
  <si>
    <t>+91-9266967701</t>
  </si>
  <si>
    <t>CRM-01533</t>
  </si>
  <si>
    <t>nandini.sharma@mediplusservices.com</t>
  </si>
  <si>
    <t>+91-7121045392</t>
  </si>
  <si>
    <t>CRM-01534</t>
  </si>
  <si>
    <t>isha.joshi@finedgetechnologie.com</t>
  </si>
  <si>
    <t>+91-9954738382</t>
  </si>
  <si>
    <t>CRM-01535</t>
  </si>
  <si>
    <t>pooja.saxena@finedgesystems.com</t>
  </si>
  <si>
    <t>+91-7921357989</t>
  </si>
  <si>
    <t>CRM-01536</t>
  </si>
  <si>
    <t>shruti.joshi@educoresystems.com</t>
  </si>
  <si>
    <t>+91-8112422411</t>
  </si>
  <si>
    <t>CRM-01537</t>
  </si>
  <si>
    <t>siddharth.kapoor@insightwaveanalyti.com</t>
  </si>
  <si>
    <t>+91-9425862010</t>
  </si>
  <si>
    <t>CRM-01538</t>
  </si>
  <si>
    <t>shruti.bose@marketpulsetechnol.com</t>
  </si>
  <si>
    <t>+91-8524224142</t>
  </si>
  <si>
    <t>CRM-01539</t>
  </si>
  <si>
    <t>mansi.khan@brightpathenterpri.com</t>
  </si>
  <si>
    <t>+91-7232425978</t>
  </si>
  <si>
    <t>CRM-01540</t>
  </si>
  <si>
    <t>manish.joshi@growthlabservices.com</t>
  </si>
  <si>
    <t>+91-7710381105</t>
  </si>
  <si>
    <t>CRM-01541</t>
  </si>
  <si>
    <t>manish.das@mediplusanalytics.com</t>
  </si>
  <si>
    <t>+91-8026682305</t>
  </si>
  <si>
    <t>CRM-01542</t>
  </si>
  <si>
    <t>shruti.mehta@growthlablabs.com</t>
  </si>
  <si>
    <t>+91-9947818162</t>
  </si>
  <si>
    <t>CRM-01543</t>
  </si>
  <si>
    <t>simran.das@insightwavetechnol.com</t>
  </si>
  <si>
    <t>+91-9965785873</t>
  </si>
  <si>
    <t>CRM-01544</t>
  </si>
  <si>
    <t>amit.rao@nextgenenterprises.com</t>
  </si>
  <si>
    <t>+91-7638821224</t>
  </si>
  <si>
    <t>CRM-01545</t>
  </si>
  <si>
    <t>aditi.das@novaservices.com</t>
  </si>
  <si>
    <t>+91-7733536202</t>
  </si>
  <si>
    <t>CRM-01546</t>
  </si>
  <si>
    <t>kavya.patel@nextgenservices.com</t>
  </si>
  <si>
    <t>+91-7461521114</t>
  </si>
  <si>
    <t>CRM-01547</t>
  </si>
  <si>
    <t>manish.das@nextgenventures.com</t>
  </si>
  <si>
    <t>+91-7803556268</t>
  </si>
  <si>
    <t>CRM-01548</t>
  </si>
  <si>
    <t>Sanya Mishra</t>
  </si>
  <si>
    <t>sanya.mishra@educoreconsulting.com</t>
  </si>
  <si>
    <t>+91-7003554019</t>
  </si>
  <si>
    <t>CRM-01549</t>
  </si>
  <si>
    <t>vivek.malhotra@finedgeanalytics.com</t>
  </si>
  <si>
    <t>+91-9397564569</t>
  </si>
  <si>
    <t>CRM-01550</t>
  </si>
  <si>
    <t>abhishek.rao@marketpulsetechnol.com</t>
  </si>
  <si>
    <t>+91-8103210813</t>
  </si>
  <si>
    <t>CRM-01551</t>
  </si>
  <si>
    <t>nandini.gupta@bluepeaksystems.com</t>
  </si>
  <si>
    <t>+91-9948432182</t>
  </si>
  <si>
    <t>CRM-01552</t>
  </si>
  <si>
    <t>tanvi.sharma@urbanedgeventures.com</t>
  </si>
  <si>
    <t>+91-8377949006</t>
  </si>
  <si>
    <t>CRM-01553</t>
  </si>
  <si>
    <t>manish.kapoor@primesystems.com</t>
  </si>
  <si>
    <t>+91-8098721242</t>
  </si>
  <si>
    <t>CRM-01554</t>
  </si>
  <si>
    <t>karan.malhotra@novaventures.com</t>
  </si>
  <si>
    <t>+91-9225268903</t>
  </si>
  <si>
    <t>CRM-01555</t>
  </si>
  <si>
    <t>rakesh.bose@nextgentechnologie.com</t>
  </si>
  <si>
    <t>+91-7524520939</t>
  </si>
  <si>
    <t>CRM-01556</t>
  </si>
  <si>
    <t>aditi.khan@primelabs.com</t>
  </si>
  <si>
    <t>+91-7491039703</t>
  </si>
  <si>
    <t>CRM-01557</t>
  </si>
  <si>
    <t>Neha Malhotra</t>
  </si>
  <si>
    <t>neha.malhotra@mediplussystems.com</t>
  </si>
  <si>
    <t>+91-9775674509</t>
  </si>
  <si>
    <t>CRM-01558</t>
  </si>
  <si>
    <t>Tanvi Kapoor</t>
  </si>
  <si>
    <t>tanvi.kapoor@nextgenservices.com</t>
  </si>
  <si>
    <t>+91-8028866137</t>
  </si>
  <si>
    <t>CRM-01559</t>
  </si>
  <si>
    <t>shruti.mishra@cloudnestlabs.com</t>
  </si>
  <si>
    <t>+91-9498227732</t>
  </si>
  <si>
    <t>CRM-01560</t>
  </si>
  <si>
    <t>simran.verma@marketpulseservice.com</t>
  </si>
  <si>
    <t>+91-8361882596</t>
  </si>
  <si>
    <t>CRM-01561</t>
  </si>
  <si>
    <t>shruti.jain@techaxisservices.com</t>
  </si>
  <si>
    <t>+91-9990345681</t>
  </si>
  <si>
    <t>CRM-01562</t>
  </si>
  <si>
    <t>mehak.verma@finedgeservices.com</t>
  </si>
  <si>
    <t>+91-9720035956</t>
  </si>
  <si>
    <t>CRM-01563</t>
  </si>
  <si>
    <t>Tanvi Bose</t>
  </si>
  <si>
    <t>tanvi.bose@mediplusgroup.com</t>
  </si>
  <si>
    <t>+91-8983092053</t>
  </si>
  <si>
    <t>CRM-01564</t>
  </si>
  <si>
    <t>neha.rao@cloudnesttechnolog.com</t>
  </si>
  <si>
    <t>+91-8415492335</t>
  </si>
  <si>
    <t>CRM-01565</t>
  </si>
  <si>
    <t>suresh.verma@mediplusconsulting.com</t>
  </si>
  <si>
    <t>+91-8377330366</t>
  </si>
  <si>
    <t>CRM-01566</t>
  </si>
  <si>
    <t>pooja.gupta@nextgensystems.com</t>
  </si>
  <si>
    <t>+91-7826396612</t>
  </si>
  <si>
    <t>CRM-01567</t>
  </si>
  <si>
    <t>aditi.khan@cloudnestanalytics.com</t>
  </si>
  <si>
    <t>+91-8302059952</t>
  </si>
  <si>
    <t>CRM-01568</t>
  </si>
  <si>
    <t>sanya.chopra@urbanedgeenterpris.com</t>
  </si>
  <si>
    <t>+91-9619550264</t>
  </si>
  <si>
    <t>CRM-01569</t>
  </si>
  <si>
    <t>vivek.mehta@brightpathenterpri.com</t>
  </si>
  <si>
    <t>+91-9283832547</t>
  </si>
  <si>
    <t>CRM-01570</t>
  </si>
  <si>
    <t>Mansi Rao</t>
  </si>
  <si>
    <t>mansi.rao@growthlabanalytics.com</t>
  </si>
  <si>
    <t>+91-7662125532</t>
  </si>
  <si>
    <t>CRM-01571</t>
  </si>
  <si>
    <t>tanvi.agarwal@mediplusservices.com</t>
  </si>
  <si>
    <t>+91-7840234687</t>
  </si>
  <si>
    <t>CRM-01572</t>
  </si>
  <si>
    <t>+91-9963347530</t>
  </si>
  <si>
    <t>CRM-01573</t>
  </si>
  <si>
    <t>mehak.chopra@educoresystems.com</t>
  </si>
  <si>
    <t>+91-8771251152</t>
  </si>
  <si>
    <t>CRM-01574</t>
  </si>
  <si>
    <t>Rahul Singh</t>
  </si>
  <si>
    <t>rahul.singh@primeventures.com</t>
  </si>
  <si>
    <t>+91-7302252464</t>
  </si>
  <si>
    <t>CRM-01575</t>
  </si>
  <si>
    <t>mohan.mehta@primeanalytics.com</t>
  </si>
  <si>
    <t>+91-9549563843</t>
  </si>
  <si>
    <t>CRM-01576</t>
  </si>
  <si>
    <t>karan.khan@growthlablabs.com</t>
  </si>
  <si>
    <t>+91-7891012964</t>
  </si>
  <si>
    <t>CRM-01577</t>
  </si>
  <si>
    <t>vivek.chopra@brightpathenterpri.com</t>
  </si>
  <si>
    <t>+91-9764794712</t>
  </si>
  <si>
    <t>CRM-01578</t>
  </si>
  <si>
    <t>suresh.khan@databridgegroup.com</t>
  </si>
  <si>
    <t>+91-7993113345</t>
  </si>
  <si>
    <t>CRM-01579</t>
  </si>
  <si>
    <t>varun.malhotra@brightpathtechnolo.com</t>
  </si>
  <si>
    <t>+91-9364038764</t>
  </si>
  <si>
    <t>CRM-01580</t>
  </si>
  <si>
    <t>varun.das@educoregroup.com</t>
  </si>
  <si>
    <t>+91-8199276649</t>
  </si>
  <si>
    <t>CRM-01581</t>
  </si>
  <si>
    <t>sanya.das@primesystems.com</t>
  </si>
  <si>
    <t>+91-9188798110</t>
  </si>
  <si>
    <t>CRM-01582</t>
  </si>
  <si>
    <t>nitin.jain@urbanedgesolutions.com</t>
  </si>
  <si>
    <t>+91-7082350692</t>
  </si>
  <si>
    <t>CRM-01583</t>
  </si>
  <si>
    <t>aditi.rao@novaenterprises.com</t>
  </si>
  <si>
    <t>+91-7585921518</t>
  </si>
  <si>
    <t>CRM-01584</t>
  </si>
  <si>
    <t>simran.malhotra@brightpathgroup.com</t>
  </si>
  <si>
    <t>+91-7800342125</t>
  </si>
  <si>
    <t>CRM-01585</t>
  </si>
  <si>
    <t>ritika.bose@novaventures.com</t>
  </si>
  <si>
    <t>+91-7253414720</t>
  </si>
  <si>
    <t>CRM-01586</t>
  </si>
  <si>
    <t>rakesh.kapoor@insightwaveanalyti.com</t>
  </si>
  <si>
    <t>+91-9773380453</t>
  </si>
  <si>
    <t>CRM-01587</t>
  </si>
  <si>
    <t>harsh.gupta@growthlabanalytics.com</t>
  </si>
  <si>
    <t>+91-8454184027</t>
  </si>
  <si>
    <t>CRM-01588</t>
  </si>
  <si>
    <t>neha.agarwal@cloudnestgroup.com</t>
  </si>
  <si>
    <t>+91-8791126893</t>
  </si>
  <si>
    <t>CRM-01589</t>
  </si>
  <si>
    <t>sanya.singh@insightwaveanalyti.com</t>
  </si>
  <si>
    <t>+91-9136243122</t>
  </si>
  <si>
    <t>CRM-01590</t>
  </si>
  <si>
    <t>arjun.rao@marketpulseconsult.com</t>
  </si>
  <si>
    <t>+91-7311267763</t>
  </si>
  <si>
    <t>CRM-01591</t>
  </si>
  <si>
    <t>aditi.jain@marketpulseanalyti.com</t>
  </si>
  <si>
    <t>+91-8805159263</t>
  </si>
  <si>
    <t>CRM-01592</t>
  </si>
  <si>
    <t>manish.patel@databridgeventures.com</t>
  </si>
  <si>
    <t>+91-9761245655</t>
  </si>
  <si>
    <t>CRM-01593</t>
  </si>
  <si>
    <t>mohan.patel@urbanedgeventures.com</t>
  </si>
  <si>
    <t>+91-9249694533</t>
  </si>
  <si>
    <t>CRM-01594</t>
  </si>
  <si>
    <t>abhishek.khan@skillforgeventures.com</t>
  </si>
  <si>
    <t>+91-8789715441</t>
  </si>
  <si>
    <t>CRM-01595</t>
  </si>
  <si>
    <t>siddharth.chopra@brightpathlabs.com</t>
  </si>
  <si>
    <t>+91-9570697310</t>
  </si>
  <si>
    <t>CRM-01596</t>
  </si>
  <si>
    <t>nandini.sharma@urbanedgegroup.com</t>
  </si>
  <si>
    <t>+91-8934867290</t>
  </si>
  <si>
    <t>CRM-01597</t>
  </si>
  <si>
    <t>mansi.jain@mediplustechnologi.com</t>
  </si>
  <si>
    <t>+91-7821748686</t>
  </si>
  <si>
    <t>CRM-01598</t>
  </si>
  <si>
    <t>mohan.mishra@nextgensystems.com</t>
  </si>
  <si>
    <t>+91-9421028239</t>
  </si>
  <si>
    <t>CRM-01599</t>
  </si>
  <si>
    <t>nandini.malhotra@marketpulseconsult.com</t>
  </si>
  <si>
    <t>+91-8617714188</t>
  </si>
  <si>
    <t>CRM-01600</t>
  </si>
  <si>
    <t>nitin.jain@insightwaveanalyti.com</t>
  </si>
  <si>
    <t>+91-7458130690</t>
  </si>
  <si>
    <t>CRM-01601</t>
  </si>
  <si>
    <t>mehak.mehta@finedgetechnologie.com</t>
  </si>
  <si>
    <t>+91-8710937248</t>
  </si>
  <si>
    <t>CRM-01602</t>
  </si>
  <si>
    <t>nandini.mishra@educoretechnologie.com</t>
  </si>
  <si>
    <t>+91-9861471607</t>
  </si>
  <si>
    <t>CRM-01603</t>
  </si>
  <si>
    <t>sanya.nair@mediplustechnologi.com</t>
  </si>
  <si>
    <t>+91-9475531404</t>
  </si>
  <si>
    <t>CRM-01604</t>
  </si>
  <si>
    <t>mohan.mishra@nextgengroup.com</t>
  </si>
  <si>
    <t>+91-7938499076</t>
  </si>
  <si>
    <t>CRM-01605</t>
  </si>
  <si>
    <t>abhishek.das@educoregroup.com</t>
  </si>
  <si>
    <t>+91-7491092412</t>
  </si>
  <si>
    <t>CRM-01606</t>
  </si>
  <si>
    <t>pooja.agarwal@mediplusenterprise.com</t>
  </si>
  <si>
    <t>+91-8168469222</t>
  </si>
  <si>
    <t>CRM-01607</t>
  </si>
  <si>
    <t>karan.iyer@urbanedgeenterpris.com</t>
  </si>
  <si>
    <t>+91-7210669033</t>
  </si>
  <si>
    <t>CRM-01608</t>
  </si>
  <si>
    <t>arjun.mehta@finedgeventures.com</t>
  </si>
  <si>
    <t>+91-9798560298</t>
  </si>
  <si>
    <t>CRM-01609</t>
  </si>
  <si>
    <t>rahul.sharma@educoresystems.com</t>
  </si>
  <si>
    <t>+91-9078119480</t>
  </si>
  <si>
    <t>CRM-01610</t>
  </si>
  <si>
    <t>divya.khan@brightpathlabs.com</t>
  </si>
  <si>
    <t>+91-9464128409</t>
  </si>
  <si>
    <t>CRM-01611</t>
  </si>
  <si>
    <t>divya.nair@finedgelabs.com</t>
  </si>
  <si>
    <t>+91-9173759540</t>
  </si>
  <si>
    <t>CRM-01612</t>
  </si>
  <si>
    <t>+91-7910336657</t>
  </si>
  <si>
    <t>CRM-01613</t>
  </si>
  <si>
    <t>mansi.singh@marketpulsegroup.com</t>
  </si>
  <si>
    <t>+91-7241831664</t>
  </si>
  <si>
    <t>CRM-01614</t>
  </si>
  <si>
    <t>neha.verma@marketpulsegroup.com</t>
  </si>
  <si>
    <t>+91-7148034905</t>
  </si>
  <si>
    <t>CRM-01615</t>
  </si>
  <si>
    <t>Arjun Khan</t>
  </si>
  <si>
    <t>arjun.khan@databridgelabs.com</t>
  </si>
  <si>
    <t>+91-7117392443</t>
  </si>
  <si>
    <t>CRM-01616</t>
  </si>
  <si>
    <t>ritika.patel@educoreventures.com</t>
  </si>
  <si>
    <t>+91-9620475823</t>
  </si>
  <si>
    <t>CRM-01617</t>
  </si>
  <si>
    <t>nandini.iyer@growthlabsystems.com</t>
  </si>
  <si>
    <t>+91-9424517731</t>
  </si>
  <si>
    <t>CRM-01618</t>
  </si>
  <si>
    <t>karan.mehta@mediplusservices.com</t>
  </si>
  <si>
    <t>+91-7575817397</t>
  </si>
  <si>
    <t>CRM-01619</t>
  </si>
  <si>
    <t>tanvi.verma@urbanedgeservices.com</t>
  </si>
  <si>
    <t>+91-9297557387</t>
  </si>
  <si>
    <t>CRM-01620</t>
  </si>
  <si>
    <t>arjun.rao@techaxisgroup.com</t>
  </si>
  <si>
    <t>+91-8130697834</t>
  </si>
  <si>
    <t>CRM-01621</t>
  </si>
  <si>
    <t>neha.malhotra@insightwavesystems.com</t>
  </si>
  <si>
    <t>+91-7013125643</t>
  </si>
  <si>
    <t>CRM-01622</t>
  </si>
  <si>
    <t>varun.joshi@primelabs.com</t>
  </si>
  <si>
    <t>+91-8660840297</t>
  </si>
  <si>
    <t>CRM-01623</t>
  </si>
  <si>
    <t>suresh.patel@brightpathenterpri.com</t>
  </si>
  <si>
    <t>+91-9009123808</t>
  </si>
  <si>
    <t>CRM-01624</t>
  </si>
  <si>
    <t>mansi.sharma@growthlablabs.com</t>
  </si>
  <si>
    <t>+91-9992779462</t>
  </si>
  <si>
    <t>CRM-01625</t>
  </si>
  <si>
    <t>Mehak Sharma</t>
  </si>
  <si>
    <t>mehak.sharma@techaxisanalytics.com</t>
  </si>
  <si>
    <t>+91-8195971971</t>
  </si>
  <si>
    <t>CRM-01626</t>
  </si>
  <si>
    <t>mehak.gupta@insightwavetechnol.com</t>
  </si>
  <si>
    <t>+91-7835768861</t>
  </si>
  <si>
    <t>CRM-01627</t>
  </si>
  <si>
    <t>Aditi Bose</t>
  </si>
  <si>
    <t>aditi.bose@techaxisservices.com</t>
  </si>
  <si>
    <t>+91-8089285833</t>
  </si>
  <si>
    <t>CRM-01628</t>
  </si>
  <si>
    <t>karan.jain@bluepeaktechnologi.com</t>
  </si>
  <si>
    <t>+91-9475771389</t>
  </si>
  <si>
    <t>CRM-01629</t>
  </si>
  <si>
    <t>mansi.agarwal@mediplussolutions.com</t>
  </si>
  <si>
    <t>+91-9742518009</t>
  </si>
  <si>
    <t>CRM-01630</t>
  </si>
  <si>
    <t>abhishek.jain@growthlabenterpris.com</t>
  </si>
  <si>
    <t>+91-7605746775</t>
  </si>
  <si>
    <t>CRM-01631</t>
  </si>
  <si>
    <t>harsh.rao@educoreservices.com</t>
  </si>
  <si>
    <t>+91-8856669709</t>
  </si>
  <si>
    <t>CRM-01632</t>
  </si>
  <si>
    <t>deepak.iyer@educoreenterprises.com</t>
  </si>
  <si>
    <t>+91-7011925132</t>
  </si>
  <si>
    <t>CRM-01633</t>
  </si>
  <si>
    <t>shruti.gupta@novalabs.com</t>
  </si>
  <si>
    <t>+91-7117164213</t>
  </si>
  <si>
    <t>CRM-01634</t>
  </si>
  <si>
    <t>karan.gupta@growthlabtechnolog.com</t>
  </si>
  <si>
    <t>+91-7337961028</t>
  </si>
  <si>
    <t>CRM-01635</t>
  </si>
  <si>
    <t>mohan.malhotra@insightwavetechnol.com</t>
  </si>
  <si>
    <t>+91-7407569284</t>
  </si>
  <si>
    <t>CRM-01636</t>
  </si>
  <si>
    <t>karan.kapoor@urbanedgeservices.com</t>
  </si>
  <si>
    <t>+91-7930354529</t>
  </si>
  <si>
    <t>CRM-01637</t>
  </si>
  <si>
    <t>simran.saxena@finedgeventures.com</t>
  </si>
  <si>
    <t>+91-9923491049</t>
  </si>
  <si>
    <t>CRM-01638</t>
  </si>
  <si>
    <t>sanya.kapoor@marketpulseventure.com</t>
  </si>
  <si>
    <t>+91-7960176493</t>
  </si>
  <si>
    <t>CRM-01639</t>
  </si>
  <si>
    <t>tanvi.iyer@growthlabsystems.com</t>
  </si>
  <si>
    <t>+91-8913010334</t>
  </si>
  <si>
    <t>CRM-01640</t>
  </si>
  <si>
    <t>mehak.singh@educoreconsulting.com</t>
  </si>
  <si>
    <t>+91-8405728668</t>
  </si>
  <si>
    <t>CRM-01641</t>
  </si>
  <si>
    <t>tanvi.singh@urbanedgetechnolog.com</t>
  </si>
  <si>
    <t>+91-8436126766</t>
  </si>
  <si>
    <t>CRM-01642</t>
  </si>
  <si>
    <t>nitin.verma@cloudnestlabs.com</t>
  </si>
  <si>
    <t>+91-9693923443</t>
  </si>
  <si>
    <t>CRM-01643</t>
  </si>
  <si>
    <t>mohan.kapoor@urbanedgeconsultin.com</t>
  </si>
  <si>
    <t>+91-9609577744</t>
  </si>
  <si>
    <t>CRM-01644</t>
  </si>
  <si>
    <t>tanvi.gupta@urbanedgesystems.com</t>
  </si>
  <si>
    <t>+91-7221669449</t>
  </si>
  <si>
    <t>CRM-01645</t>
  </si>
  <si>
    <t>Riya Das</t>
  </si>
  <si>
    <t>riya.das@cloudnesttechnolog.com</t>
  </si>
  <si>
    <t>+91-7480223002</t>
  </si>
  <si>
    <t>CRM-01646</t>
  </si>
  <si>
    <t>aditi.mehta@marketpulseenterpr.com</t>
  </si>
  <si>
    <t>+91-9546755656</t>
  </si>
  <si>
    <t>CRM-01647</t>
  </si>
  <si>
    <t>rakesh.saxena@finedgeanalytics.com</t>
  </si>
  <si>
    <t>+91-8796784510</t>
  </si>
  <si>
    <t>CRM-01648</t>
  </si>
  <si>
    <t>divya.chopra@nextgenconsulting.com</t>
  </si>
  <si>
    <t>+91-8655899012</t>
  </si>
  <si>
    <t>CRM-01649</t>
  </si>
  <si>
    <t>mansi.iyer@brightpathservices.com</t>
  </si>
  <si>
    <t>+91-8779578532</t>
  </si>
  <si>
    <t>CRM-01650</t>
  </si>
  <si>
    <t>deepak.nair@techaxissystems.com</t>
  </si>
  <si>
    <t>+91-9396465216</t>
  </si>
  <si>
    <t>CRM-01651</t>
  </si>
  <si>
    <t>deepak.mishra@bluepeakanalytics.com</t>
  </si>
  <si>
    <t>+91-7829423165</t>
  </si>
  <si>
    <t>CRM-01652</t>
  </si>
  <si>
    <t>isha.malhotra@novaconsulting.com</t>
  </si>
  <si>
    <t>+91-8748250886</t>
  </si>
  <si>
    <t>CRM-01653</t>
  </si>
  <si>
    <t>Varun Saxena</t>
  </si>
  <si>
    <t>varun.saxena@brightpathlabs.com</t>
  </si>
  <si>
    <t>+91-9464876055</t>
  </si>
  <si>
    <t>CRM-01654</t>
  </si>
  <si>
    <t>mohan.sharma@novatechnologies.com</t>
  </si>
  <si>
    <t>+91-9022214690</t>
  </si>
  <si>
    <t>CRM-01655</t>
  </si>
  <si>
    <t>rakesh.verma@brightpathtechnolo.com</t>
  </si>
  <si>
    <t>+91-9120187642</t>
  </si>
  <si>
    <t>CRM-01656</t>
  </si>
  <si>
    <t>Mohan Nair</t>
  </si>
  <si>
    <t>mohan.nair@novasystems.com</t>
  </si>
  <si>
    <t>+91-8665651761</t>
  </si>
  <si>
    <t>CRM-01657</t>
  </si>
  <si>
    <t>mehak.singh@novaanalytics.com</t>
  </si>
  <si>
    <t>+91-8120331103</t>
  </si>
  <si>
    <t>CRM-01658</t>
  </si>
  <si>
    <t>harsh.jain@growthlabenterpris.com</t>
  </si>
  <si>
    <t>+91-7075533836</t>
  </si>
  <si>
    <t>CRM-01659</t>
  </si>
  <si>
    <t>sanya.iyer@growthlabconsultin.com</t>
  </si>
  <si>
    <t>+91-9112082102</t>
  </si>
  <si>
    <t>CRM-01660</t>
  </si>
  <si>
    <t>shruti.mehta@brightpathenterpri.com</t>
  </si>
  <si>
    <t>+91-7709660933</t>
  </si>
  <si>
    <t>CRM-01661</t>
  </si>
  <si>
    <t>ritika.nair@bluepeaksolutions.com</t>
  </si>
  <si>
    <t>+91-8332173758</t>
  </si>
  <si>
    <t>CRM-01662</t>
  </si>
  <si>
    <t>Sanya Saxena</t>
  </si>
  <si>
    <t>sanya.saxena@educoreanalytics.com</t>
  </si>
  <si>
    <t>+91-8029829026</t>
  </si>
  <si>
    <t>CRM-01663</t>
  </si>
  <si>
    <t>ritika.gupta@cloudnestventures.com</t>
  </si>
  <si>
    <t>+91-9224078078</t>
  </si>
  <si>
    <t>CRM-01664</t>
  </si>
  <si>
    <t>rahul.patel@techaxisgroup.com</t>
  </si>
  <si>
    <t>+91-7222216552</t>
  </si>
  <si>
    <t>CRM-01665</t>
  </si>
  <si>
    <t>aditi.mehta@cloudnestanalytics.com</t>
  </si>
  <si>
    <t>+91-7581239524</t>
  </si>
  <si>
    <t>CRM-01666</t>
  </si>
  <si>
    <t>deepak.patel@skillforgeservices.com</t>
  </si>
  <si>
    <t>+91-9426912044</t>
  </si>
  <si>
    <t>CRM-01667</t>
  </si>
  <si>
    <t>ritika.rao@databridgegroup.com</t>
  </si>
  <si>
    <t>+91-8134144567</t>
  </si>
  <si>
    <t>CRM-01668</t>
  </si>
  <si>
    <t>vivek.patel@skillforgetechnolo.com</t>
  </si>
  <si>
    <t>+91-7068990719</t>
  </si>
  <si>
    <t>CRM-01669</t>
  </si>
  <si>
    <t>riya.gupta@cloudnestsolutions.com</t>
  </si>
  <si>
    <t>+91-9527961560</t>
  </si>
  <si>
    <t>CRM-01670</t>
  </si>
  <si>
    <t>simran.jain@mediplusenterprise.com</t>
  </si>
  <si>
    <t>+91-8640853894</t>
  </si>
  <si>
    <t>CRM-01671</t>
  </si>
  <si>
    <t>simran.jain@techaxisventures.com</t>
  </si>
  <si>
    <t>+91-9732879588</t>
  </si>
  <si>
    <t>CRM-01672</t>
  </si>
  <si>
    <t>harsh.saxena@finedgegroup.com</t>
  </si>
  <si>
    <t>+91-7449895564</t>
  </si>
  <si>
    <t>CRM-01673</t>
  </si>
  <si>
    <t>suresh.iyer@bluepeakenterprise.com</t>
  </si>
  <si>
    <t>+91-9504536707</t>
  </si>
  <si>
    <t>CRM-01674</t>
  </si>
  <si>
    <t>varun.verma@mediplusservices.com</t>
  </si>
  <si>
    <t>+91-8206281064</t>
  </si>
  <si>
    <t>CRM-01675</t>
  </si>
  <si>
    <t>kavya.kapoor@bluepeakservices.com</t>
  </si>
  <si>
    <t>+91-9835757667</t>
  </si>
  <si>
    <t>CRM-01676</t>
  </si>
  <si>
    <t>nitin.malhotra@educoretechnologie.com</t>
  </si>
  <si>
    <t>+91-7724699752</t>
  </si>
  <si>
    <t>CRM-01677</t>
  </si>
  <si>
    <t>mansi.chopra@skillforgeconsulti.com</t>
  </si>
  <si>
    <t>+91-7862241231</t>
  </si>
  <si>
    <t>CRM-01678</t>
  </si>
  <si>
    <t>pooja.agarwal@marketpulseconsult.com</t>
  </si>
  <si>
    <t>+91-8742079098</t>
  </si>
  <si>
    <t>CRM-01679</t>
  </si>
  <si>
    <t>rahul.rao@nextgenservices.com</t>
  </si>
  <si>
    <t>+91-8069112531</t>
  </si>
  <si>
    <t>CRM-01680</t>
  </si>
  <si>
    <t>kavya.saxena@databridgesolution.com</t>
  </si>
  <si>
    <t>+91-9728177315</t>
  </si>
  <si>
    <t>CRM-01681</t>
  </si>
  <si>
    <t>amit.mehta@skillforgeanalytic.com</t>
  </si>
  <si>
    <t>+91-7974523489</t>
  </si>
  <si>
    <t>CRM-01682</t>
  </si>
  <si>
    <t>riya.das@techaxistechnologi.com</t>
  </si>
  <si>
    <t>+91-9150355503</t>
  </si>
  <si>
    <t>CRM-01683</t>
  </si>
  <si>
    <t>mehak.das@databridgeconsulti.com</t>
  </si>
  <si>
    <t>+91-7494812703</t>
  </si>
  <si>
    <t>CRM-01684</t>
  </si>
  <si>
    <t>siddharth.patel@growthlabenterpris.com</t>
  </si>
  <si>
    <t>+91-8526517815</t>
  </si>
  <si>
    <t>CRM-01685</t>
  </si>
  <si>
    <t>aditi.das@marketpulseenterpr.com</t>
  </si>
  <si>
    <t>+91-8070555584</t>
  </si>
  <si>
    <t>CRM-01686</t>
  </si>
  <si>
    <t>suresh.nair@novaservices.com</t>
  </si>
  <si>
    <t>+91-9616966777</t>
  </si>
  <si>
    <t>CRM-01687</t>
  </si>
  <si>
    <t>neha.gupta@skillforgeanalytic.com</t>
  </si>
  <si>
    <t>+91-8294187765</t>
  </si>
  <si>
    <t>CRM-01688</t>
  </si>
  <si>
    <t>+91-7237261679</t>
  </si>
  <si>
    <t>CRM-01689</t>
  </si>
  <si>
    <t>shruti.singh@brightpathconsulti.com</t>
  </si>
  <si>
    <t>+91-9234594457</t>
  </si>
  <si>
    <t>CRM-01690</t>
  </si>
  <si>
    <t>divya.khan@insightwaveanalyti.com</t>
  </si>
  <si>
    <t>+91-8989428838</t>
  </si>
  <si>
    <t>CRM-01691</t>
  </si>
  <si>
    <t>divya.mehta@educorelabs.com</t>
  </si>
  <si>
    <t>+91-8218964341</t>
  </si>
  <si>
    <t>CRM-01692</t>
  </si>
  <si>
    <t>neha.saxena@insightwaveconsult.com</t>
  </si>
  <si>
    <t>+91-8687013883</t>
  </si>
  <si>
    <t>CRM-01693</t>
  </si>
  <si>
    <t>abhishek.sharma@bluepeaksystems.com</t>
  </si>
  <si>
    <t>+91-7143831011</t>
  </si>
  <si>
    <t>CRM-01694</t>
  </si>
  <si>
    <t>riya.chopra@urbanedgeventures.com</t>
  </si>
  <si>
    <t>+91-8976817566</t>
  </si>
  <si>
    <t>CRM-01695</t>
  </si>
  <si>
    <t>mansi.agarwal@mediplusenterprise.com</t>
  </si>
  <si>
    <t>+91-8237929814</t>
  </si>
  <si>
    <t>CRM-01696</t>
  </si>
  <si>
    <t>ritika.saxena@novaconsulting.com</t>
  </si>
  <si>
    <t>+91-9865180000</t>
  </si>
  <si>
    <t>CRM-01697</t>
  </si>
  <si>
    <t>nitin.iyer@finedgeconsulting.com</t>
  </si>
  <si>
    <t>+91-9486780032</t>
  </si>
  <si>
    <t>CRM-01698</t>
  </si>
  <si>
    <t>siddharth.joshi@novasystems.com</t>
  </si>
  <si>
    <t>+91-7098197517</t>
  </si>
  <si>
    <t>CRM-01699</t>
  </si>
  <si>
    <t>harsh.joshi@primesolutions.com</t>
  </si>
  <si>
    <t>+91-9450774664</t>
  </si>
  <si>
    <t>CRM-01700</t>
  </si>
  <si>
    <t>arjun.sharma@marketpulseventure.com</t>
  </si>
  <si>
    <t>+91-9031615522</t>
  </si>
  <si>
    <t>CRM-01701</t>
  </si>
  <si>
    <t>siddharth.kapoor@primetechnologies.com</t>
  </si>
  <si>
    <t>+91-8096160445</t>
  </si>
  <si>
    <t>CRM-01702</t>
  </si>
  <si>
    <t>sanya.saxena@growthlablabs.com</t>
  </si>
  <si>
    <t>+91-8948648412</t>
  </si>
  <si>
    <t>CRM-01703</t>
  </si>
  <si>
    <t>mohan.mishra@brightpathventures.com</t>
  </si>
  <si>
    <t>+91-7317565715</t>
  </si>
  <si>
    <t>CRM-01704</t>
  </si>
  <si>
    <t>deepak.malhotra@bluepeakventures.com</t>
  </si>
  <si>
    <t>+91-8065128794</t>
  </si>
  <si>
    <t>CRM-01705</t>
  </si>
  <si>
    <t>rakesh.saxena@skillforgelabs.com</t>
  </si>
  <si>
    <t>+91-8053339393</t>
  </si>
  <si>
    <t>CRM-01706</t>
  </si>
  <si>
    <t>varun.agarwal@skillforgeanalytic.com</t>
  </si>
  <si>
    <t>+91-7629647327</t>
  </si>
  <si>
    <t>CRM-01707</t>
  </si>
  <si>
    <t>deepak.sharma@educoreservices.com</t>
  </si>
  <si>
    <t>+91-9429428963</t>
  </si>
  <si>
    <t>CRM-01708</t>
  </si>
  <si>
    <t>mansi.iyer@databridgesolution.com</t>
  </si>
  <si>
    <t>+91-8261143612</t>
  </si>
  <si>
    <t>CRM-01709</t>
  </si>
  <si>
    <t>rakesh.chopra@brightpathsystems.com</t>
  </si>
  <si>
    <t>+91-9420158547</t>
  </si>
  <si>
    <t>CRM-01710</t>
  </si>
  <si>
    <t>kavya.das@finedgeanalytics.com</t>
  </si>
  <si>
    <t>+91-8900182152</t>
  </si>
  <si>
    <t>CRM-01711</t>
  </si>
  <si>
    <t>amit.gupta@mediplusgroup.com</t>
  </si>
  <si>
    <t>+91-8919887589</t>
  </si>
  <si>
    <t>CRM-01712</t>
  </si>
  <si>
    <t>aditi.gupta@insightwaveanalyti.com</t>
  </si>
  <si>
    <t>+91-7741749208</t>
  </si>
  <si>
    <t>CRM-01713</t>
  </si>
  <si>
    <t>Simran Khan</t>
  </si>
  <si>
    <t>simran.khan@techaxissolutions.com</t>
  </si>
  <si>
    <t>+91-7559041301</t>
  </si>
  <si>
    <t>CRM-01714</t>
  </si>
  <si>
    <t>nandini.iyer@growthlablabs.com</t>
  </si>
  <si>
    <t>+91-7129349545</t>
  </si>
  <si>
    <t>CRM-01715</t>
  </si>
  <si>
    <t>Deepak Rao</t>
  </si>
  <si>
    <t>deepak.rao@mediplusconsulting.com</t>
  </si>
  <si>
    <t>+91-7144417454</t>
  </si>
  <si>
    <t>CRM-01716</t>
  </si>
  <si>
    <t>nitin.das@primegroup.com</t>
  </si>
  <si>
    <t>+91-7121618641</t>
  </si>
  <si>
    <t>CRM-01717</t>
  </si>
  <si>
    <t>mansi.sharma@mediplusconsulting.com</t>
  </si>
  <si>
    <t>+91-8492140545</t>
  </si>
  <si>
    <t>CRM-01718</t>
  </si>
  <si>
    <t>vivek.mishra@mediplussolutions.com</t>
  </si>
  <si>
    <t>+91-7511169422</t>
  </si>
  <si>
    <t>CRM-01719</t>
  </si>
  <si>
    <t>pooja.patel@primelabs.com</t>
  </si>
  <si>
    <t>+91-9363188385</t>
  </si>
  <si>
    <t>CRM-01720</t>
  </si>
  <si>
    <t>vivek.kapoor@skillforgeservices.com</t>
  </si>
  <si>
    <t>+91-7671814048</t>
  </si>
  <si>
    <t>CRM-01721</t>
  </si>
  <si>
    <t>Mehak Saxena</t>
  </si>
  <si>
    <t>mehak.saxena@novaanalytics.com</t>
  </si>
  <si>
    <t>+91-8647445488</t>
  </si>
  <si>
    <t>CRM-01722</t>
  </si>
  <si>
    <t>pooja.iyer@finedgeservices.com</t>
  </si>
  <si>
    <t>+91-9588367901</t>
  </si>
  <si>
    <t>CRM-01723</t>
  </si>
  <si>
    <t>aditi.bose@novaconsulting.com</t>
  </si>
  <si>
    <t>+91-7642214341</t>
  </si>
  <si>
    <t>CRM-01724</t>
  </si>
  <si>
    <t>tanvi.sharma@novasolutions.com</t>
  </si>
  <si>
    <t>+91-7238053004</t>
  </si>
  <si>
    <t>CRM-01725</t>
  </si>
  <si>
    <t>kavya.jain@skillforgeconsulti.com</t>
  </si>
  <si>
    <t>+91-8123320536</t>
  </si>
  <si>
    <t>CRM-01726</t>
  </si>
  <si>
    <t>siddharth.singh@growthlabenterpris.com</t>
  </si>
  <si>
    <t>+91-9988568026</t>
  </si>
  <si>
    <t>CRM-01727</t>
  </si>
  <si>
    <t>deepak.joshi@brightpathventures.com</t>
  </si>
  <si>
    <t>+91-9110579702</t>
  </si>
  <si>
    <t>CRM-01728</t>
  </si>
  <si>
    <t>arjun.khan@novaenterprises.com</t>
  </si>
  <si>
    <t>+91-7058731714</t>
  </si>
  <si>
    <t>CRM-01729</t>
  </si>
  <si>
    <t>rahul.malhotra@finedgesolutions.com</t>
  </si>
  <si>
    <t>+91-7531692328</t>
  </si>
  <si>
    <t>CRM-01730</t>
  </si>
  <si>
    <t>divya.rao@urbanedgeservices.com</t>
  </si>
  <si>
    <t>+91-7378333540</t>
  </si>
  <si>
    <t>CRM-01731</t>
  </si>
  <si>
    <t>kavya.mishra@primeconsulting.com</t>
  </si>
  <si>
    <t>+91-7388212991</t>
  </si>
  <si>
    <t>CRM-01732</t>
  </si>
  <si>
    <t>rahul.rao@skillforgegroup.com</t>
  </si>
  <si>
    <t>+91-7218198985</t>
  </si>
  <si>
    <t>CRM-01733</t>
  </si>
  <si>
    <t>nandini.mehta@bluepeaktechnologi.com</t>
  </si>
  <si>
    <t>+91-8351964496</t>
  </si>
  <si>
    <t>CRM-01734</t>
  </si>
  <si>
    <t>harsh.saxena@brightpathservices.com</t>
  </si>
  <si>
    <t>+91-8645949158</t>
  </si>
  <si>
    <t>CRM-01735</t>
  </si>
  <si>
    <t>divya.mehta@marketpulseanalyti.com</t>
  </si>
  <si>
    <t>+91-7198199315</t>
  </si>
  <si>
    <t>CRM-01736</t>
  </si>
  <si>
    <t>pooja.sharma@growthlabenterpris.com</t>
  </si>
  <si>
    <t>+91-9635784282</t>
  </si>
  <si>
    <t>CRM-01737</t>
  </si>
  <si>
    <t>mehak.chopra@mediplusanalytics.com</t>
  </si>
  <si>
    <t>+91-8229862342</t>
  </si>
  <si>
    <t>CRM-01738</t>
  </si>
  <si>
    <t>karan.khan@medipluslabs.com</t>
  </si>
  <si>
    <t>+91-9516628387</t>
  </si>
  <si>
    <t>CRM-01739</t>
  </si>
  <si>
    <t>mehak.patel@educoreventures.com</t>
  </si>
  <si>
    <t>+91-9677783446</t>
  </si>
  <si>
    <t>CRM-01740</t>
  </si>
  <si>
    <t>Sanya Gupta</t>
  </si>
  <si>
    <t>sanya.gupta@brightpathlabs.com</t>
  </si>
  <si>
    <t>+91-7538811046</t>
  </si>
  <si>
    <t>CRM-01741</t>
  </si>
  <si>
    <t>rahul.mehta@growthlabtechnolog.com</t>
  </si>
  <si>
    <t>+91-7218436825</t>
  </si>
  <si>
    <t>CRM-01742</t>
  </si>
  <si>
    <t>suresh.saxena@educoretechnologie.com</t>
  </si>
  <si>
    <t>+91-9857218995</t>
  </si>
  <si>
    <t>CRM-01743</t>
  </si>
  <si>
    <t>pooja.saxena@nextgenconsulting.com</t>
  </si>
  <si>
    <t>+91-9876747329</t>
  </si>
  <si>
    <t>CRM-01744</t>
  </si>
  <si>
    <t>abhishek.chopra@cloudnestservices.com</t>
  </si>
  <si>
    <t>+91-7717041751</t>
  </si>
  <si>
    <t>CRM-01745</t>
  </si>
  <si>
    <t>kavya.jain@brightpathlabs.com</t>
  </si>
  <si>
    <t>+91-9411769615</t>
  </si>
  <si>
    <t>CRM-01746</t>
  </si>
  <si>
    <t>sanya.nair@insightwavegroup.com</t>
  </si>
  <si>
    <t>+91-8781217401</t>
  </si>
  <si>
    <t>CRM-01747</t>
  </si>
  <si>
    <t>ritika.iyer@databridgegroup.com</t>
  </si>
  <si>
    <t>+91-9728395275</t>
  </si>
  <si>
    <t>CRM-01748</t>
  </si>
  <si>
    <t>simran.chopra@growthlabanalytics.com</t>
  </si>
  <si>
    <t>+91-8214127551</t>
  </si>
  <si>
    <t>CRM-01749</t>
  </si>
  <si>
    <t>rakesh.jain@brightpathtechnolo.com</t>
  </si>
  <si>
    <t>+91-9366881183</t>
  </si>
  <si>
    <t>CRM-01750</t>
  </si>
  <si>
    <t>aditi.patel@techaxissystems.com</t>
  </si>
  <si>
    <t>+91-7927283997</t>
  </si>
  <si>
    <t>CRM-01751</t>
  </si>
  <si>
    <t>mansi.singh@bluepeakservices.com</t>
  </si>
  <si>
    <t>+91-7250723791</t>
  </si>
  <si>
    <t>CRM-01752</t>
  </si>
  <si>
    <t>karan.mishra@urbanedgetechnolog.com</t>
  </si>
  <si>
    <t>+91-7607854985</t>
  </si>
  <si>
    <t>CRM-01753</t>
  </si>
  <si>
    <t>kavya.agarwal@nextgenservices.com</t>
  </si>
  <si>
    <t>+91-8544459567</t>
  </si>
  <si>
    <t>CRM-01754</t>
  </si>
  <si>
    <t>ritika.mehta@databridgeventures.com</t>
  </si>
  <si>
    <t>+91-9344342740</t>
  </si>
  <si>
    <t>CRM-01755</t>
  </si>
  <si>
    <t>amit.iyer@growthlabsystems.com</t>
  </si>
  <si>
    <t>+91-9763766196</t>
  </si>
  <si>
    <t>CRM-01756</t>
  </si>
  <si>
    <t>suresh.mishra@finedgeconsulting.com</t>
  </si>
  <si>
    <t>+91-7068437708</t>
  </si>
  <si>
    <t>CRM-01757</t>
  </si>
  <si>
    <t>pooja.chopra@nextgenconsulting.com</t>
  </si>
  <si>
    <t>+91-8732636454</t>
  </si>
  <si>
    <t>CRM-01758</t>
  </si>
  <si>
    <t>kavya.das@growthlabgroup.com</t>
  </si>
  <si>
    <t>+91-7992592309</t>
  </si>
  <si>
    <t>CRM-01759</t>
  </si>
  <si>
    <t>abhishek.saxena@primesystems.com</t>
  </si>
  <si>
    <t>+91-8598816459</t>
  </si>
  <si>
    <t>CRM-01760</t>
  </si>
  <si>
    <t>nandini.patel@bluepeakenterprise.com</t>
  </si>
  <si>
    <t>+91-9247011365</t>
  </si>
  <si>
    <t>CRM-01761</t>
  </si>
  <si>
    <t>divya.sharma@cloudnestventures.com</t>
  </si>
  <si>
    <t>+91-7786343478</t>
  </si>
  <si>
    <t>CRM-01762</t>
  </si>
  <si>
    <t>tanvi.saxena@primeconsulting.com</t>
  </si>
  <si>
    <t>+91-8583240933</t>
  </si>
  <si>
    <t>CRM-01763</t>
  </si>
  <si>
    <t>suresh.das@nextgensolutions.com</t>
  </si>
  <si>
    <t>+91-9226881265</t>
  </si>
  <si>
    <t>CRM-01764</t>
  </si>
  <si>
    <t>shruti.patel@marketpulseanalyti.com</t>
  </si>
  <si>
    <t>+91-8661499119</t>
  </si>
  <si>
    <t>CRM-01765</t>
  </si>
  <si>
    <t>aditi.singh@finedgeanalytics.com</t>
  </si>
  <si>
    <t>+91-8099024658</t>
  </si>
  <si>
    <t>CRM-01766</t>
  </si>
  <si>
    <t>neha.kapoor@marketpulseservice.com</t>
  </si>
  <si>
    <t>+91-8250052527</t>
  </si>
  <si>
    <t>CRM-01767</t>
  </si>
  <si>
    <t>karan.agarwal@novagroup.com</t>
  </si>
  <si>
    <t>+91-9364643620</t>
  </si>
  <si>
    <t>CRM-01768</t>
  </si>
  <si>
    <t>vivek.saxena@nextgenenterprises.com</t>
  </si>
  <si>
    <t>+91-8488853857</t>
  </si>
  <si>
    <t>CRM-01769</t>
  </si>
  <si>
    <t>Mohan Verma</t>
  </si>
  <si>
    <t>mohan.verma@brightpathconsulti.com</t>
  </si>
  <si>
    <t>+91-9935066985</t>
  </si>
  <si>
    <t>CRM-01770</t>
  </si>
  <si>
    <t>pooja.rao@mediplusservices.com</t>
  </si>
  <si>
    <t>+91-9802255738</t>
  </si>
  <si>
    <t>CRM-01771</t>
  </si>
  <si>
    <t>karan.mehta@skillforgeventures.com</t>
  </si>
  <si>
    <t>+91-8656869201</t>
  </si>
  <si>
    <t>CRM-01772</t>
  </si>
  <si>
    <t>rahul.bose@skillforgegroup.com</t>
  </si>
  <si>
    <t>+91-7624193043</t>
  </si>
  <si>
    <t>CRM-01773</t>
  </si>
  <si>
    <t>pooja.saxena@cloudnestventures.com</t>
  </si>
  <si>
    <t>+91-9950582961</t>
  </si>
  <si>
    <t>CRM-01774</t>
  </si>
  <si>
    <t>amit.bose@mediplusanalytics.com</t>
  </si>
  <si>
    <t>+91-7501787662</t>
  </si>
  <si>
    <t>CRM-01775</t>
  </si>
  <si>
    <t>suresh.verma@urbanedgesystems.com</t>
  </si>
  <si>
    <t>+91-8875157207</t>
  </si>
  <si>
    <t>CRM-01776</t>
  </si>
  <si>
    <t>mohan.rao@databridgesystems.com</t>
  </si>
  <si>
    <t>+91-7638297542</t>
  </si>
  <si>
    <t>CRM-01777</t>
  </si>
  <si>
    <t>karan.saxena@growthlabconsultin.com</t>
  </si>
  <si>
    <t>+91-9850110916</t>
  </si>
  <si>
    <t>CRM-01778</t>
  </si>
  <si>
    <t>pooja.agarwal@bluepeakconsulting.com</t>
  </si>
  <si>
    <t>+91-7729151893</t>
  </si>
  <si>
    <t>CRM-01779</t>
  </si>
  <si>
    <t>neha.jain@mediplustechnologi.com</t>
  </si>
  <si>
    <t>+91-7869425851</t>
  </si>
  <si>
    <t>CRM-01780</t>
  </si>
  <si>
    <t>mohan.joshi@mediplusgroup.com</t>
  </si>
  <si>
    <t>+91-8188824198</t>
  </si>
  <si>
    <t>CRM-01781</t>
  </si>
  <si>
    <t>rahul.mishra@techaxisenterprise.com</t>
  </si>
  <si>
    <t>+91-7216541678</t>
  </si>
  <si>
    <t>CRM-01782</t>
  </si>
  <si>
    <t>isha.malhotra@finedgesolutions.com</t>
  </si>
  <si>
    <t>+91-7098961469</t>
  </si>
  <si>
    <t>CRM-01783</t>
  </si>
  <si>
    <t>mansi.saxena@cloudnestanalytics.com</t>
  </si>
  <si>
    <t>+91-8228294073</t>
  </si>
  <si>
    <t>CRM-01784</t>
  </si>
  <si>
    <t>varun.jain@novatechnologies.com</t>
  </si>
  <si>
    <t>+91-8918755983</t>
  </si>
  <si>
    <t>CRM-01785</t>
  </si>
  <si>
    <t>sanya.bose@insightwavesystems.com</t>
  </si>
  <si>
    <t>+91-8895456835</t>
  </si>
  <si>
    <t>CRM-01786</t>
  </si>
  <si>
    <t>amit.verma@primeconsulting.com</t>
  </si>
  <si>
    <t>+91-7539714130</t>
  </si>
  <si>
    <t>CRM-01787</t>
  </si>
  <si>
    <t>Siddharth Saxena</t>
  </si>
  <si>
    <t>siddharth.saxena@educoretechnologie.com</t>
  </si>
  <si>
    <t>+91-8294733939</t>
  </si>
  <si>
    <t>CRM-01788</t>
  </si>
  <si>
    <t>ritika.malhotra@mediplussolutions.com</t>
  </si>
  <si>
    <t>+91-9277023648</t>
  </si>
  <si>
    <t>CRM-01789</t>
  </si>
  <si>
    <t>mohan.saxena@cloudnestenterpris.com</t>
  </si>
  <si>
    <t>+91-9037128976</t>
  </si>
  <si>
    <t>CRM-01790</t>
  </si>
  <si>
    <t>siddharth.rao@finedgelabs.com</t>
  </si>
  <si>
    <t>+91-9671965402</t>
  </si>
  <si>
    <t>CRM-01791</t>
  </si>
  <si>
    <t>suresh.iyer@skillforgesystems.com</t>
  </si>
  <si>
    <t>+91-9400173064</t>
  </si>
  <si>
    <t>CRM-01792</t>
  </si>
  <si>
    <t>+91-8681194258</t>
  </si>
  <si>
    <t>CRM-01793</t>
  </si>
  <si>
    <t>tanvi.malhotra@novalabs.com</t>
  </si>
  <si>
    <t>+91-8853316188</t>
  </si>
  <si>
    <t>CRM-01794</t>
  </si>
  <si>
    <t>Rakesh Khan</t>
  </si>
  <si>
    <t>rakesh.khan@nextgentechnologie.com</t>
  </si>
  <si>
    <t>+91-8897626987</t>
  </si>
  <si>
    <t>CRM-01795</t>
  </si>
  <si>
    <t>rakesh.nair@growthlabservices.com</t>
  </si>
  <si>
    <t>+91-7719968187</t>
  </si>
  <si>
    <t>CRM-01796</t>
  </si>
  <si>
    <t>nandini.bose@novasystems.com</t>
  </si>
  <si>
    <t>+91-8914656226</t>
  </si>
  <si>
    <t>CRM-01797</t>
  </si>
  <si>
    <t>neha.jain@novaconsulting.com</t>
  </si>
  <si>
    <t>+91-8584482107</t>
  </si>
  <si>
    <t>CRM-01798</t>
  </si>
  <si>
    <t>nitin.iyer@educoreanalytics.com</t>
  </si>
  <si>
    <t>+91-8745587493</t>
  </si>
  <si>
    <t>CRM-01799</t>
  </si>
  <si>
    <t>kavya.khan@skillforgesystems.com</t>
  </si>
  <si>
    <t>+91-7028133286</t>
  </si>
  <si>
    <t>CRM-01800</t>
  </si>
  <si>
    <t>pooja.verma@databridgeventures.com</t>
  </si>
  <si>
    <t>+91-8825098926</t>
  </si>
  <si>
    <t>CRM-01801</t>
  </si>
  <si>
    <t>rakesh.saxena@bluepeaksolutions.com</t>
  </si>
  <si>
    <t>+91-9610893236</t>
  </si>
  <si>
    <t>CRM-01802</t>
  </si>
  <si>
    <t>abhishek.nair@marketpulsesystems.com</t>
  </si>
  <si>
    <t>+91-8575721303</t>
  </si>
  <si>
    <t>CRM-01803</t>
  </si>
  <si>
    <t>abhishek.das@brightpathservices.com</t>
  </si>
  <si>
    <t>+91-9873045006</t>
  </si>
  <si>
    <t>CRM-01804</t>
  </si>
  <si>
    <t>sanya.agarwal@databridgetechnolo.com</t>
  </si>
  <si>
    <t>+91-8960773795</t>
  </si>
  <si>
    <t>CRM-01805</t>
  </si>
  <si>
    <t>manish.verma@mediplusservices.com</t>
  </si>
  <si>
    <t>+91-7182630984</t>
  </si>
  <si>
    <t>CRM-01806</t>
  </si>
  <si>
    <t>karan.malhotra@brightpathsolution.com</t>
  </si>
  <si>
    <t>+91-9911821347</t>
  </si>
  <si>
    <t>CRM-01807</t>
  </si>
  <si>
    <t>mehak.sharma@bluepeaksystems.com</t>
  </si>
  <si>
    <t>+91-7976722841</t>
  </si>
  <si>
    <t>CRM-01808</t>
  </si>
  <si>
    <t>kavya.rao@novagroup.com</t>
  </si>
  <si>
    <t>+91-7708340837</t>
  </si>
  <si>
    <t>CRM-01809</t>
  </si>
  <si>
    <t>manish.nair@novalabs.com</t>
  </si>
  <si>
    <t>+91-7658593713</t>
  </si>
  <si>
    <t>CRM-01810</t>
  </si>
  <si>
    <t>manish.saxena@cloudnestgroup.com</t>
  </si>
  <si>
    <t>+91-7004919752</t>
  </si>
  <si>
    <t>CRM-01811</t>
  </si>
  <si>
    <t>simran.das@skillforgeventures.com</t>
  </si>
  <si>
    <t>+91-8690922924</t>
  </si>
  <si>
    <t>CRM-01812</t>
  </si>
  <si>
    <t>tanvi.patel@urbanedgeenterpris.com</t>
  </si>
  <si>
    <t>+91-9578659380</t>
  </si>
  <si>
    <t>CRM-01813</t>
  </si>
  <si>
    <t>riya.kapoor@urbanedgeservices.com</t>
  </si>
  <si>
    <t>+91-7527832332</t>
  </si>
  <si>
    <t>CRM-01814</t>
  </si>
  <si>
    <t>manish.khan@brightpathtechnolo.com</t>
  </si>
  <si>
    <t>+91-9823946136</t>
  </si>
  <si>
    <t>CRM-01815</t>
  </si>
  <si>
    <t>sanya.singh@techaxisconsulting.com</t>
  </si>
  <si>
    <t>+91-8526787815</t>
  </si>
  <si>
    <t>CRM-01816</t>
  </si>
  <si>
    <t>rakesh.mehta@primeenterprises.com</t>
  </si>
  <si>
    <t>+91-7959721555</t>
  </si>
  <si>
    <t>CRM-01817</t>
  </si>
  <si>
    <t>Tanvi Mishra</t>
  </si>
  <si>
    <t>tanvi.mishra@insightwavelabs.com</t>
  </si>
  <si>
    <t>+91-8551781487</t>
  </si>
  <si>
    <t>CRM-01818</t>
  </si>
  <si>
    <t>mehak.singh@mediplusanalytics.com</t>
  </si>
  <si>
    <t>+91-7673522603</t>
  </si>
  <si>
    <t>CRM-01819</t>
  </si>
  <si>
    <t>kavya.mishra@techaxisventures.com</t>
  </si>
  <si>
    <t>+91-8377189107</t>
  </si>
  <si>
    <t>CRM-01820</t>
  </si>
  <si>
    <t>isha.verma@skillforgeanalytic.com</t>
  </si>
  <si>
    <t>+91-8228867435</t>
  </si>
  <si>
    <t>CRM-01821</t>
  </si>
  <si>
    <t>divya.bose@cloudnestenterpris.com</t>
  </si>
  <si>
    <t>+91-7017869160</t>
  </si>
  <si>
    <t>CRM-01822</t>
  </si>
  <si>
    <t>tanvi.gupta@insightwaveenterpr.com</t>
  </si>
  <si>
    <t>+91-8330471670</t>
  </si>
  <si>
    <t>CRM-01823</t>
  </si>
  <si>
    <t>amit.jain@educoresystems.com</t>
  </si>
  <si>
    <t>+91-7264147845</t>
  </si>
  <si>
    <t>CRM-01824</t>
  </si>
  <si>
    <t>ritika.verma@brightpathanalytic.com</t>
  </si>
  <si>
    <t>+91-8238182838</t>
  </si>
  <si>
    <t>CRM-01825</t>
  </si>
  <si>
    <t>nandini.malhotra@educoresolutions.com</t>
  </si>
  <si>
    <t>+91-9974091107</t>
  </si>
  <si>
    <t>CRM-01826</t>
  </si>
  <si>
    <t>Harsh Khan</t>
  </si>
  <si>
    <t>harsh.khan@databridgeanalytic.com</t>
  </si>
  <si>
    <t>+91-7591462106</t>
  </si>
  <si>
    <t>CRM-01827</t>
  </si>
  <si>
    <t>riya.malhotra@primeventures.com</t>
  </si>
  <si>
    <t>+91-9036741002</t>
  </si>
  <si>
    <t>CRM-01828</t>
  </si>
  <si>
    <t>abhishek.das@insightwaveventure.com</t>
  </si>
  <si>
    <t>+91-9367354426</t>
  </si>
  <si>
    <t>CRM-01829</t>
  </si>
  <si>
    <t>neha.singh@growthlabservices.com</t>
  </si>
  <si>
    <t>+91-7448798179</t>
  </si>
  <si>
    <t>CRM-01830</t>
  </si>
  <si>
    <t>+91-9541060130</t>
  </si>
  <si>
    <t>CRM-01831</t>
  </si>
  <si>
    <t>harsh.iyer@bluepeakconsulting.com</t>
  </si>
  <si>
    <t>+91-9439111240</t>
  </si>
  <si>
    <t>CRM-01832</t>
  </si>
  <si>
    <t>ritika.saxena@urbanedgetechnolog.com</t>
  </si>
  <si>
    <t>+91-9149896558</t>
  </si>
  <si>
    <t>CRM-01833</t>
  </si>
  <si>
    <t>rahul.chopra@growthlabconsultin.com</t>
  </si>
  <si>
    <t>+91-7628244567</t>
  </si>
  <si>
    <t>CRM-01834</t>
  </si>
  <si>
    <t>manish.verma@growthlabventures.com</t>
  </si>
  <si>
    <t>+91-9594543871</t>
  </si>
  <si>
    <t>CRM-01835</t>
  </si>
  <si>
    <t>Aditi Joshi</t>
  </si>
  <si>
    <t>aditi.joshi@mediplussystems.com</t>
  </si>
  <si>
    <t>+91-9920335136</t>
  </si>
  <si>
    <t>CRM-01836</t>
  </si>
  <si>
    <t>abhishek.rao@bluepeakgroup.com</t>
  </si>
  <si>
    <t>+91-7553767694</t>
  </si>
  <si>
    <t>CRM-01837</t>
  </si>
  <si>
    <t>amit.malhotra@educoretechnologie.com</t>
  </si>
  <si>
    <t>+91-7577564956</t>
  </si>
  <si>
    <t>CRM-01838</t>
  </si>
  <si>
    <t>nitin.khan@nextgenservices.com</t>
  </si>
  <si>
    <t>+91-8198172784</t>
  </si>
  <si>
    <t>CRM-01839</t>
  </si>
  <si>
    <t>mohan.chopra@mediplusconsulting.com</t>
  </si>
  <si>
    <t>+91-8651430488</t>
  </si>
  <si>
    <t>CRM-01840</t>
  </si>
  <si>
    <t>deepak.sharma@finedgesystems.com</t>
  </si>
  <si>
    <t>+91-9197743212</t>
  </si>
  <si>
    <t>CRM-01841</t>
  </si>
  <si>
    <t>mehak.khan@bluepeakgroup.com</t>
  </si>
  <si>
    <t>+91-7782779280</t>
  </si>
  <si>
    <t>CRM-01842</t>
  </si>
  <si>
    <t>isha.gupta@cloudnestventures.com</t>
  </si>
  <si>
    <t>+91-9733764791</t>
  </si>
  <si>
    <t>CRM-01843</t>
  </si>
  <si>
    <t>rakesh.mehta@techaxisenterprise.com</t>
  </si>
  <si>
    <t>+91-9195334078</t>
  </si>
  <si>
    <t>CRM-01844</t>
  </si>
  <si>
    <t>tanvi.iyer@cloudnestanalytics.com</t>
  </si>
  <si>
    <t>+91-7150597803</t>
  </si>
  <si>
    <t>CRM-01845</t>
  </si>
  <si>
    <t>rakesh.mehta@urbanedgesolutions.com</t>
  </si>
  <si>
    <t>+91-7245128527</t>
  </si>
  <si>
    <t>CRM-01846</t>
  </si>
  <si>
    <t>isha.jain@techaxissolutions.com</t>
  </si>
  <si>
    <t>+91-8281728355</t>
  </si>
  <si>
    <t>CRM-01847</t>
  </si>
  <si>
    <t>suresh.chopra@primesystems.com</t>
  </si>
  <si>
    <t>+91-9457315206</t>
  </si>
  <si>
    <t>CRM-01848</t>
  </si>
  <si>
    <t>siddharth.mehta@urbanedgesolutions.com</t>
  </si>
  <si>
    <t>+91-9372297395</t>
  </si>
  <si>
    <t>CRM-01849</t>
  </si>
  <si>
    <t>rakesh.verma@growthlabsystems.com</t>
  </si>
  <si>
    <t>+91-7280963991</t>
  </si>
  <si>
    <t>CRM-01850</t>
  </si>
  <si>
    <t>rahul.malhotra@primelabs.com</t>
  </si>
  <si>
    <t>+91-7059995427</t>
  </si>
  <si>
    <t>CRM-01851</t>
  </si>
  <si>
    <t>varun.jain@skillforgesystems.com</t>
  </si>
  <si>
    <t>+91-8267038569</t>
  </si>
  <si>
    <t>CRM-01852</t>
  </si>
  <si>
    <t>kavya.saxena@databridgeventures.com</t>
  </si>
  <si>
    <t>+91-8897762737</t>
  </si>
  <si>
    <t>CRM-01853</t>
  </si>
  <si>
    <t>ritika.agarwal@cloudnestlabs.com</t>
  </si>
  <si>
    <t>+91-7634252300</t>
  </si>
  <si>
    <t>CRM-01854</t>
  </si>
  <si>
    <t>+91-7685075239</t>
  </si>
  <si>
    <t>CRM-01855</t>
  </si>
  <si>
    <t>manish.kapoor@bluepeakenterprise.com</t>
  </si>
  <si>
    <t>+91-9664143582</t>
  </si>
  <si>
    <t>CRM-01856</t>
  </si>
  <si>
    <t>mohan.mehta@mediplusservices.com</t>
  </si>
  <si>
    <t>+91-7498371366</t>
  </si>
  <si>
    <t>CRM-01857</t>
  </si>
  <si>
    <t>amit.nair@skillforgetechnolo.com</t>
  </si>
  <si>
    <t>+91-8733582821</t>
  </si>
  <si>
    <t>CRM-01858</t>
  </si>
  <si>
    <t>neha.joshi@mediplussystems.com</t>
  </si>
  <si>
    <t>+91-9215441568</t>
  </si>
  <si>
    <t>CRM-01859</t>
  </si>
  <si>
    <t>mehak.bose@insightwaveconsult.com</t>
  </si>
  <si>
    <t>+91-9044828146</t>
  </si>
  <si>
    <t>CRM-01860</t>
  </si>
  <si>
    <t>divya.mehta@insightwaveenterpr.com</t>
  </si>
  <si>
    <t>+91-9971772197</t>
  </si>
  <si>
    <t>CRM-01861</t>
  </si>
  <si>
    <t>deepak.patel@nextgenventures.com</t>
  </si>
  <si>
    <t>+91-9479791793</t>
  </si>
  <si>
    <t>CRM-01862</t>
  </si>
  <si>
    <t>mehak.gupta@mediplusventures.com</t>
  </si>
  <si>
    <t>+91-9010550185</t>
  </si>
  <si>
    <t>CRM-01863</t>
  </si>
  <si>
    <t>tanvi.saxena@educoreanalytics.com</t>
  </si>
  <si>
    <t>+91-9712548220</t>
  </si>
  <si>
    <t>CRM-01864</t>
  </si>
  <si>
    <t>pooja.sharma@medipluslabs.com</t>
  </si>
  <si>
    <t>+91-7087320650</t>
  </si>
  <si>
    <t>CRM-01865</t>
  </si>
  <si>
    <t>mehak.malhotra@techaxisgroup.com</t>
  </si>
  <si>
    <t>+91-9932047451</t>
  </si>
  <si>
    <t>CRM-01866</t>
  </si>
  <si>
    <t>manish.khan@insightwaveconsult.com</t>
  </si>
  <si>
    <t>+91-9633066672</t>
  </si>
  <si>
    <t>CRM-01867</t>
  </si>
  <si>
    <t>rahul.chopra@urbanedgesolutions.com</t>
  </si>
  <si>
    <t>+91-7953975211</t>
  </si>
  <si>
    <t>CRM-01868</t>
  </si>
  <si>
    <t>isha.mishra@cloudnestanalytics.com</t>
  </si>
  <si>
    <t>+91-7246385927</t>
  </si>
  <si>
    <t>CRM-01869</t>
  </si>
  <si>
    <t>siddharth.khan@educoretechnologie.com</t>
  </si>
  <si>
    <t>+91-7350068688</t>
  </si>
  <si>
    <t>CRM-01870</t>
  </si>
  <si>
    <t>varun.chopra@mediplusanalytics.com</t>
  </si>
  <si>
    <t>+91-7512110621</t>
  </si>
  <si>
    <t>CRM-01871</t>
  </si>
  <si>
    <t>arjun.sharma@cloudnestsolutions.com</t>
  </si>
  <si>
    <t>+91-8385112022</t>
  </si>
  <si>
    <t>CRM-01872</t>
  </si>
  <si>
    <t>suresh.sharma@databridgeventures.com</t>
  </si>
  <si>
    <t>+91-9977886061</t>
  </si>
  <si>
    <t>CRM-01873</t>
  </si>
  <si>
    <t>rakesh.chopra@educorelabs.com</t>
  </si>
  <si>
    <t>+91-9571558346</t>
  </si>
  <si>
    <t>CRM-01874</t>
  </si>
  <si>
    <t>suresh.mehta@novalabs.com</t>
  </si>
  <si>
    <t>+91-8825858203</t>
  </si>
  <si>
    <t>CRM-01875</t>
  </si>
  <si>
    <t>sanya.das@mediplusventures.com</t>
  </si>
  <si>
    <t>+91-7180738811</t>
  </si>
  <si>
    <t>CRM-01876</t>
  </si>
  <si>
    <t>pooja.saxena@databridgeanalytic.com</t>
  </si>
  <si>
    <t>+91-8383032511</t>
  </si>
  <si>
    <t>CRM-01877</t>
  </si>
  <si>
    <t>mohan.rao@databridgeservices.com</t>
  </si>
  <si>
    <t>+91-9588762005</t>
  </si>
  <si>
    <t>CRM-01878</t>
  </si>
  <si>
    <t>rakesh.gupta@techaxissystems.com</t>
  </si>
  <si>
    <t>+91-9929149523</t>
  </si>
  <si>
    <t>CRM-01879</t>
  </si>
  <si>
    <t>neha.bose@skillforgelabs.com</t>
  </si>
  <si>
    <t>+91-7228888782</t>
  </si>
  <si>
    <t>CRM-01880</t>
  </si>
  <si>
    <t>nandini.singh@techaxisservices.com</t>
  </si>
  <si>
    <t>+91-8970629740</t>
  </si>
  <si>
    <t>CRM-01881</t>
  </si>
  <si>
    <t>suresh.agarwal@finedgetechnologie.com</t>
  </si>
  <si>
    <t>+91-7348158500</t>
  </si>
  <si>
    <t>CRM-01882</t>
  </si>
  <si>
    <t>harsh.joshi@cloudnesttechnolog.com</t>
  </si>
  <si>
    <t>+91-7112731028</t>
  </si>
  <si>
    <t>CRM-01883</t>
  </si>
  <si>
    <t>Nandini Das</t>
  </si>
  <si>
    <t>nandini.das@techaxissystems.com</t>
  </si>
  <si>
    <t>+91-7681416082</t>
  </si>
  <si>
    <t>CRM-01884</t>
  </si>
  <si>
    <t>simran.chopra@marketpulseconsult.com</t>
  </si>
  <si>
    <t>+91-9828270180</t>
  </si>
  <si>
    <t>CRM-01885</t>
  </si>
  <si>
    <t>karan.mehta@brightpathsolution.com</t>
  </si>
  <si>
    <t>+91-8170826310</t>
  </si>
  <si>
    <t>CRM-01886</t>
  </si>
  <si>
    <t>kavya.verma@techaxisventures.com</t>
  </si>
  <si>
    <t>+91-7484554602</t>
  </si>
  <si>
    <t>CRM-01887</t>
  </si>
  <si>
    <t>mohan.mehta@nextgenservices.com</t>
  </si>
  <si>
    <t>+91-7730996812</t>
  </si>
  <si>
    <t>CRM-01888</t>
  </si>
  <si>
    <t>rahul.malhotra@primeconsulting.com</t>
  </si>
  <si>
    <t>+91-7563720173</t>
  </si>
  <si>
    <t>CRM-01889</t>
  </si>
  <si>
    <t>rahul.jain@cloudnestlabs.com</t>
  </si>
  <si>
    <t>+91-8896849588</t>
  </si>
  <si>
    <t>CRM-01890</t>
  </si>
  <si>
    <t>+91-9517588585</t>
  </si>
  <si>
    <t>CRM-01891</t>
  </si>
  <si>
    <t>nandini.rao@novaventures.com</t>
  </si>
  <si>
    <t>+91-8858098907</t>
  </si>
  <si>
    <t>CRM-01892</t>
  </si>
  <si>
    <t>suresh.singh@urbanedgeanalytics.com</t>
  </si>
  <si>
    <t>+91-8768051958</t>
  </si>
  <si>
    <t>CRM-01893</t>
  </si>
  <si>
    <t>tanvi.nair@mediplusservices.com</t>
  </si>
  <si>
    <t>+91-9178495036</t>
  </si>
  <si>
    <t>CRM-01894</t>
  </si>
  <si>
    <t>harsh.bose@bluepeakservices.com</t>
  </si>
  <si>
    <t>+91-7734976190</t>
  </si>
  <si>
    <t>CRM-01895</t>
  </si>
  <si>
    <t>Mansi Mehta</t>
  </si>
  <si>
    <t>mansi.mehta@bluepeakventures.com</t>
  </si>
  <si>
    <t>+91-7073643409</t>
  </si>
  <si>
    <t>CRM-01896</t>
  </si>
  <si>
    <t>mohan.verma@finedgetechnologie.com</t>
  </si>
  <si>
    <t>+91-7901227481</t>
  </si>
  <si>
    <t>CRM-01897</t>
  </si>
  <si>
    <t>nandini.kapoor@databridgesolution.com</t>
  </si>
  <si>
    <t>+91-7804274658</t>
  </si>
  <si>
    <t>CRM-01898</t>
  </si>
  <si>
    <t>vivek.verma@primesystems.com</t>
  </si>
  <si>
    <t>+91-9379277913</t>
  </si>
  <si>
    <t>CRM-01899</t>
  </si>
  <si>
    <t>mohan.kapoor@growthlabconsultin.com</t>
  </si>
  <si>
    <t>+91-8706938376</t>
  </si>
  <si>
    <t>CRM-01900</t>
  </si>
  <si>
    <t>riya.kapoor@novaenterprises.com</t>
  </si>
  <si>
    <t>+91-9961996765</t>
  </si>
  <si>
    <t>CRM-01901</t>
  </si>
  <si>
    <t>harsh.saxena@educorelabs.com</t>
  </si>
  <si>
    <t>+91-8842076430</t>
  </si>
  <si>
    <t>CRM-01902</t>
  </si>
  <si>
    <t>siddharth.khan@brightpathenterpri.com</t>
  </si>
  <si>
    <t>+91-9214378578</t>
  </si>
  <si>
    <t>CRM-01903</t>
  </si>
  <si>
    <t>nandini.iyer@marketpulsesolutio.com</t>
  </si>
  <si>
    <t>+91-8242715156</t>
  </si>
  <si>
    <t>CRM-01904</t>
  </si>
  <si>
    <t>mohan.kapoor@finedgesolutions.com</t>
  </si>
  <si>
    <t>+91-9592168223</t>
  </si>
  <si>
    <t>CRM-01905</t>
  </si>
  <si>
    <t>simran.agarwal@bluepeaklabs.com</t>
  </si>
  <si>
    <t>+91-7846938992</t>
  </si>
  <si>
    <t>CRM-01906</t>
  </si>
  <si>
    <t>shruti.khan@novasolutions.com</t>
  </si>
  <si>
    <t>+91-8686718214</t>
  </si>
  <si>
    <t>CRM-01907</t>
  </si>
  <si>
    <t>deepak.bose@databridgesystems.com</t>
  </si>
  <si>
    <t>+91-9992264680</t>
  </si>
  <si>
    <t>CRM-01908</t>
  </si>
  <si>
    <t>tanvi.singh@urbanedgelabs.com</t>
  </si>
  <si>
    <t>+91-7203715417</t>
  </si>
  <si>
    <t>CRM-01909</t>
  </si>
  <si>
    <t>shruti.patel@techaxissolutions.com</t>
  </si>
  <si>
    <t>+91-7291629292</t>
  </si>
  <si>
    <t>CRM-01910</t>
  </si>
  <si>
    <t>mohan.joshi@educoreanalytics.com</t>
  </si>
  <si>
    <t>+91-8453462886</t>
  </si>
  <si>
    <t>CRM-01911</t>
  </si>
  <si>
    <t>nitin.malhotra@bluepeakconsulting.com</t>
  </si>
  <si>
    <t>+91-8615914706</t>
  </si>
  <si>
    <t>CRM-01912</t>
  </si>
  <si>
    <t>deepak.joshi@skillforgelabs.com</t>
  </si>
  <si>
    <t>+91-9966884485</t>
  </si>
  <si>
    <t>CRM-01913</t>
  </si>
  <si>
    <t>kavya.gupta@nextgenventures.com</t>
  </si>
  <si>
    <t>+91-9291967362</t>
  </si>
  <si>
    <t>CRM-01914</t>
  </si>
  <si>
    <t>Kavya Iyer</t>
  </si>
  <si>
    <t>kavya.iyer@urbanedgeenterpris.com</t>
  </si>
  <si>
    <t>+91-7205571029</t>
  </si>
  <si>
    <t>CRM-01915</t>
  </si>
  <si>
    <t>riya.singh@bluepeakgroup.com</t>
  </si>
  <si>
    <t>+91-9975284308</t>
  </si>
  <si>
    <t>CRM-01916</t>
  </si>
  <si>
    <t>pooja.agarwal@cloudnestsolutions.com</t>
  </si>
  <si>
    <t>+91-8127413317</t>
  </si>
  <si>
    <t>CRM-01917</t>
  </si>
  <si>
    <t>pooja.gupta@insightwaveventure.com</t>
  </si>
  <si>
    <t>+91-9396662438</t>
  </si>
  <si>
    <t>CRM-01918</t>
  </si>
  <si>
    <t>arjun.das@educoretechnologie.com</t>
  </si>
  <si>
    <t>+91-7537874220</t>
  </si>
  <si>
    <t>CRM-01919</t>
  </si>
  <si>
    <t>rakesh.nair@bluepeakservices.com</t>
  </si>
  <si>
    <t>+91-8852036102</t>
  </si>
  <si>
    <t>CRM-01920</t>
  </si>
  <si>
    <t>arjun.patel@skillforgesystems.com</t>
  </si>
  <si>
    <t>+91-7632064721</t>
  </si>
  <si>
    <t>CRM-01921</t>
  </si>
  <si>
    <t>nitin.iyer@primetechnologies.com</t>
  </si>
  <si>
    <t>+91-7204046714</t>
  </si>
  <si>
    <t>CRM-01922</t>
  </si>
  <si>
    <t>riya.das@educoreenterprises.com</t>
  </si>
  <si>
    <t>+91-8160493421</t>
  </si>
  <si>
    <t>CRM-01923</t>
  </si>
  <si>
    <t>pooja.bose@techaxisgroup.com</t>
  </si>
  <si>
    <t>+91-9230921847</t>
  </si>
  <si>
    <t>CRM-01924</t>
  </si>
  <si>
    <t>Pooja Jain</t>
  </si>
  <si>
    <t>pooja.jain@primeservices.com</t>
  </si>
  <si>
    <t>+91-9023477367</t>
  </si>
  <si>
    <t>CRM-01925</t>
  </si>
  <si>
    <t>deepak.saxena@skillforgeanalytic.com</t>
  </si>
  <si>
    <t>+91-8855776440</t>
  </si>
  <si>
    <t>CRM-01926</t>
  </si>
  <si>
    <t>varun.rao@mediplussystems.com</t>
  </si>
  <si>
    <t>+91-8189273364</t>
  </si>
  <si>
    <t>CRM-01927</t>
  </si>
  <si>
    <t>abhishek.verma@cloudnestventures.com</t>
  </si>
  <si>
    <t>+91-8806579071</t>
  </si>
  <si>
    <t>CRM-01928</t>
  </si>
  <si>
    <t>simran.malhotra@growthlabservices.com</t>
  </si>
  <si>
    <t>+91-7799971492</t>
  </si>
  <si>
    <t>CRM-01929</t>
  </si>
  <si>
    <t>manish.joshi@skillforgeenterpri.com</t>
  </si>
  <si>
    <t>+91-8025253436</t>
  </si>
  <si>
    <t>CRM-01930</t>
  </si>
  <si>
    <t>abhishek.singh@marketpulseconsult.com</t>
  </si>
  <si>
    <t>+91-9773671076</t>
  </si>
  <si>
    <t>CRM-01931</t>
  </si>
  <si>
    <t>sanya.das@databridgetechnolo.com</t>
  </si>
  <si>
    <t>+91-8016482069</t>
  </si>
  <si>
    <t>CRM-01932</t>
  </si>
  <si>
    <t>pooja.rao@insightwavesolutio.com</t>
  </si>
  <si>
    <t>+91-7701355691</t>
  </si>
  <si>
    <t>CRM-01933</t>
  </si>
  <si>
    <t>nitin.bose@finedgeservices.com</t>
  </si>
  <si>
    <t>+91-9006092818</t>
  </si>
  <si>
    <t>CRM-01934</t>
  </si>
  <si>
    <t>nandini.jain@techaxisconsulting.com</t>
  </si>
  <si>
    <t>+91-9222317555</t>
  </si>
  <si>
    <t>CRM-01935</t>
  </si>
  <si>
    <t>arjun.gupta@techaxislabs.com</t>
  </si>
  <si>
    <t>+91-7427531877</t>
  </si>
  <si>
    <t>CRM-01936</t>
  </si>
  <si>
    <t>pooja.malhotra@cloudnestconsultin.com</t>
  </si>
  <si>
    <t>+91-8078472233</t>
  </si>
  <si>
    <t>CRM-01937</t>
  </si>
  <si>
    <t>kavya.malhotra@marketpulselabs.com</t>
  </si>
  <si>
    <t>+91-9354355157</t>
  </si>
  <si>
    <t>CRM-01938</t>
  </si>
  <si>
    <t>divya.bose@skillforgeventures.com</t>
  </si>
  <si>
    <t>+91-7695715626</t>
  </si>
  <si>
    <t>CRM-01939</t>
  </si>
  <si>
    <t>pooja.iyer@educorelabs.com</t>
  </si>
  <si>
    <t>+91-9389644549</t>
  </si>
  <si>
    <t>CRM-01940</t>
  </si>
  <si>
    <t>riya.chopra@databridgesolution.com</t>
  </si>
  <si>
    <t>+91-7020028476</t>
  </si>
  <si>
    <t>CRM-01941</t>
  </si>
  <si>
    <t>rakesh.gupta@primesolutions.com</t>
  </si>
  <si>
    <t>+91-9647590915</t>
  </si>
  <si>
    <t>CRM-01942</t>
  </si>
  <si>
    <t>vivek.iyer@mediplusanalytics.com</t>
  </si>
  <si>
    <t>+91-9068147446</t>
  </si>
  <si>
    <t>CRM-01943</t>
  </si>
  <si>
    <t>pooja.malhotra@growthlabtechnolog.com</t>
  </si>
  <si>
    <t>+91-7868881676</t>
  </si>
  <si>
    <t>CRM-01944</t>
  </si>
  <si>
    <t>karan.mishra@cloudnestservices.com</t>
  </si>
  <si>
    <t>+91-7439782442</t>
  </si>
  <si>
    <t>CRM-01945</t>
  </si>
  <si>
    <t>ritika.bose@cloudnestsolutions.com</t>
  </si>
  <si>
    <t>+91-8393928622</t>
  </si>
  <si>
    <t>CRM-01946</t>
  </si>
  <si>
    <t>mehak.sharma@skillforgetechnolo.com</t>
  </si>
  <si>
    <t>+91-8303945088</t>
  </si>
  <si>
    <t>CRM-01947</t>
  </si>
  <si>
    <t>pooja.nair@novaenterprises.com</t>
  </si>
  <si>
    <t>+91-7342767757</t>
  </si>
  <si>
    <t>CRM-01948</t>
  </si>
  <si>
    <t>rakesh.sharma@marketpulsegroup.com</t>
  </si>
  <si>
    <t>+91-9676920332</t>
  </si>
  <si>
    <t>CRM-01949</t>
  </si>
  <si>
    <t>riya.saxena@nextgenlabs.com</t>
  </si>
  <si>
    <t>+91-7488869468</t>
  </si>
  <si>
    <t>CRM-01950</t>
  </si>
  <si>
    <t>simran.chopra@marketpulselabs.com</t>
  </si>
  <si>
    <t>+91-7298171119</t>
  </si>
  <si>
    <t>CRM-01951</t>
  </si>
  <si>
    <t>arjun.das@primeanalytics.com</t>
  </si>
  <si>
    <t>+91-8382743638</t>
  </si>
  <si>
    <t>CRM-01952</t>
  </si>
  <si>
    <t>amit.kapoor@finedgesystems.com</t>
  </si>
  <si>
    <t>+91-7020661449</t>
  </si>
  <si>
    <t>CRM-01953</t>
  </si>
  <si>
    <t>siddharth.mishra@techaxisventures.com</t>
  </si>
  <si>
    <t>+91-7812320958</t>
  </si>
  <si>
    <t>CRM-01954</t>
  </si>
  <si>
    <t>pooja.bose@skillforgeservices.com</t>
  </si>
  <si>
    <t>+91-7964911875</t>
  </si>
  <si>
    <t>CRM-01955</t>
  </si>
  <si>
    <t>karan.mehta@insightwaveservice.com</t>
  </si>
  <si>
    <t>+91-9764011479</t>
  </si>
  <si>
    <t>CRM-01956</t>
  </si>
  <si>
    <t>suresh.das@techaxisservices.com</t>
  </si>
  <si>
    <t>+91-8286398224</t>
  </si>
  <si>
    <t>CRM-01957</t>
  </si>
  <si>
    <t>kavya.das@growthlabventures.com</t>
  </si>
  <si>
    <t>+91-9534565012</t>
  </si>
  <si>
    <t>CRM-01958</t>
  </si>
  <si>
    <t>suresh.joshi@skillforgesolution.com</t>
  </si>
  <si>
    <t>+91-9287956104</t>
  </si>
  <si>
    <t>CRM-01959</t>
  </si>
  <si>
    <t>harsh.khan@primesolutions.com</t>
  </si>
  <si>
    <t>+91-8844554799</t>
  </si>
  <si>
    <t>CRM-01960</t>
  </si>
  <si>
    <t>varun.verma@techaxisventures.com</t>
  </si>
  <si>
    <t>+91-7033476244</t>
  </si>
  <si>
    <t>CRM-01961</t>
  </si>
  <si>
    <t>pooja.jain@nextgenservices.com</t>
  </si>
  <si>
    <t>+91-8592986334</t>
  </si>
  <si>
    <t>CRM-01962</t>
  </si>
  <si>
    <t>nitin.iyer@primeventures.com</t>
  </si>
  <si>
    <t>+91-8505990906</t>
  </si>
  <si>
    <t>CRM-01963</t>
  </si>
  <si>
    <t>pooja.jain@cloudnestsystems.com</t>
  </si>
  <si>
    <t>+91-9450012954</t>
  </si>
  <si>
    <t>CRM-01964</t>
  </si>
  <si>
    <t>siddharth.sharma@marketpulsetechnol.com</t>
  </si>
  <si>
    <t>+91-8720520655</t>
  </si>
  <si>
    <t>CRM-01965</t>
  </si>
  <si>
    <t>tanvi.saxena@insightwavelabs.com</t>
  </si>
  <si>
    <t>+91-9200018087</t>
  </si>
  <si>
    <t>CRM-01966</t>
  </si>
  <si>
    <t>mehak.mishra@novaservices.com</t>
  </si>
  <si>
    <t>+91-7572813130</t>
  </si>
  <si>
    <t>CRM-01967</t>
  </si>
  <si>
    <t>siddharth.saxena@educoreservices.com</t>
  </si>
  <si>
    <t>+91-7578725384</t>
  </si>
  <si>
    <t>CRM-01968</t>
  </si>
  <si>
    <t>mohan.jain@skillforgegroup.com</t>
  </si>
  <si>
    <t>+91-9449834142</t>
  </si>
  <si>
    <t>CRM-01969</t>
  </si>
  <si>
    <t>abhishek.malhotra@databridgeconsulti.com</t>
  </si>
  <si>
    <t>+91-7537128723</t>
  </si>
  <si>
    <t>CRM-01970</t>
  </si>
  <si>
    <t>harsh.joshi@educoretechnologie.com</t>
  </si>
  <si>
    <t>+91-8312990161</t>
  </si>
  <si>
    <t>CRM-01971</t>
  </si>
  <si>
    <t>rahul.chopra@databridgeanalytic.com</t>
  </si>
  <si>
    <t>+91-7482775370</t>
  </si>
  <si>
    <t>CRM-01972</t>
  </si>
  <si>
    <t>harsh.kapoor@brightpathconsulti.com</t>
  </si>
  <si>
    <t>+91-8393890206</t>
  </si>
  <si>
    <t>CRM-01973</t>
  </si>
  <si>
    <t>isha.mehta@bluepeakservices.com</t>
  </si>
  <si>
    <t>+91-7896973047</t>
  </si>
  <si>
    <t>CRM-01974</t>
  </si>
  <si>
    <t>suresh.malhotra@marketpulsesolutio.com</t>
  </si>
  <si>
    <t>+91-7169251347</t>
  </si>
  <si>
    <t>CRM-01975</t>
  </si>
  <si>
    <t>riya.iyer@primegroup.com</t>
  </si>
  <si>
    <t>+91-8796219226</t>
  </si>
  <si>
    <t>CRM-01976</t>
  </si>
  <si>
    <t>rahul.verma@bluepeakgroup.com</t>
  </si>
  <si>
    <t>+91-9615983331</t>
  </si>
  <si>
    <t>CRM-01977</t>
  </si>
  <si>
    <t>deepak.verma@brightpathenterpri.com</t>
  </si>
  <si>
    <t>+91-9243246143</t>
  </si>
  <si>
    <t>CRM-01978</t>
  </si>
  <si>
    <t>aditi.verma@medipluslabs.com</t>
  </si>
  <si>
    <t>+91-7380915126</t>
  </si>
  <si>
    <t>CRM-01979</t>
  </si>
  <si>
    <t>tanvi.malhotra@primegroup.com</t>
  </si>
  <si>
    <t>+91-9003487009</t>
  </si>
  <si>
    <t>CRM-01980</t>
  </si>
  <si>
    <t>shruti.khan@nextgensystems.com</t>
  </si>
  <si>
    <t>+91-7326790472</t>
  </si>
  <si>
    <t>CRM-01981</t>
  </si>
  <si>
    <t>karan.bose@databridgesolution.com</t>
  </si>
  <si>
    <t>+91-7033578755</t>
  </si>
  <si>
    <t>CRM-01982</t>
  </si>
  <si>
    <t>simran.saxena@growthlabenterpris.com</t>
  </si>
  <si>
    <t>+91-7530623328</t>
  </si>
  <si>
    <t>CRM-01983</t>
  </si>
  <si>
    <t>Isha Khan</t>
  </si>
  <si>
    <t>isha.khan@insightwavesystems.com</t>
  </si>
  <si>
    <t>+91-7897313545</t>
  </si>
  <si>
    <t>CRM-01984</t>
  </si>
  <si>
    <t>nitin.nair@growthlabenterpris.com</t>
  </si>
  <si>
    <t>+91-7442544691</t>
  </si>
  <si>
    <t>CRM-01985</t>
  </si>
  <si>
    <t>tanvi.gupta@insightwaveservice.com</t>
  </si>
  <si>
    <t>+91-8279024392</t>
  </si>
  <si>
    <t>CRM-01986</t>
  </si>
  <si>
    <t>vivek.das@techaxislabs.com</t>
  </si>
  <si>
    <t>+91-9675860158</t>
  </si>
  <si>
    <t>CRM-01987</t>
  </si>
  <si>
    <t>manish.gupta@urbanedgeenterpris.com</t>
  </si>
  <si>
    <t>+91-7192751220</t>
  </si>
  <si>
    <t>CRM-01988</t>
  </si>
  <si>
    <t>rakesh.joshi@primeconsulting.com</t>
  </si>
  <si>
    <t>+91-8607750607</t>
  </si>
  <si>
    <t>CRM-01989</t>
  </si>
  <si>
    <t>manish.singh@novatechnologies.com</t>
  </si>
  <si>
    <t>+91-9073954713</t>
  </si>
  <si>
    <t>CRM-01990</t>
  </si>
  <si>
    <t>karan.malhotra@marketpulselabs.com</t>
  </si>
  <si>
    <t>+91-9423429580</t>
  </si>
  <si>
    <t>CRM-01991</t>
  </si>
  <si>
    <t>+91-7409678737</t>
  </si>
  <si>
    <t>CRM-01992</t>
  </si>
  <si>
    <t>mansi.malhotra@bluepeakventures.com</t>
  </si>
  <si>
    <t>+91-8947892692</t>
  </si>
  <si>
    <t>CRM-01993</t>
  </si>
  <si>
    <t>nitin.verma@nextgenservices.com</t>
  </si>
  <si>
    <t>+91-8246670469</t>
  </si>
  <si>
    <t>CRM-01994</t>
  </si>
  <si>
    <t>nitin.malhotra@databridgesolution.com</t>
  </si>
  <si>
    <t>+91-9747012711</t>
  </si>
  <si>
    <t>CRM-01995</t>
  </si>
  <si>
    <t>karan.mishra@medipluslabs.com</t>
  </si>
  <si>
    <t>+91-9938353486</t>
  </si>
  <si>
    <t>CRM-01996</t>
  </si>
  <si>
    <t>nitin.joshi@finedgeenterprises.com</t>
  </si>
  <si>
    <t>+91-7762934333</t>
  </si>
  <si>
    <t>CRM-01997</t>
  </si>
  <si>
    <t>amit.nair@primetechnologies.com</t>
  </si>
  <si>
    <t>+91-7208967355</t>
  </si>
  <si>
    <t>CRM-01998</t>
  </si>
  <si>
    <t>pooja.mehta@growthlabsystems.com</t>
  </si>
  <si>
    <t>+91-7055320844</t>
  </si>
  <si>
    <t>CRM-01999</t>
  </si>
  <si>
    <t>varun.joshi@skillforgeservices.com</t>
  </si>
  <si>
    <t>+91-8794530301</t>
  </si>
  <si>
    <t>CRM-02000</t>
  </si>
  <si>
    <t>suresh.saxena@insightwaveventure.com</t>
  </si>
  <si>
    <t>+91-8333169001</t>
  </si>
  <si>
    <t>Column Name</t>
  </si>
  <si>
    <t>Description</t>
  </si>
  <si>
    <t>Example / Logic</t>
  </si>
  <si>
    <t>Used For</t>
  </si>
  <si>
    <t>Unique ID assigned to each lead.</t>
  </si>
  <si>
    <t>Counting unique leads, validation</t>
  </si>
  <si>
    <t>Date when the lead was created in CRM.</t>
  </si>
  <si>
    <t>2025-01-15</t>
  </si>
  <si>
    <t>Date trend, lead ageing</t>
  </si>
  <si>
    <t>Contact person for the lead.</t>
  </si>
  <si>
    <t>Record-level review</t>
  </si>
  <si>
    <t>Business/account name.</t>
  </si>
  <si>
    <t>Account tracking</t>
  </si>
  <si>
    <t>Customer email address.</t>
  </si>
  <si>
    <t>name@company.com</t>
  </si>
  <si>
    <t>Contact reference</t>
  </si>
  <si>
    <t>Customer phone number.</t>
  </si>
  <si>
    <t>+91-XXXXXXXXXX</t>
  </si>
  <si>
    <t>Sales region where lead belongs.</t>
  </si>
  <si>
    <t>North/South/West/East/Central</t>
  </si>
  <si>
    <t>Regional performance filter</t>
  </si>
  <si>
    <t>City linked to region.</t>
  </si>
  <si>
    <t>Mumbai, Delhi, Bengaluru</t>
  </si>
  <si>
    <t>Location-level drill-down</t>
  </si>
  <si>
    <t>Marketing or sales channel that generated the lead.</t>
  </si>
  <si>
    <t>Website, LinkedIn, Referral</t>
  </si>
  <si>
    <t>Source-wise conversion analysis</t>
  </si>
  <si>
    <t>Product/service requested by customer.</t>
  </si>
  <si>
    <t>Product performance analysis</t>
  </si>
  <si>
    <t>Type of customer organization.</t>
  </si>
  <si>
    <t>Startup, SME, Enterprise</t>
  </si>
  <si>
    <t>Segment filter</t>
  </si>
  <si>
    <t>Owner of the lead.</t>
  </si>
  <si>
    <t>Sales rep productivity</t>
  </si>
  <si>
    <t>Current business status of the lead.</t>
  </si>
  <si>
    <t>Converted, Follow Up, Lost</t>
  </si>
  <si>
    <t>Pipeline and funnel analysis</t>
  </si>
  <si>
    <t>Sales process stage mapped from lead status.</t>
  </si>
  <si>
    <t>Qualification, Proposal, Closed Won</t>
  </si>
  <si>
    <t>Process flow tracking</t>
  </si>
  <si>
    <t>Estimated or actual deal value in INR.</t>
  </si>
  <si>
    <t>250000</t>
  </si>
  <si>
    <t>Revenue and pipeline value</t>
  </si>
  <si>
    <t>Probability of closure based on stage.</t>
  </si>
  <si>
    <t>0 to 100</t>
  </si>
  <si>
    <t>Weighted pipeline</t>
  </si>
  <si>
    <t>Expected or actual closure date.</t>
  </si>
  <si>
    <t>2026-03-20</t>
  </si>
  <si>
    <t>Forecasting</t>
  </si>
  <si>
    <t>Next follow-up date for open leads.</t>
  </si>
  <si>
    <t>2026-06-18</t>
  </si>
  <si>
    <t>Overdue follow-up tracking</t>
  </si>
  <si>
    <t>Most recent customer contact date.</t>
  </si>
  <si>
    <t>2026-06-10</t>
  </si>
  <si>
    <t>Sales activity recency</t>
  </si>
  <si>
    <t>Actual closure date for converted/lost leads.</t>
  </si>
  <si>
    <t>Blank for open leads</t>
  </si>
  <si>
    <t>Days to close, closed revenue</t>
  </si>
  <si>
    <t>Formula flag identifying converted leads.</t>
  </si>
  <si>
    <t>IF status = "Converted", then Yes</t>
  </si>
  <si>
    <t>Conversion rate</t>
  </si>
  <si>
    <t>Reason why lead was lost or marked not interested.</t>
  </si>
  <si>
    <t>Lost opportunity analysis</t>
  </si>
  <si>
    <t>Formula calculating days between created and closed date.</t>
  </si>
  <si>
    <t>Closed_Date - Created_Date</t>
  </si>
  <si>
    <t>Cycle time</t>
  </si>
  <si>
    <t>Formula identifying overdue/open/closed follow-up status.</t>
  </si>
  <si>
    <t>Overdue, Due/Open, Closed</t>
  </si>
  <si>
    <t>UAT and action list</t>
  </si>
  <si>
    <t>Formula identifying whether a lead is open or closed.</t>
  </si>
  <si>
    <t>Open/Closed</t>
  </si>
  <si>
    <t>Open pipeline</t>
  </si>
  <si>
    <t>Formula month derived from created date.</t>
  </si>
  <si>
    <t>Jan-2025</t>
  </si>
  <si>
    <t>Monthly trend</t>
  </si>
  <si>
    <t>Formula quarter derived from created date.</t>
  </si>
  <si>
    <t>Q1 2025</t>
  </si>
  <si>
    <t>Quarterly trend</t>
  </si>
  <si>
    <t>Formula calculating lead age from created date.</t>
  </si>
  <si>
    <t>TODAY() - Created_Date</t>
  </si>
  <si>
    <t>Ageing analysis</t>
  </si>
  <si>
    <t>Formula priority based on deal value.</t>
  </si>
  <si>
    <t>High/Medium/Low</t>
  </si>
  <si>
    <t>Sales focus</t>
  </si>
  <si>
    <t>Overdue</t>
  </si>
  <si>
    <t>Open</t>
  </si>
  <si>
    <t>High</t>
  </si>
  <si>
    <t>Due/Open</t>
  </si>
  <si>
    <t>Closed</t>
  </si>
  <si>
    <t>Medium</t>
  </si>
  <si>
    <t>Low</t>
  </si>
  <si>
    <t>Not Applicable</t>
  </si>
  <si>
    <t>Month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</si>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</sst>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MDataTable" displayName="CRMDataTable" ref="A1:AC2001">
  <autoFilter ref="A1:AC2001" xr:uid="{00000000-000C-0000-FFFF-FFFF00000000}"/>
  <tableColumns count="29">
    <tableColumn id="1" xr3:uid="{00000000-0010-0000-0000-000001000000}" name="Lead_ID"/>
    <tableColumn id="2" xr3:uid="{00000000-0010-0000-0000-000002000000}" name="Created_Date"/>
    <tableColumn id="3" xr3:uid="{00000000-0010-0000-0000-000003000000}" name="Customer_Name"/>
    <tableColumn id="4" xr3:uid="{00000000-0010-0000-0000-000004000000}" name="Company_Name"/>
    <tableColumn id="5" xr3:uid="{00000000-0010-0000-0000-000005000000}" name="Contact_Email"/>
    <tableColumn id="6" xr3:uid="{00000000-0010-0000-0000-000006000000}" name="Phone_Number"/>
    <tableColumn id="7" xr3:uid="{00000000-0010-0000-0000-000007000000}" name="Region"/>
    <tableColumn id="8" xr3:uid="{00000000-0010-0000-0000-000008000000}" name="City"/>
    <tableColumn id="9" xr3:uid="{00000000-0010-0000-0000-000009000000}" name="Lead_Source"/>
    <tableColumn id="10" xr3:uid="{00000000-0010-0000-0000-00000A000000}" name="Product_Service"/>
    <tableColumn id="11" xr3:uid="{00000000-0010-0000-0000-00000B000000}" name="Customer_Segment"/>
    <tableColumn id="12" xr3:uid="{00000000-0010-0000-0000-00000C000000}" name="Sales_Representative"/>
    <tableColumn id="13" xr3:uid="{00000000-0010-0000-0000-00000D000000}" name="Lead_Status"/>
    <tableColumn id="14" xr3:uid="{00000000-0010-0000-0000-00000E000000}" name="Pipeline_Stage"/>
    <tableColumn id="15" xr3:uid="{00000000-0010-0000-0000-00000F000000}" name="Deal_Value_INR"/>
    <tableColumn id="16" xr3:uid="{00000000-0010-0000-0000-000010000000}" name="Probability_Percent"/>
    <tableColumn id="17" xr3:uid="{00000000-0010-0000-0000-000011000000}" name="Expected_Close_Date"/>
    <tableColumn id="18" xr3:uid="{00000000-0010-0000-0000-000012000000}" name="Followup_Date"/>
    <tableColumn id="19" xr3:uid="{00000000-0010-0000-0000-000013000000}" name="Last_Contacted_Date"/>
    <tableColumn id="20" xr3:uid="{00000000-0010-0000-0000-000014000000}" name="Closed_Date"/>
    <tableColumn id="21" xr3:uid="{00000000-0010-0000-0000-000015000000}" name="Conversion_Flag"/>
    <tableColumn id="22" xr3:uid="{00000000-0010-0000-0000-000016000000}" name="Lost_Reason"/>
    <tableColumn id="23" xr3:uid="{00000000-0010-0000-0000-000017000000}" name="Days_To_Close">
      <calculatedColumnFormula>IF(CRMDataTable[[#This Row],[Opportunity_Status]]="Closed",IF(CRMDataTable[[#This Row],[Closed_Date]]&gt;=CRMDataTable[[#This Row],[Created_Date]],CRMDataTable[[#This Row],[Closed_Date]]-CRMDataTable[[#This Row],[Created_Date]],"Date Error"),"")</calculatedColumnFormula>
    </tableColumn>
    <tableColumn id="24" xr3:uid="{00000000-0010-0000-0000-000018000000}" name="Followup_Status"/>
    <tableColumn id="25" xr3:uid="{00000000-0010-0000-0000-000019000000}" name="Opportunity_Status"/>
    <tableColumn id="26" xr3:uid="{00000000-0010-0000-0000-00001A000000}" name="Month"/>
    <tableColumn id="27" xr3:uid="{00000000-0010-0000-0000-00001B000000}" name="Quarter"/>
    <tableColumn id="28" xr3:uid="{00000000-0010-0000-0000-00001C000000}" name="Lead_Age_Days"/>
    <tableColumn id="29" xr3:uid="{00000000-0010-0000-0000-00001D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D30">
  <tableColumns count="4">
    <tableColumn id="1" xr3:uid="{00000000-0010-0000-0100-000001000000}" name="Column Name"/>
    <tableColumn id="2" xr3:uid="{00000000-0010-0000-0100-000002000000}" name="Description"/>
    <tableColumn id="3" xr3:uid="{00000000-0010-0000-0100-000003000000}" name="Example / Logic"/>
    <tableColumn id="4" xr3:uid="{00000000-0010-0000-0100-000004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1"/>
  <sheetViews>
    <sheetView tabSelected="1" zoomScale="97" workbookViewId="0">
      <selection activeCell="B9" sqref="B9"/>
    </sheetView>
  </sheetViews>
  <sheetFormatPr defaultRowHeight="13.8"/>
  <cols>
    <col min="1" max="1" width="12" bestFit="1" customWidth="1"/>
    <col min="2" max="2" width="16.796875" bestFit="1" customWidth="1"/>
    <col min="3" max="3" width="19.69921875" bestFit="1" customWidth="1"/>
    <col min="4" max="4" width="22.5" bestFit="1" customWidth="1"/>
    <col min="5" max="5" width="38.3984375" bestFit="1" customWidth="1"/>
    <col min="6" max="6" width="18.59765625" bestFit="1" customWidth="1"/>
    <col min="7" max="7" width="11.09765625" bestFit="1" customWidth="1"/>
    <col min="8" max="8" width="11.8984375" bestFit="1" customWidth="1"/>
    <col min="9" max="9" width="16.3984375" bestFit="1" customWidth="1"/>
    <col min="10" max="10" width="21.59765625" bestFit="1" customWidth="1"/>
    <col min="11" max="11" width="22.59765625" bestFit="1" customWidth="1"/>
    <col min="12" max="12" width="24.296875" bestFit="1" customWidth="1"/>
    <col min="13" max="13" width="15.69921875" bestFit="1" customWidth="1"/>
    <col min="14" max="14" width="18.09765625" bestFit="1" customWidth="1"/>
    <col min="15" max="15" width="19" bestFit="1" customWidth="1"/>
    <col min="16" max="16" width="22.296875" bestFit="1" customWidth="1"/>
    <col min="17" max="17" width="24.3984375" bestFit="1" customWidth="1"/>
    <col min="18" max="18" width="18" bestFit="1" customWidth="1"/>
    <col min="19" max="19" width="23.69921875" bestFit="1" customWidth="1"/>
    <col min="20" max="20" width="16" bestFit="1" customWidth="1"/>
    <col min="21" max="21" width="19.796875" bestFit="1" customWidth="1"/>
    <col min="22" max="22" width="16.3984375" bestFit="1" customWidth="1"/>
    <col min="23" max="23" width="18.59765625" bestFit="1" customWidth="1"/>
    <col min="24" max="24" width="19.5" bestFit="1" customWidth="1"/>
    <col min="25" max="25" width="22" bestFit="1" customWidth="1"/>
    <col min="26" max="26" width="18.296875" bestFit="1" customWidth="1"/>
    <col min="27" max="27" width="19.5" bestFit="1" customWidth="1"/>
    <col min="28" max="28" width="19.19921875" bestFit="1" customWidth="1"/>
    <col min="29" max="29" width="11.296875" bestFit="1" customWidth="1"/>
  </cols>
  <sheetData>
    <row r="1" spans="1:29" ht="25.6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6931</v>
      </c>
      <c r="AA1" s="5" t="s">
        <v>6932</v>
      </c>
      <c r="AB1" s="5" t="s">
        <v>27</v>
      </c>
      <c r="AC1" s="5" t="s">
        <v>28</v>
      </c>
    </row>
    <row r="2" spans="1:29">
      <c r="A2" t="s">
        <v>29</v>
      </c>
      <c r="B2" s="2">
        <v>45854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s="3">
        <v>175000</v>
      </c>
      <c r="P2" s="4">
        <v>100</v>
      </c>
      <c r="Q2" s="2">
        <v>45917</v>
      </c>
      <c r="R2" s="2"/>
      <c r="S2" s="2">
        <v>45874</v>
      </c>
      <c r="T2" s="2">
        <v>45917</v>
      </c>
      <c r="U2" t="str">
        <f t="shared" ref="U2:U65" si="0">IF(M2="Converted","Yes","No")</f>
        <v>Yes</v>
      </c>
      <c r="W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2" t="str">
        <f t="shared" ref="X2:X65" ca="1" si="1">IF(OR(M2="Converted",M2="Lost",M2="Not Interested"),"Closed",IF(R2&lt;TODAY(),"Overdue","Due/Open"))</f>
        <v>Closed</v>
      </c>
      <c r="Y2" t="str">
        <f t="shared" ref="Y2:Y65" si="2">IF(OR(M2="Converted",M2="Lost",M2="Not Interested"),"Closed","Open")</f>
        <v>Closed</v>
      </c>
      <c r="Z2" t="str">
        <f t="shared" ref="Z2:Z65" si="3">TEXT(B2,"mmm-yyyy")</f>
        <v>Jul-2025</v>
      </c>
      <c r="AA2" t="str">
        <f t="shared" ref="AA2:AA65" si="4">"Q"&amp;ROUNDUP(MONTH(B2)/3,0)&amp;" "&amp;YEAR(B2)</f>
        <v>Q3 2025</v>
      </c>
      <c r="AB2" s="4">
        <f t="shared" ref="AB2:AB65" ca="1" si="5">TODAY()-B2</f>
        <v>345</v>
      </c>
      <c r="AC2" t="str">
        <f t="shared" ref="AC2:AC65" si="6">IF(O2&gt;=300000,"High",IF(O2&gt;=120000,"Medium","Low"))</f>
        <v>Medium</v>
      </c>
    </row>
    <row r="3" spans="1:29">
      <c r="A3" t="s">
        <v>42</v>
      </c>
      <c r="B3" s="2">
        <v>46134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s="3">
        <v>125000</v>
      </c>
      <c r="P3" s="4">
        <v>25</v>
      </c>
      <c r="Q3" s="2">
        <v>46206</v>
      </c>
      <c r="R3" s="2">
        <v>46173</v>
      </c>
      <c r="S3" s="2">
        <v>46164</v>
      </c>
      <c r="T3" s="2"/>
      <c r="U3" t="str">
        <f t="shared" si="0"/>
        <v>No</v>
      </c>
      <c r="W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" t="str">
        <f t="shared" ca="1" si="1"/>
        <v>Overdue</v>
      </c>
      <c r="Y3" t="str">
        <f t="shared" si="2"/>
        <v>Open</v>
      </c>
      <c r="Z3" t="str">
        <f t="shared" si="3"/>
        <v>Apr-2026</v>
      </c>
      <c r="AA3" t="str">
        <f t="shared" si="4"/>
        <v>Q2 2026</v>
      </c>
      <c r="AB3" s="4">
        <f t="shared" ca="1" si="5"/>
        <v>65</v>
      </c>
      <c r="AC3" t="str">
        <f t="shared" si="6"/>
        <v>Medium</v>
      </c>
    </row>
    <row r="4" spans="1:29">
      <c r="A4" t="s">
        <v>55</v>
      </c>
      <c r="B4" s="2">
        <v>45723</v>
      </c>
      <c r="C4" t="s">
        <v>56</v>
      </c>
      <c r="D4" t="s">
        <v>57</v>
      </c>
      <c r="E4" t="s">
        <v>58</v>
      </c>
      <c r="F4" t="s">
        <v>59</v>
      </c>
      <c r="G4" t="s">
        <v>34</v>
      </c>
      <c r="H4" t="s">
        <v>60</v>
      </c>
      <c r="I4" t="s">
        <v>61</v>
      </c>
      <c r="J4" t="s">
        <v>62</v>
      </c>
      <c r="K4" t="s">
        <v>51</v>
      </c>
      <c r="L4" t="s">
        <v>63</v>
      </c>
      <c r="M4" t="s">
        <v>53</v>
      </c>
      <c r="N4" t="s">
        <v>54</v>
      </c>
      <c r="O4" s="3">
        <v>285000</v>
      </c>
      <c r="P4" s="4">
        <v>25</v>
      </c>
      <c r="Q4" s="2">
        <v>45767</v>
      </c>
      <c r="R4" s="2">
        <v>46201</v>
      </c>
      <c r="S4" s="2">
        <v>45736</v>
      </c>
      <c r="T4" s="2"/>
      <c r="U4" t="str">
        <f t="shared" si="0"/>
        <v>No</v>
      </c>
      <c r="W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" t="str">
        <f t="shared" ca="1" si="1"/>
        <v>Due/Open</v>
      </c>
      <c r="Y4" t="str">
        <f t="shared" si="2"/>
        <v>Open</v>
      </c>
      <c r="Z4" t="str">
        <f t="shared" si="3"/>
        <v>Mar-2025</v>
      </c>
      <c r="AA4" t="str">
        <f t="shared" si="4"/>
        <v>Q1 2025</v>
      </c>
      <c r="AB4" s="4">
        <f t="shared" ca="1" si="5"/>
        <v>476</v>
      </c>
      <c r="AC4" t="str">
        <f t="shared" si="6"/>
        <v>Medium</v>
      </c>
    </row>
    <row r="5" spans="1:29">
      <c r="A5" t="s">
        <v>64</v>
      </c>
      <c r="B5" s="2">
        <v>45679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36</v>
      </c>
      <c r="J5" t="s">
        <v>37</v>
      </c>
      <c r="K5" t="s">
        <v>71</v>
      </c>
      <c r="L5" t="s">
        <v>72</v>
      </c>
      <c r="M5" t="s">
        <v>73</v>
      </c>
      <c r="N5" t="s">
        <v>73</v>
      </c>
      <c r="O5" s="3">
        <v>135000</v>
      </c>
      <c r="P5" s="4">
        <v>85</v>
      </c>
      <c r="Q5" s="2">
        <v>45739</v>
      </c>
      <c r="R5" s="2">
        <v>46218</v>
      </c>
      <c r="S5" s="2">
        <v>45706</v>
      </c>
      <c r="T5" s="2"/>
      <c r="U5" t="str">
        <f t="shared" si="0"/>
        <v>No</v>
      </c>
      <c r="W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" t="str">
        <f t="shared" ca="1" si="1"/>
        <v>Due/Open</v>
      </c>
      <c r="Y5" t="str">
        <f t="shared" si="2"/>
        <v>Open</v>
      </c>
      <c r="Z5" t="str">
        <f t="shared" si="3"/>
        <v>Jan-2025</v>
      </c>
      <c r="AA5" t="str">
        <f t="shared" si="4"/>
        <v>Q1 2025</v>
      </c>
      <c r="AB5" s="4">
        <f t="shared" ca="1" si="5"/>
        <v>520</v>
      </c>
      <c r="AC5" t="str">
        <f t="shared" si="6"/>
        <v>Medium</v>
      </c>
    </row>
    <row r="6" spans="1:29">
      <c r="A6" t="s">
        <v>74</v>
      </c>
      <c r="B6" s="2">
        <v>45795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61</v>
      </c>
      <c r="J6" t="s">
        <v>50</v>
      </c>
      <c r="K6" t="s">
        <v>71</v>
      </c>
      <c r="L6" t="s">
        <v>81</v>
      </c>
      <c r="M6" t="s">
        <v>82</v>
      </c>
      <c r="N6" t="s">
        <v>83</v>
      </c>
      <c r="O6" s="3">
        <v>160000</v>
      </c>
      <c r="P6" s="4">
        <v>10</v>
      </c>
      <c r="Q6" s="2">
        <v>45835</v>
      </c>
      <c r="R6" s="2">
        <v>46171</v>
      </c>
      <c r="S6" s="2">
        <v>45797</v>
      </c>
      <c r="T6" s="2"/>
      <c r="U6" t="str">
        <f t="shared" si="0"/>
        <v>No</v>
      </c>
      <c r="W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" t="str">
        <f t="shared" ca="1" si="1"/>
        <v>Overdue</v>
      </c>
      <c r="Y6" t="str">
        <f t="shared" si="2"/>
        <v>Open</v>
      </c>
      <c r="Z6" t="str">
        <f t="shared" si="3"/>
        <v>May-2025</v>
      </c>
      <c r="AA6" t="str">
        <f t="shared" si="4"/>
        <v>Q2 2025</v>
      </c>
      <c r="AB6" s="4">
        <f t="shared" ca="1" si="5"/>
        <v>404</v>
      </c>
      <c r="AC6" t="str">
        <f t="shared" si="6"/>
        <v>Medium</v>
      </c>
    </row>
    <row r="7" spans="1:29">
      <c r="A7" t="s">
        <v>84</v>
      </c>
      <c r="B7" s="2">
        <v>46126</v>
      </c>
      <c r="C7" t="s">
        <v>85</v>
      </c>
      <c r="D7" t="s">
        <v>86</v>
      </c>
      <c r="E7" t="s">
        <v>87</v>
      </c>
      <c r="F7" t="s">
        <v>88</v>
      </c>
      <c r="G7" t="s">
        <v>47</v>
      </c>
      <c r="H7" t="s">
        <v>89</v>
      </c>
      <c r="I7" t="s">
        <v>36</v>
      </c>
      <c r="J7" t="s">
        <v>50</v>
      </c>
      <c r="K7" t="s">
        <v>71</v>
      </c>
      <c r="L7" t="s">
        <v>52</v>
      </c>
      <c r="M7" t="s">
        <v>90</v>
      </c>
      <c r="N7" t="s">
        <v>91</v>
      </c>
      <c r="O7" s="3">
        <v>440000</v>
      </c>
      <c r="P7" s="4">
        <v>55</v>
      </c>
      <c r="Q7" s="2">
        <v>46156</v>
      </c>
      <c r="R7" s="2">
        <v>46221</v>
      </c>
      <c r="S7" s="2">
        <v>46152</v>
      </c>
      <c r="T7" s="2"/>
      <c r="U7" t="str">
        <f t="shared" si="0"/>
        <v>No</v>
      </c>
      <c r="W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" t="str">
        <f t="shared" ca="1" si="1"/>
        <v>Due/Open</v>
      </c>
      <c r="Y7" t="str">
        <f t="shared" si="2"/>
        <v>Open</v>
      </c>
      <c r="Z7" t="str">
        <f t="shared" si="3"/>
        <v>Apr-2026</v>
      </c>
      <c r="AA7" t="str">
        <f t="shared" si="4"/>
        <v>Q2 2026</v>
      </c>
      <c r="AB7" s="4">
        <f t="shared" ca="1" si="5"/>
        <v>73</v>
      </c>
      <c r="AC7" t="str">
        <f t="shared" si="6"/>
        <v>High</v>
      </c>
    </row>
    <row r="8" spans="1:29">
      <c r="A8" t="s">
        <v>92</v>
      </c>
      <c r="B8" s="2">
        <v>45955</v>
      </c>
      <c r="C8" t="s">
        <v>93</v>
      </c>
      <c r="D8" t="s">
        <v>94</v>
      </c>
      <c r="E8" t="s">
        <v>95</v>
      </c>
      <c r="F8" t="s">
        <v>96</v>
      </c>
      <c r="G8" t="s">
        <v>79</v>
      </c>
      <c r="H8" t="s">
        <v>97</v>
      </c>
      <c r="I8" t="s">
        <v>98</v>
      </c>
      <c r="J8" t="s">
        <v>99</v>
      </c>
      <c r="K8" t="s">
        <v>100</v>
      </c>
      <c r="L8" t="s">
        <v>81</v>
      </c>
      <c r="M8" t="s">
        <v>40</v>
      </c>
      <c r="N8" t="s">
        <v>41</v>
      </c>
      <c r="O8" s="3">
        <v>170000</v>
      </c>
      <c r="P8" s="4">
        <v>100</v>
      </c>
      <c r="Q8" s="2">
        <v>45985</v>
      </c>
      <c r="R8" s="2"/>
      <c r="S8" s="2">
        <v>45979</v>
      </c>
      <c r="T8" s="2">
        <v>45985</v>
      </c>
      <c r="U8" t="str">
        <f t="shared" si="0"/>
        <v>Yes</v>
      </c>
      <c r="W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30</v>
      </c>
      <c r="X8" t="str">
        <f t="shared" ca="1" si="1"/>
        <v>Closed</v>
      </c>
      <c r="Y8" t="str">
        <f t="shared" si="2"/>
        <v>Closed</v>
      </c>
      <c r="Z8" t="str">
        <f t="shared" si="3"/>
        <v>Oct-2025</v>
      </c>
      <c r="AA8" t="str">
        <f t="shared" si="4"/>
        <v>Q4 2025</v>
      </c>
      <c r="AB8" s="4">
        <f t="shared" ca="1" si="5"/>
        <v>244</v>
      </c>
      <c r="AC8" t="str">
        <f t="shared" si="6"/>
        <v>Medium</v>
      </c>
    </row>
    <row r="9" spans="1:29">
      <c r="A9" t="s">
        <v>101</v>
      </c>
      <c r="B9" s="2">
        <v>46051</v>
      </c>
      <c r="C9" t="s">
        <v>102</v>
      </c>
      <c r="D9" t="s">
        <v>103</v>
      </c>
      <c r="E9" t="s">
        <v>104</v>
      </c>
      <c r="F9" t="s">
        <v>105</v>
      </c>
      <c r="G9" t="s">
        <v>79</v>
      </c>
      <c r="H9" t="s">
        <v>106</v>
      </c>
      <c r="I9" t="s">
        <v>36</v>
      </c>
      <c r="J9" t="s">
        <v>62</v>
      </c>
      <c r="K9" t="s">
        <v>51</v>
      </c>
      <c r="L9" t="s">
        <v>107</v>
      </c>
      <c r="M9" t="s">
        <v>53</v>
      </c>
      <c r="N9" t="s">
        <v>54</v>
      </c>
      <c r="O9" s="3">
        <v>305000</v>
      </c>
      <c r="P9" s="4">
        <v>25</v>
      </c>
      <c r="Q9" s="2">
        <v>46095</v>
      </c>
      <c r="R9" s="2">
        <v>46189</v>
      </c>
      <c r="S9" s="2">
        <v>46074</v>
      </c>
      <c r="T9" s="2"/>
      <c r="U9" t="str">
        <f t="shared" si="0"/>
        <v>No</v>
      </c>
      <c r="W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" t="str">
        <f t="shared" ca="1" si="1"/>
        <v>Overdue</v>
      </c>
      <c r="Y9" t="str">
        <f t="shared" si="2"/>
        <v>Open</v>
      </c>
      <c r="Z9" t="str">
        <f t="shared" si="3"/>
        <v>Jan-2026</v>
      </c>
      <c r="AA9" t="str">
        <f t="shared" si="4"/>
        <v>Q1 2026</v>
      </c>
      <c r="AB9" s="4">
        <f t="shared" ca="1" si="5"/>
        <v>148</v>
      </c>
      <c r="AC9" t="str">
        <f t="shared" si="6"/>
        <v>High</v>
      </c>
    </row>
    <row r="10" spans="1:29">
      <c r="A10" t="s">
        <v>108</v>
      </c>
      <c r="B10" s="2">
        <v>46069</v>
      </c>
      <c r="C10" t="s">
        <v>109</v>
      </c>
      <c r="D10" t="s">
        <v>110</v>
      </c>
      <c r="E10" t="s">
        <v>111</v>
      </c>
      <c r="F10" t="s">
        <v>112</v>
      </c>
      <c r="G10" t="s">
        <v>47</v>
      </c>
      <c r="H10" t="s">
        <v>113</v>
      </c>
      <c r="I10" t="s">
        <v>36</v>
      </c>
      <c r="J10" t="s">
        <v>50</v>
      </c>
      <c r="K10" t="s">
        <v>114</v>
      </c>
      <c r="L10" t="s">
        <v>115</v>
      </c>
      <c r="M10" t="s">
        <v>116</v>
      </c>
      <c r="N10" t="s">
        <v>54</v>
      </c>
      <c r="O10" s="3">
        <v>545000</v>
      </c>
      <c r="P10" s="4">
        <v>25</v>
      </c>
      <c r="Q10" s="2">
        <v>46117</v>
      </c>
      <c r="R10" s="2">
        <v>46189</v>
      </c>
      <c r="S10" s="2">
        <v>46095</v>
      </c>
      <c r="T10" s="2"/>
      <c r="U10" t="str">
        <f t="shared" si="0"/>
        <v>No</v>
      </c>
      <c r="W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" t="str">
        <f t="shared" ca="1" si="1"/>
        <v>Overdue</v>
      </c>
      <c r="Y10" t="str">
        <f t="shared" si="2"/>
        <v>Open</v>
      </c>
      <c r="Z10" t="str">
        <f t="shared" si="3"/>
        <v>Feb-2026</v>
      </c>
      <c r="AA10" t="str">
        <f t="shared" si="4"/>
        <v>Q1 2026</v>
      </c>
      <c r="AB10" s="4">
        <f t="shared" ca="1" si="5"/>
        <v>130</v>
      </c>
      <c r="AC10" t="str">
        <f t="shared" si="6"/>
        <v>High</v>
      </c>
    </row>
    <row r="11" spans="1:29">
      <c r="A11" t="s">
        <v>117</v>
      </c>
      <c r="B11" s="2">
        <v>46191</v>
      </c>
      <c r="C11" t="s">
        <v>118</v>
      </c>
      <c r="D11" t="s">
        <v>119</v>
      </c>
      <c r="E11" t="s">
        <v>120</v>
      </c>
      <c r="F11" t="s">
        <v>121</v>
      </c>
      <c r="G11" t="s">
        <v>47</v>
      </c>
      <c r="H11" t="s">
        <v>122</v>
      </c>
      <c r="I11" t="s">
        <v>123</v>
      </c>
      <c r="J11" t="s">
        <v>124</v>
      </c>
      <c r="K11" t="s">
        <v>114</v>
      </c>
      <c r="L11" t="s">
        <v>125</v>
      </c>
      <c r="M11" t="s">
        <v>82</v>
      </c>
      <c r="N11" t="s">
        <v>83</v>
      </c>
      <c r="O11" s="3">
        <v>110000</v>
      </c>
      <c r="P11" s="4">
        <v>5</v>
      </c>
      <c r="Q11" s="2">
        <v>46267</v>
      </c>
      <c r="R11" s="2">
        <v>46230</v>
      </c>
      <c r="S11" s="2">
        <v>46198</v>
      </c>
      <c r="T11" s="2"/>
      <c r="U11" t="str">
        <f t="shared" si="0"/>
        <v>No</v>
      </c>
      <c r="W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" t="str">
        <f t="shared" ca="1" si="1"/>
        <v>Due/Open</v>
      </c>
      <c r="Y11" t="str">
        <f t="shared" si="2"/>
        <v>Open</v>
      </c>
      <c r="Z11" t="str">
        <f t="shared" si="3"/>
        <v>Jun-2026</v>
      </c>
      <c r="AA11" t="str">
        <f t="shared" si="4"/>
        <v>Q2 2026</v>
      </c>
      <c r="AB11" s="4">
        <f t="shared" ca="1" si="5"/>
        <v>8</v>
      </c>
      <c r="AC11" t="str">
        <f t="shared" si="6"/>
        <v>Low</v>
      </c>
    </row>
    <row r="12" spans="1:29">
      <c r="A12" t="s">
        <v>126</v>
      </c>
      <c r="B12" s="2">
        <v>45808</v>
      </c>
      <c r="C12" t="s">
        <v>127</v>
      </c>
      <c r="D12" t="s">
        <v>128</v>
      </c>
      <c r="E12" t="s">
        <v>129</v>
      </c>
      <c r="F12" t="s">
        <v>130</v>
      </c>
      <c r="G12" t="s">
        <v>79</v>
      </c>
      <c r="H12" t="s">
        <v>97</v>
      </c>
      <c r="I12" t="s">
        <v>49</v>
      </c>
      <c r="J12" t="s">
        <v>131</v>
      </c>
      <c r="K12" t="s">
        <v>38</v>
      </c>
      <c r="L12" t="s">
        <v>132</v>
      </c>
      <c r="M12" t="s">
        <v>133</v>
      </c>
      <c r="N12" t="s">
        <v>134</v>
      </c>
      <c r="O12" s="3">
        <v>290000</v>
      </c>
      <c r="P12" s="4">
        <v>0</v>
      </c>
      <c r="Q12" s="2">
        <v>45864</v>
      </c>
      <c r="R12" s="2"/>
      <c r="S12" s="2">
        <v>45814</v>
      </c>
      <c r="T12" s="2">
        <v>45864</v>
      </c>
      <c r="U12" t="str">
        <f t="shared" si="0"/>
        <v>No</v>
      </c>
      <c r="V12" t="s">
        <v>135</v>
      </c>
      <c r="W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12" t="str">
        <f ca="1">IF(OR(M12="Converted",M12="Lost",M12="Not Interested"),"Closed",IF(R12&lt;TODAY(),"Overdue","Due/Open"))</f>
        <v>Closed</v>
      </c>
      <c r="Y12" t="str">
        <f t="shared" si="2"/>
        <v>Closed</v>
      </c>
      <c r="Z12" t="str">
        <f t="shared" si="3"/>
        <v>May-2025</v>
      </c>
      <c r="AA12" t="str">
        <f t="shared" si="4"/>
        <v>Q2 2025</v>
      </c>
      <c r="AB12" s="4">
        <f t="shared" ca="1" si="5"/>
        <v>391</v>
      </c>
      <c r="AC12" t="str">
        <f t="shared" si="6"/>
        <v>Medium</v>
      </c>
    </row>
    <row r="13" spans="1:29">
      <c r="A13" t="s">
        <v>136</v>
      </c>
      <c r="B13" s="2">
        <v>45829</v>
      </c>
      <c r="C13" t="s">
        <v>137</v>
      </c>
      <c r="D13" t="s">
        <v>138</v>
      </c>
      <c r="E13" t="s">
        <v>139</v>
      </c>
      <c r="F13" t="s">
        <v>140</v>
      </c>
      <c r="G13" t="s">
        <v>79</v>
      </c>
      <c r="H13" t="s">
        <v>80</v>
      </c>
      <c r="I13" t="s">
        <v>141</v>
      </c>
      <c r="J13" t="s">
        <v>62</v>
      </c>
      <c r="K13" t="s">
        <v>51</v>
      </c>
      <c r="L13" t="s">
        <v>142</v>
      </c>
      <c r="M13" t="s">
        <v>73</v>
      </c>
      <c r="N13" t="s">
        <v>73</v>
      </c>
      <c r="O13" s="3">
        <v>175000</v>
      </c>
      <c r="P13" s="4">
        <v>75</v>
      </c>
      <c r="Q13" s="2">
        <v>45910</v>
      </c>
      <c r="R13" s="2">
        <v>46239</v>
      </c>
      <c r="S13" s="2">
        <v>45854</v>
      </c>
      <c r="T13" s="2"/>
      <c r="U13" t="str">
        <f t="shared" si="0"/>
        <v>No</v>
      </c>
      <c r="W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" t="str">
        <f t="shared" ca="1" si="1"/>
        <v>Due/Open</v>
      </c>
      <c r="Y13" t="str">
        <f t="shared" si="2"/>
        <v>Open</v>
      </c>
      <c r="Z13" t="str">
        <f t="shared" si="3"/>
        <v>Jun-2025</v>
      </c>
      <c r="AA13" t="str">
        <f t="shared" si="4"/>
        <v>Q2 2025</v>
      </c>
      <c r="AB13" s="4">
        <f t="shared" ca="1" si="5"/>
        <v>370</v>
      </c>
      <c r="AC13" t="str">
        <f t="shared" si="6"/>
        <v>Medium</v>
      </c>
    </row>
    <row r="14" spans="1:29">
      <c r="A14" t="s">
        <v>143</v>
      </c>
      <c r="B14" s="2">
        <v>45714</v>
      </c>
      <c r="C14" t="s">
        <v>144</v>
      </c>
      <c r="D14" t="s">
        <v>145</v>
      </c>
      <c r="E14" t="s">
        <v>146</v>
      </c>
      <c r="F14" t="s">
        <v>147</v>
      </c>
      <c r="G14" t="s">
        <v>79</v>
      </c>
      <c r="H14" t="s">
        <v>106</v>
      </c>
      <c r="I14" t="s">
        <v>148</v>
      </c>
      <c r="J14" t="s">
        <v>131</v>
      </c>
      <c r="K14" t="s">
        <v>38</v>
      </c>
      <c r="L14" t="s">
        <v>125</v>
      </c>
      <c r="M14" t="s">
        <v>40</v>
      </c>
      <c r="N14" t="s">
        <v>41</v>
      </c>
      <c r="O14" s="3">
        <v>245000</v>
      </c>
      <c r="P14" s="4">
        <v>100</v>
      </c>
      <c r="Q14" s="2">
        <v>45792</v>
      </c>
      <c r="R14" s="2"/>
      <c r="S14" s="2">
        <v>45730</v>
      </c>
      <c r="T14" s="2">
        <v>45792</v>
      </c>
      <c r="U14" t="str">
        <f t="shared" si="0"/>
        <v>Yes</v>
      </c>
      <c r="W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14" t="str">
        <f t="shared" ca="1" si="1"/>
        <v>Closed</v>
      </c>
      <c r="Y14" t="str">
        <f t="shared" si="2"/>
        <v>Closed</v>
      </c>
      <c r="Z14" t="str">
        <f t="shared" si="3"/>
        <v>Feb-2025</v>
      </c>
      <c r="AA14" t="str">
        <f t="shared" si="4"/>
        <v>Q1 2025</v>
      </c>
      <c r="AB14" s="4">
        <f t="shared" ca="1" si="5"/>
        <v>485</v>
      </c>
      <c r="AC14" t="str">
        <f t="shared" si="6"/>
        <v>Medium</v>
      </c>
    </row>
    <row r="15" spans="1:29">
      <c r="A15" t="s">
        <v>149</v>
      </c>
      <c r="B15" s="2">
        <v>45972</v>
      </c>
      <c r="C15" t="s">
        <v>150</v>
      </c>
      <c r="D15" t="s">
        <v>151</v>
      </c>
      <c r="E15" t="s">
        <v>152</v>
      </c>
      <c r="F15" t="s">
        <v>153</v>
      </c>
      <c r="G15" t="s">
        <v>47</v>
      </c>
      <c r="H15" t="s">
        <v>48</v>
      </c>
      <c r="I15" t="s">
        <v>123</v>
      </c>
      <c r="J15" t="s">
        <v>62</v>
      </c>
      <c r="K15" t="s">
        <v>51</v>
      </c>
      <c r="L15" t="s">
        <v>154</v>
      </c>
      <c r="M15" t="s">
        <v>40</v>
      </c>
      <c r="N15" t="s">
        <v>41</v>
      </c>
      <c r="O15" s="3">
        <v>160000</v>
      </c>
      <c r="P15" s="4">
        <v>100</v>
      </c>
      <c r="Q15" s="2">
        <v>46040</v>
      </c>
      <c r="R15" s="2"/>
      <c r="S15" s="2">
        <v>45986</v>
      </c>
      <c r="T15" s="2">
        <v>46040</v>
      </c>
      <c r="U15" t="str">
        <f t="shared" si="0"/>
        <v>Yes</v>
      </c>
      <c r="W1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68</v>
      </c>
      <c r="X15" t="str">
        <f t="shared" ca="1" si="1"/>
        <v>Closed</v>
      </c>
      <c r="Y15" t="str">
        <f t="shared" si="2"/>
        <v>Closed</v>
      </c>
      <c r="Z15" t="str">
        <f t="shared" si="3"/>
        <v>Nov-2025</v>
      </c>
      <c r="AA15" t="str">
        <f t="shared" si="4"/>
        <v>Q4 2025</v>
      </c>
      <c r="AB15" s="4">
        <f t="shared" ca="1" si="5"/>
        <v>227</v>
      </c>
      <c r="AC15" t="str">
        <f t="shared" si="6"/>
        <v>Medium</v>
      </c>
    </row>
    <row r="16" spans="1:29">
      <c r="A16" t="s">
        <v>155</v>
      </c>
      <c r="B16" s="2">
        <v>46110</v>
      </c>
      <c r="C16" t="s">
        <v>156</v>
      </c>
      <c r="D16" t="s">
        <v>157</v>
      </c>
      <c r="E16" t="s">
        <v>158</v>
      </c>
      <c r="F16" t="s">
        <v>159</v>
      </c>
      <c r="G16" t="s">
        <v>34</v>
      </c>
      <c r="H16" t="s">
        <v>160</v>
      </c>
      <c r="I16" t="s">
        <v>36</v>
      </c>
      <c r="J16" t="s">
        <v>99</v>
      </c>
      <c r="K16" t="s">
        <v>100</v>
      </c>
      <c r="L16" t="s">
        <v>125</v>
      </c>
      <c r="M16" t="s">
        <v>116</v>
      </c>
      <c r="N16" t="s">
        <v>54</v>
      </c>
      <c r="O16" s="3">
        <v>365000</v>
      </c>
      <c r="P16" s="4">
        <v>25</v>
      </c>
      <c r="Q16" s="2">
        <v>46200</v>
      </c>
      <c r="R16" s="2">
        <v>46233</v>
      </c>
      <c r="S16" s="2">
        <v>46116</v>
      </c>
      <c r="T16" s="2"/>
      <c r="U16" t="str">
        <f t="shared" si="0"/>
        <v>No</v>
      </c>
      <c r="W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" t="str">
        <f t="shared" ca="1" si="1"/>
        <v>Due/Open</v>
      </c>
      <c r="Y16" t="str">
        <f t="shared" si="2"/>
        <v>Open</v>
      </c>
      <c r="Z16" t="str">
        <f t="shared" si="3"/>
        <v>Mar-2026</v>
      </c>
      <c r="AA16" t="str">
        <f t="shared" si="4"/>
        <v>Q1 2026</v>
      </c>
      <c r="AB16" s="4">
        <f t="shared" ca="1" si="5"/>
        <v>89</v>
      </c>
      <c r="AC16" t="str">
        <f t="shared" si="6"/>
        <v>High</v>
      </c>
    </row>
    <row r="17" spans="1:29">
      <c r="A17" t="s">
        <v>161</v>
      </c>
      <c r="B17" s="2">
        <v>45853</v>
      </c>
      <c r="C17" t="s">
        <v>162</v>
      </c>
      <c r="D17" t="s">
        <v>163</v>
      </c>
      <c r="E17" t="s">
        <v>164</v>
      </c>
      <c r="F17" t="s">
        <v>165</v>
      </c>
      <c r="G17" t="s">
        <v>79</v>
      </c>
      <c r="H17" t="s">
        <v>80</v>
      </c>
      <c r="I17" t="s">
        <v>36</v>
      </c>
      <c r="J17" t="s">
        <v>37</v>
      </c>
      <c r="K17" t="s">
        <v>38</v>
      </c>
      <c r="L17" t="s">
        <v>63</v>
      </c>
      <c r="M17" t="s">
        <v>166</v>
      </c>
      <c r="N17" t="s">
        <v>167</v>
      </c>
      <c r="O17" s="3">
        <v>130000</v>
      </c>
      <c r="P17" s="4">
        <v>70</v>
      </c>
      <c r="Q17" s="2">
        <v>45892</v>
      </c>
      <c r="R17" s="2">
        <v>46235</v>
      </c>
      <c r="S17" s="2">
        <v>45878</v>
      </c>
      <c r="T17" s="2"/>
      <c r="U17" t="str">
        <f t="shared" si="0"/>
        <v>No</v>
      </c>
      <c r="W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" t="str">
        <f t="shared" ca="1" si="1"/>
        <v>Due/Open</v>
      </c>
      <c r="Y17" t="str">
        <f t="shared" si="2"/>
        <v>Open</v>
      </c>
      <c r="Z17" t="str">
        <f t="shared" si="3"/>
        <v>Jul-2025</v>
      </c>
      <c r="AA17" t="str">
        <f t="shared" si="4"/>
        <v>Q3 2025</v>
      </c>
      <c r="AB17" s="4">
        <f t="shared" ca="1" si="5"/>
        <v>346</v>
      </c>
      <c r="AC17" t="str">
        <f t="shared" si="6"/>
        <v>Medium</v>
      </c>
    </row>
    <row r="18" spans="1:29">
      <c r="A18" t="s">
        <v>168</v>
      </c>
      <c r="B18" s="2">
        <v>46122</v>
      </c>
      <c r="C18" t="s">
        <v>169</v>
      </c>
      <c r="D18" t="s">
        <v>170</v>
      </c>
      <c r="E18" t="s">
        <v>171</v>
      </c>
      <c r="F18" t="s">
        <v>172</v>
      </c>
      <c r="G18" t="s">
        <v>34</v>
      </c>
      <c r="H18" t="s">
        <v>173</v>
      </c>
      <c r="I18" t="s">
        <v>49</v>
      </c>
      <c r="J18" t="s">
        <v>37</v>
      </c>
      <c r="K18" t="s">
        <v>38</v>
      </c>
      <c r="L18" t="s">
        <v>154</v>
      </c>
      <c r="M18" t="s">
        <v>82</v>
      </c>
      <c r="N18" t="s">
        <v>83</v>
      </c>
      <c r="O18" s="3">
        <v>60000</v>
      </c>
      <c r="P18" s="4">
        <v>10</v>
      </c>
      <c r="Q18" s="2">
        <v>46189</v>
      </c>
      <c r="R18" s="2">
        <v>46241</v>
      </c>
      <c r="S18" s="2">
        <v>46151</v>
      </c>
      <c r="T18" s="2"/>
      <c r="U18" t="str">
        <f t="shared" si="0"/>
        <v>No</v>
      </c>
      <c r="W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" t="str">
        <f t="shared" ca="1" si="1"/>
        <v>Due/Open</v>
      </c>
      <c r="Y18" t="str">
        <f t="shared" si="2"/>
        <v>Open</v>
      </c>
      <c r="Z18" t="str">
        <f t="shared" si="3"/>
        <v>Apr-2026</v>
      </c>
      <c r="AA18" t="str">
        <f t="shared" si="4"/>
        <v>Q2 2026</v>
      </c>
      <c r="AB18" s="4">
        <f t="shared" ca="1" si="5"/>
        <v>77</v>
      </c>
      <c r="AC18" t="str">
        <f t="shared" si="6"/>
        <v>Low</v>
      </c>
    </row>
    <row r="19" spans="1:29">
      <c r="A19" t="s">
        <v>174</v>
      </c>
      <c r="B19" s="2">
        <v>45754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 t="s">
        <v>180</v>
      </c>
      <c r="I19" t="s">
        <v>36</v>
      </c>
      <c r="J19" t="s">
        <v>124</v>
      </c>
      <c r="K19" t="s">
        <v>51</v>
      </c>
      <c r="L19" t="s">
        <v>115</v>
      </c>
      <c r="M19" t="s">
        <v>116</v>
      </c>
      <c r="N19" t="s">
        <v>54</v>
      </c>
      <c r="O19" s="3">
        <v>260000</v>
      </c>
      <c r="P19" s="4">
        <v>15</v>
      </c>
      <c r="Q19" s="2">
        <v>45780</v>
      </c>
      <c r="R19" s="2">
        <v>46241</v>
      </c>
      <c r="S19" s="2">
        <v>45783</v>
      </c>
      <c r="T19" s="2"/>
      <c r="U19" t="str">
        <f t="shared" si="0"/>
        <v>No</v>
      </c>
      <c r="W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" t="str">
        <f t="shared" ca="1" si="1"/>
        <v>Due/Open</v>
      </c>
      <c r="Y19" t="str">
        <f t="shared" si="2"/>
        <v>Open</v>
      </c>
      <c r="Z19" t="str">
        <f t="shared" si="3"/>
        <v>Apr-2025</v>
      </c>
      <c r="AA19" t="str">
        <f t="shared" si="4"/>
        <v>Q2 2025</v>
      </c>
      <c r="AB19" s="4">
        <f t="shared" ca="1" si="5"/>
        <v>445</v>
      </c>
      <c r="AC19" t="str">
        <f t="shared" si="6"/>
        <v>Medium</v>
      </c>
    </row>
    <row r="20" spans="1:29">
      <c r="A20" t="s">
        <v>181</v>
      </c>
      <c r="B20" s="2">
        <v>46094</v>
      </c>
      <c r="C20" t="s">
        <v>182</v>
      </c>
      <c r="D20" t="s">
        <v>183</v>
      </c>
      <c r="E20" t="s">
        <v>184</v>
      </c>
      <c r="F20" t="s">
        <v>185</v>
      </c>
      <c r="G20" t="s">
        <v>179</v>
      </c>
      <c r="H20" t="s">
        <v>186</v>
      </c>
      <c r="I20" t="s">
        <v>187</v>
      </c>
      <c r="J20" t="s">
        <v>37</v>
      </c>
      <c r="K20" t="s">
        <v>51</v>
      </c>
      <c r="L20" t="s">
        <v>81</v>
      </c>
      <c r="M20" t="s">
        <v>166</v>
      </c>
      <c r="N20" t="s">
        <v>167</v>
      </c>
      <c r="O20" s="3">
        <v>45000</v>
      </c>
      <c r="P20" s="4">
        <v>65</v>
      </c>
      <c r="Q20" s="2">
        <v>46166</v>
      </c>
      <c r="R20" s="2">
        <v>46232</v>
      </c>
      <c r="S20" s="2">
        <v>46111</v>
      </c>
      <c r="T20" s="2"/>
      <c r="U20" t="str">
        <f t="shared" si="0"/>
        <v>No</v>
      </c>
      <c r="W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" t="str">
        <f t="shared" ca="1" si="1"/>
        <v>Due/Open</v>
      </c>
      <c r="Y20" t="str">
        <f t="shared" si="2"/>
        <v>Open</v>
      </c>
      <c r="Z20" t="str">
        <f t="shared" si="3"/>
        <v>Mar-2026</v>
      </c>
      <c r="AA20" t="str">
        <f t="shared" si="4"/>
        <v>Q1 2026</v>
      </c>
      <c r="AB20" s="4">
        <f t="shared" ca="1" si="5"/>
        <v>105</v>
      </c>
      <c r="AC20" t="str">
        <f t="shared" si="6"/>
        <v>Low</v>
      </c>
    </row>
    <row r="21" spans="1:29">
      <c r="A21" t="s">
        <v>188</v>
      </c>
      <c r="B21" s="2">
        <v>45660</v>
      </c>
      <c r="C21" t="s">
        <v>189</v>
      </c>
      <c r="D21" t="s">
        <v>190</v>
      </c>
      <c r="E21" t="s">
        <v>191</v>
      </c>
      <c r="F21" t="s">
        <v>192</v>
      </c>
      <c r="G21" t="s">
        <v>69</v>
      </c>
      <c r="H21" t="s">
        <v>193</v>
      </c>
      <c r="I21" t="s">
        <v>187</v>
      </c>
      <c r="J21" t="s">
        <v>62</v>
      </c>
      <c r="K21" t="s">
        <v>194</v>
      </c>
      <c r="L21" t="s">
        <v>115</v>
      </c>
      <c r="M21" t="s">
        <v>73</v>
      </c>
      <c r="N21" t="s">
        <v>73</v>
      </c>
      <c r="O21" s="3">
        <v>265000</v>
      </c>
      <c r="P21" s="4">
        <v>75</v>
      </c>
      <c r="Q21" s="2">
        <v>45715</v>
      </c>
      <c r="R21" s="2">
        <v>46243</v>
      </c>
      <c r="S21" s="2">
        <v>45683</v>
      </c>
      <c r="T21" s="2"/>
      <c r="U21" t="str">
        <f t="shared" si="0"/>
        <v>No</v>
      </c>
      <c r="W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" t="str">
        <f t="shared" ca="1" si="1"/>
        <v>Due/Open</v>
      </c>
      <c r="Y21" t="str">
        <f t="shared" si="2"/>
        <v>Open</v>
      </c>
      <c r="Z21" t="str">
        <f t="shared" si="3"/>
        <v>Jan-2025</v>
      </c>
      <c r="AA21" t="str">
        <f t="shared" si="4"/>
        <v>Q1 2025</v>
      </c>
      <c r="AB21" s="4">
        <f t="shared" ca="1" si="5"/>
        <v>539</v>
      </c>
      <c r="AC21" t="str">
        <f t="shared" si="6"/>
        <v>Medium</v>
      </c>
    </row>
    <row r="22" spans="1:29">
      <c r="A22" t="s">
        <v>195</v>
      </c>
      <c r="B22" s="2">
        <v>45755</v>
      </c>
      <c r="C22" t="s">
        <v>196</v>
      </c>
      <c r="D22" t="s">
        <v>197</v>
      </c>
      <c r="E22" t="s">
        <v>198</v>
      </c>
      <c r="F22" t="s">
        <v>199</v>
      </c>
      <c r="G22" t="s">
        <v>69</v>
      </c>
      <c r="H22" t="s">
        <v>200</v>
      </c>
      <c r="I22" t="s">
        <v>148</v>
      </c>
      <c r="J22" t="s">
        <v>62</v>
      </c>
      <c r="K22" t="s">
        <v>100</v>
      </c>
      <c r="L22" t="s">
        <v>72</v>
      </c>
      <c r="M22" t="s">
        <v>53</v>
      </c>
      <c r="N22" t="s">
        <v>54</v>
      </c>
      <c r="O22" s="3">
        <v>285000</v>
      </c>
      <c r="P22" s="4">
        <v>30</v>
      </c>
      <c r="Q22" s="2">
        <v>45803</v>
      </c>
      <c r="R22" s="2">
        <v>46179</v>
      </c>
      <c r="S22" s="2">
        <v>45779</v>
      </c>
      <c r="T22" s="2"/>
      <c r="U22" t="str">
        <f t="shared" si="0"/>
        <v>No</v>
      </c>
      <c r="W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" t="str">
        <f t="shared" ca="1" si="1"/>
        <v>Overdue</v>
      </c>
      <c r="Y22" t="str">
        <f t="shared" si="2"/>
        <v>Open</v>
      </c>
      <c r="Z22" t="str">
        <f t="shared" si="3"/>
        <v>Apr-2025</v>
      </c>
      <c r="AA22" t="str">
        <f t="shared" si="4"/>
        <v>Q2 2025</v>
      </c>
      <c r="AB22" s="4">
        <f t="shared" ca="1" si="5"/>
        <v>444</v>
      </c>
      <c r="AC22" t="str">
        <f t="shared" si="6"/>
        <v>Medium</v>
      </c>
    </row>
    <row r="23" spans="1:29">
      <c r="A23" t="s">
        <v>201</v>
      </c>
      <c r="B23" s="2">
        <v>45817</v>
      </c>
      <c r="C23" t="s">
        <v>202</v>
      </c>
      <c r="D23" t="s">
        <v>76</v>
      </c>
      <c r="E23" t="s">
        <v>203</v>
      </c>
      <c r="F23" t="s">
        <v>204</v>
      </c>
      <c r="G23" t="s">
        <v>69</v>
      </c>
      <c r="H23" t="s">
        <v>70</v>
      </c>
      <c r="I23" t="s">
        <v>36</v>
      </c>
      <c r="J23" t="s">
        <v>50</v>
      </c>
      <c r="K23" t="s">
        <v>114</v>
      </c>
      <c r="L23" t="s">
        <v>132</v>
      </c>
      <c r="M23" t="s">
        <v>40</v>
      </c>
      <c r="N23" t="s">
        <v>41</v>
      </c>
      <c r="O23" s="3">
        <v>235000</v>
      </c>
      <c r="P23" s="4">
        <v>100</v>
      </c>
      <c r="Q23" s="2">
        <v>45900</v>
      </c>
      <c r="R23" s="2"/>
      <c r="S23" s="2">
        <v>45828</v>
      </c>
      <c r="T23" s="2">
        <v>45900</v>
      </c>
      <c r="U23" t="str">
        <f t="shared" si="0"/>
        <v>Yes</v>
      </c>
      <c r="W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23" t="str">
        <f t="shared" ca="1" si="1"/>
        <v>Closed</v>
      </c>
      <c r="Y23" t="str">
        <f t="shared" si="2"/>
        <v>Closed</v>
      </c>
      <c r="Z23" t="str">
        <f t="shared" si="3"/>
        <v>Jun-2025</v>
      </c>
      <c r="AA23" t="str">
        <f t="shared" si="4"/>
        <v>Q2 2025</v>
      </c>
      <c r="AB23" s="4">
        <f t="shared" ca="1" si="5"/>
        <v>382</v>
      </c>
      <c r="AC23" t="str">
        <f t="shared" si="6"/>
        <v>Medium</v>
      </c>
    </row>
    <row r="24" spans="1:29">
      <c r="A24" t="s">
        <v>205</v>
      </c>
      <c r="B24" s="2">
        <v>45743</v>
      </c>
      <c r="C24" t="s">
        <v>206</v>
      </c>
      <c r="D24" t="s">
        <v>207</v>
      </c>
      <c r="E24" t="s">
        <v>208</v>
      </c>
      <c r="F24" t="s">
        <v>209</v>
      </c>
      <c r="G24" t="s">
        <v>69</v>
      </c>
      <c r="H24" t="s">
        <v>200</v>
      </c>
      <c r="I24" t="s">
        <v>61</v>
      </c>
      <c r="J24" t="s">
        <v>62</v>
      </c>
      <c r="K24" t="s">
        <v>100</v>
      </c>
      <c r="L24" t="s">
        <v>142</v>
      </c>
      <c r="M24" t="s">
        <v>210</v>
      </c>
      <c r="N24" t="s">
        <v>134</v>
      </c>
      <c r="O24" s="3">
        <v>120000</v>
      </c>
      <c r="P24" s="4">
        <v>0</v>
      </c>
      <c r="Q24" s="2">
        <v>45764</v>
      </c>
      <c r="R24" s="2"/>
      <c r="S24" s="2">
        <v>45764</v>
      </c>
      <c r="T24" s="2">
        <v>45764</v>
      </c>
      <c r="U24" t="str">
        <f t="shared" si="0"/>
        <v>No</v>
      </c>
      <c r="V24" t="s">
        <v>211</v>
      </c>
      <c r="W2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21</v>
      </c>
      <c r="X24" t="str">
        <f t="shared" ca="1" si="1"/>
        <v>Closed</v>
      </c>
      <c r="Y24" t="str">
        <f t="shared" si="2"/>
        <v>Closed</v>
      </c>
      <c r="Z24" t="str">
        <f t="shared" si="3"/>
        <v>Mar-2025</v>
      </c>
      <c r="AA24" t="str">
        <f t="shared" si="4"/>
        <v>Q1 2025</v>
      </c>
      <c r="AB24" s="4">
        <f t="shared" ca="1" si="5"/>
        <v>456</v>
      </c>
      <c r="AC24" t="str">
        <f t="shared" si="6"/>
        <v>Medium</v>
      </c>
    </row>
    <row r="25" spans="1:29">
      <c r="A25" t="s">
        <v>212</v>
      </c>
      <c r="B25" s="2">
        <v>45806</v>
      </c>
      <c r="C25" t="s">
        <v>213</v>
      </c>
      <c r="D25" t="s">
        <v>214</v>
      </c>
      <c r="E25" t="s">
        <v>215</v>
      </c>
      <c r="F25" t="s">
        <v>216</v>
      </c>
      <c r="G25" t="s">
        <v>79</v>
      </c>
      <c r="H25" t="s">
        <v>217</v>
      </c>
      <c r="I25" t="s">
        <v>36</v>
      </c>
      <c r="J25" t="s">
        <v>124</v>
      </c>
      <c r="K25" t="s">
        <v>194</v>
      </c>
      <c r="L25" t="s">
        <v>39</v>
      </c>
      <c r="M25" t="s">
        <v>40</v>
      </c>
      <c r="N25" t="s">
        <v>41</v>
      </c>
      <c r="O25" s="3">
        <v>285000</v>
      </c>
      <c r="P25" s="4">
        <v>100</v>
      </c>
      <c r="Q25" s="2">
        <v>45873</v>
      </c>
      <c r="R25" s="2"/>
      <c r="S25" s="2">
        <v>45828</v>
      </c>
      <c r="T25" s="2">
        <v>45873</v>
      </c>
      <c r="U25" t="str">
        <f t="shared" si="0"/>
        <v>Yes</v>
      </c>
      <c r="W2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25" t="str">
        <f t="shared" ca="1" si="1"/>
        <v>Closed</v>
      </c>
      <c r="Y25" t="str">
        <f t="shared" si="2"/>
        <v>Closed</v>
      </c>
      <c r="Z25" t="str">
        <f t="shared" si="3"/>
        <v>May-2025</v>
      </c>
      <c r="AA25" t="str">
        <f t="shared" si="4"/>
        <v>Q2 2025</v>
      </c>
      <c r="AB25" s="4">
        <f t="shared" ca="1" si="5"/>
        <v>393</v>
      </c>
      <c r="AC25" t="str">
        <f t="shared" si="6"/>
        <v>Medium</v>
      </c>
    </row>
    <row r="26" spans="1:29">
      <c r="A26" t="s">
        <v>218</v>
      </c>
      <c r="B26" s="2">
        <v>45742</v>
      </c>
      <c r="C26" t="s">
        <v>219</v>
      </c>
      <c r="D26" t="s">
        <v>220</v>
      </c>
      <c r="E26" t="s">
        <v>221</v>
      </c>
      <c r="F26" t="s">
        <v>222</v>
      </c>
      <c r="G26" t="s">
        <v>69</v>
      </c>
      <c r="H26" t="s">
        <v>200</v>
      </c>
      <c r="I26" t="s">
        <v>98</v>
      </c>
      <c r="J26" t="s">
        <v>124</v>
      </c>
      <c r="K26" t="s">
        <v>194</v>
      </c>
      <c r="L26" t="s">
        <v>115</v>
      </c>
      <c r="M26" t="s">
        <v>116</v>
      </c>
      <c r="N26" t="s">
        <v>54</v>
      </c>
      <c r="O26" s="3">
        <v>300000</v>
      </c>
      <c r="P26" s="4">
        <v>25</v>
      </c>
      <c r="Q26" s="2">
        <v>45819</v>
      </c>
      <c r="R26" s="2">
        <v>46233</v>
      </c>
      <c r="S26" s="2">
        <v>45757</v>
      </c>
      <c r="T26" s="2"/>
      <c r="U26" t="str">
        <f t="shared" si="0"/>
        <v>No</v>
      </c>
      <c r="W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" t="str">
        <f t="shared" ca="1" si="1"/>
        <v>Due/Open</v>
      </c>
      <c r="Y26" t="str">
        <f t="shared" si="2"/>
        <v>Open</v>
      </c>
      <c r="Z26" t="str">
        <f t="shared" si="3"/>
        <v>Mar-2025</v>
      </c>
      <c r="AA26" t="str">
        <f t="shared" si="4"/>
        <v>Q1 2025</v>
      </c>
      <c r="AB26" s="4">
        <f t="shared" ca="1" si="5"/>
        <v>457</v>
      </c>
      <c r="AC26" t="str">
        <f t="shared" si="6"/>
        <v>High</v>
      </c>
    </row>
    <row r="27" spans="1:29">
      <c r="A27" t="s">
        <v>223</v>
      </c>
      <c r="B27" s="2">
        <v>46058</v>
      </c>
      <c r="C27" t="s">
        <v>224</v>
      </c>
      <c r="D27" t="s">
        <v>225</v>
      </c>
      <c r="E27" t="s">
        <v>226</v>
      </c>
      <c r="F27" t="s">
        <v>227</v>
      </c>
      <c r="G27" t="s">
        <v>79</v>
      </c>
      <c r="H27" t="s">
        <v>228</v>
      </c>
      <c r="I27" t="s">
        <v>36</v>
      </c>
      <c r="J27" t="s">
        <v>62</v>
      </c>
      <c r="K27" t="s">
        <v>114</v>
      </c>
      <c r="L27" t="s">
        <v>154</v>
      </c>
      <c r="M27" t="s">
        <v>166</v>
      </c>
      <c r="N27" t="s">
        <v>167</v>
      </c>
      <c r="O27" s="3">
        <v>385000</v>
      </c>
      <c r="P27" s="4">
        <v>65</v>
      </c>
      <c r="Q27" s="2">
        <v>46152</v>
      </c>
      <c r="R27" s="2">
        <v>46231</v>
      </c>
      <c r="S27" s="2">
        <v>46066</v>
      </c>
      <c r="T27" s="2"/>
      <c r="U27" t="str">
        <f t="shared" si="0"/>
        <v>No</v>
      </c>
      <c r="W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" t="str">
        <f t="shared" ca="1" si="1"/>
        <v>Due/Open</v>
      </c>
      <c r="Y27" t="str">
        <f t="shared" si="2"/>
        <v>Open</v>
      </c>
      <c r="Z27" t="str">
        <f t="shared" si="3"/>
        <v>Feb-2026</v>
      </c>
      <c r="AA27" t="str">
        <f t="shared" si="4"/>
        <v>Q1 2026</v>
      </c>
      <c r="AB27" s="4">
        <f t="shared" ca="1" si="5"/>
        <v>141</v>
      </c>
      <c r="AC27" t="str">
        <f t="shared" si="6"/>
        <v>High</v>
      </c>
    </row>
    <row r="28" spans="1:29">
      <c r="A28" t="s">
        <v>229</v>
      </c>
      <c r="B28" s="2">
        <v>45884</v>
      </c>
      <c r="C28" t="s">
        <v>230</v>
      </c>
      <c r="D28" t="s">
        <v>231</v>
      </c>
      <c r="E28" t="s">
        <v>232</v>
      </c>
      <c r="F28" t="s">
        <v>233</v>
      </c>
      <c r="G28" t="s">
        <v>34</v>
      </c>
      <c r="H28" t="s">
        <v>160</v>
      </c>
      <c r="I28" t="s">
        <v>141</v>
      </c>
      <c r="J28" t="s">
        <v>131</v>
      </c>
      <c r="K28" t="s">
        <v>51</v>
      </c>
      <c r="L28" t="s">
        <v>39</v>
      </c>
      <c r="M28" t="s">
        <v>73</v>
      </c>
      <c r="N28" t="s">
        <v>73</v>
      </c>
      <c r="O28" s="3">
        <v>150000</v>
      </c>
      <c r="P28" s="4">
        <v>80</v>
      </c>
      <c r="Q28" s="2">
        <v>45973</v>
      </c>
      <c r="R28" s="2">
        <v>46175</v>
      </c>
      <c r="S28" s="2">
        <v>45885</v>
      </c>
      <c r="T28" s="2"/>
      <c r="U28" t="str">
        <f t="shared" si="0"/>
        <v>No</v>
      </c>
      <c r="W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" t="str">
        <f t="shared" ca="1" si="1"/>
        <v>Overdue</v>
      </c>
      <c r="Y28" t="str">
        <f t="shared" si="2"/>
        <v>Open</v>
      </c>
      <c r="Z28" t="str">
        <f t="shared" si="3"/>
        <v>Aug-2025</v>
      </c>
      <c r="AA28" t="str">
        <f t="shared" si="4"/>
        <v>Q3 2025</v>
      </c>
      <c r="AB28" s="4">
        <f t="shared" ca="1" si="5"/>
        <v>315</v>
      </c>
      <c r="AC28" t="str">
        <f t="shared" si="6"/>
        <v>Medium</v>
      </c>
    </row>
    <row r="29" spans="1:29">
      <c r="A29" t="s">
        <v>234</v>
      </c>
      <c r="B29" s="2">
        <v>46014</v>
      </c>
      <c r="C29" t="s">
        <v>235</v>
      </c>
      <c r="D29" t="s">
        <v>176</v>
      </c>
      <c r="E29" t="s">
        <v>236</v>
      </c>
      <c r="F29" t="s">
        <v>237</v>
      </c>
      <c r="G29" t="s">
        <v>34</v>
      </c>
      <c r="H29" t="s">
        <v>238</v>
      </c>
      <c r="I29" t="s">
        <v>141</v>
      </c>
      <c r="J29" t="s">
        <v>50</v>
      </c>
      <c r="K29" t="s">
        <v>38</v>
      </c>
      <c r="L29" t="s">
        <v>239</v>
      </c>
      <c r="M29" t="s">
        <v>166</v>
      </c>
      <c r="N29" t="s">
        <v>167</v>
      </c>
      <c r="O29" s="3">
        <v>455000</v>
      </c>
      <c r="P29" s="4">
        <v>60</v>
      </c>
      <c r="Q29" s="2">
        <v>46092</v>
      </c>
      <c r="R29" s="2">
        <v>46171</v>
      </c>
      <c r="S29" s="2">
        <v>46019</v>
      </c>
      <c r="T29" s="2"/>
      <c r="U29" t="str">
        <f t="shared" si="0"/>
        <v>No</v>
      </c>
      <c r="W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" t="str">
        <f t="shared" ca="1" si="1"/>
        <v>Overdue</v>
      </c>
      <c r="Y29" t="str">
        <f t="shared" si="2"/>
        <v>Open</v>
      </c>
      <c r="Z29" t="str">
        <f t="shared" si="3"/>
        <v>Dec-2025</v>
      </c>
      <c r="AA29" t="str">
        <f t="shared" si="4"/>
        <v>Q4 2025</v>
      </c>
      <c r="AB29" s="4">
        <f t="shared" ca="1" si="5"/>
        <v>185</v>
      </c>
      <c r="AC29" t="str">
        <f t="shared" si="6"/>
        <v>High</v>
      </c>
    </row>
    <row r="30" spans="1:29">
      <c r="A30" t="s">
        <v>240</v>
      </c>
      <c r="B30" s="2">
        <v>45886</v>
      </c>
      <c r="C30" t="s">
        <v>241</v>
      </c>
      <c r="D30" t="s">
        <v>242</v>
      </c>
      <c r="E30" t="s">
        <v>243</v>
      </c>
      <c r="F30" t="s">
        <v>244</v>
      </c>
      <c r="G30" t="s">
        <v>79</v>
      </c>
      <c r="H30" t="s">
        <v>228</v>
      </c>
      <c r="I30" t="s">
        <v>141</v>
      </c>
      <c r="J30" t="s">
        <v>124</v>
      </c>
      <c r="K30" t="s">
        <v>114</v>
      </c>
      <c r="L30" t="s">
        <v>52</v>
      </c>
      <c r="M30" t="s">
        <v>116</v>
      </c>
      <c r="N30" t="s">
        <v>54</v>
      </c>
      <c r="O30" s="3">
        <v>90000</v>
      </c>
      <c r="P30" s="4">
        <v>20</v>
      </c>
      <c r="Q30" s="2">
        <v>45953</v>
      </c>
      <c r="R30" s="2">
        <v>46210</v>
      </c>
      <c r="S30" s="2">
        <v>45899</v>
      </c>
      <c r="T30" s="2"/>
      <c r="U30" t="str">
        <f t="shared" si="0"/>
        <v>No</v>
      </c>
      <c r="W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" t="str">
        <f t="shared" ca="1" si="1"/>
        <v>Due/Open</v>
      </c>
      <c r="Y30" t="str">
        <f t="shared" si="2"/>
        <v>Open</v>
      </c>
      <c r="Z30" t="str">
        <f t="shared" si="3"/>
        <v>Aug-2025</v>
      </c>
      <c r="AA30" t="str">
        <f t="shared" si="4"/>
        <v>Q3 2025</v>
      </c>
      <c r="AB30" s="4">
        <f t="shared" ca="1" si="5"/>
        <v>313</v>
      </c>
      <c r="AC30" t="str">
        <f t="shared" si="6"/>
        <v>Low</v>
      </c>
    </row>
    <row r="31" spans="1:29">
      <c r="A31" t="s">
        <v>245</v>
      </c>
      <c r="B31" s="2">
        <v>45985</v>
      </c>
      <c r="C31" t="s">
        <v>246</v>
      </c>
      <c r="D31" t="s">
        <v>247</v>
      </c>
      <c r="E31" t="s">
        <v>248</v>
      </c>
      <c r="F31" t="s">
        <v>249</v>
      </c>
      <c r="G31" t="s">
        <v>69</v>
      </c>
      <c r="H31" t="s">
        <v>70</v>
      </c>
      <c r="I31" t="s">
        <v>141</v>
      </c>
      <c r="J31" t="s">
        <v>62</v>
      </c>
      <c r="K31" t="s">
        <v>114</v>
      </c>
      <c r="L31" t="s">
        <v>125</v>
      </c>
      <c r="M31" t="s">
        <v>116</v>
      </c>
      <c r="N31" t="s">
        <v>54</v>
      </c>
      <c r="O31" s="3">
        <v>150000</v>
      </c>
      <c r="P31" s="4">
        <v>20</v>
      </c>
      <c r="Q31" s="2">
        <v>46079</v>
      </c>
      <c r="R31" s="2">
        <v>46204</v>
      </c>
      <c r="S31" s="2">
        <v>45998</v>
      </c>
      <c r="T31" s="2"/>
      <c r="U31" t="str">
        <f t="shared" si="0"/>
        <v>No</v>
      </c>
      <c r="W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" t="str">
        <f t="shared" ca="1" si="1"/>
        <v>Due/Open</v>
      </c>
      <c r="Y31" t="str">
        <f t="shared" si="2"/>
        <v>Open</v>
      </c>
      <c r="Z31" t="str">
        <f t="shared" si="3"/>
        <v>Nov-2025</v>
      </c>
      <c r="AA31" t="str">
        <f t="shared" si="4"/>
        <v>Q4 2025</v>
      </c>
      <c r="AB31" s="4">
        <f t="shared" ca="1" si="5"/>
        <v>214</v>
      </c>
      <c r="AC31" t="str">
        <f t="shared" si="6"/>
        <v>Medium</v>
      </c>
    </row>
    <row r="32" spans="1:29">
      <c r="A32" t="s">
        <v>250</v>
      </c>
      <c r="B32" s="2">
        <v>46002</v>
      </c>
      <c r="C32" t="s">
        <v>251</v>
      </c>
      <c r="D32" t="s">
        <v>252</v>
      </c>
      <c r="E32" t="s">
        <v>253</v>
      </c>
      <c r="F32" t="s">
        <v>254</v>
      </c>
      <c r="G32" t="s">
        <v>47</v>
      </c>
      <c r="H32" t="s">
        <v>48</v>
      </c>
      <c r="I32" t="s">
        <v>141</v>
      </c>
      <c r="J32" t="s">
        <v>37</v>
      </c>
      <c r="K32" t="s">
        <v>38</v>
      </c>
      <c r="L32" t="s">
        <v>72</v>
      </c>
      <c r="M32" t="s">
        <v>90</v>
      </c>
      <c r="N32" t="s">
        <v>91</v>
      </c>
      <c r="O32" s="3">
        <v>120000</v>
      </c>
      <c r="P32" s="4">
        <v>55</v>
      </c>
      <c r="Q32" s="2">
        <v>46046</v>
      </c>
      <c r="R32" s="2">
        <v>46194</v>
      </c>
      <c r="S32" s="2">
        <v>46015</v>
      </c>
      <c r="T32" s="2"/>
      <c r="U32" t="str">
        <f t="shared" si="0"/>
        <v>No</v>
      </c>
      <c r="W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" t="str">
        <f t="shared" ca="1" si="1"/>
        <v>Overdue</v>
      </c>
      <c r="Y32" t="str">
        <f t="shared" si="2"/>
        <v>Open</v>
      </c>
      <c r="Z32" t="str">
        <f t="shared" si="3"/>
        <v>Dec-2025</v>
      </c>
      <c r="AA32" t="str">
        <f t="shared" si="4"/>
        <v>Q4 2025</v>
      </c>
      <c r="AB32" s="4">
        <f t="shared" ca="1" si="5"/>
        <v>197</v>
      </c>
      <c r="AC32" t="str">
        <f t="shared" si="6"/>
        <v>Medium</v>
      </c>
    </row>
    <row r="33" spans="1:29">
      <c r="A33" t="s">
        <v>255</v>
      </c>
      <c r="B33" s="2">
        <v>46001</v>
      </c>
      <c r="C33" t="s">
        <v>256</v>
      </c>
      <c r="D33" t="s">
        <v>257</v>
      </c>
      <c r="E33" t="s">
        <v>258</v>
      </c>
      <c r="F33" t="s">
        <v>259</v>
      </c>
      <c r="G33" t="s">
        <v>79</v>
      </c>
      <c r="H33" t="s">
        <v>260</v>
      </c>
      <c r="I33" t="s">
        <v>36</v>
      </c>
      <c r="J33" t="s">
        <v>37</v>
      </c>
      <c r="K33" t="s">
        <v>51</v>
      </c>
      <c r="L33" t="s">
        <v>125</v>
      </c>
      <c r="M33" t="s">
        <v>133</v>
      </c>
      <c r="N33" t="s">
        <v>134</v>
      </c>
      <c r="O33" s="3">
        <v>40000</v>
      </c>
      <c r="P33" s="4">
        <v>0</v>
      </c>
      <c r="Q33" s="2">
        <v>46011</v>
      </c>
      <c r="R33" s="2"/>
      <c r="S33" s="2">
        <v>46025</v>
      </c>
      <c r="T33" s="2">
        <v>46011</v>
      </c>
      <c r="U33" t="str">
        <f t="shared" si="0"/>
        <v>No</v>
      </c>
      <c r="V33" t="s">
        <v>135</v>
      </c>
      <c r="W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33" t="str">
        <f t="shared" ca="1" si="1"/>
        <v>Closed</v>
      </c>
      <c r="Y33" t="str">
        <f t="shared" si="2"/>
        <v>Closed</v>
      </c>
      <c r="Z33" t="str">
        <f t="shared" si="3"/>
        <v>Dec-2025</v>
      </c>
      <c r="AA33" t="str">
        <f t="shared" si="4"/>
        <v>Q4 2025</v>
      </c>
      <c r="AB33" s="4">
        <f t="shared" ca="1" si="5"/>
        <v>198</v>
      </c>
      <c r="AC33" t="str">
        <f t="shared" si="6"/>
        <v>Low</v>
      </c>
    </row>
    <row r="34" spans="1:29">
      <c r="A34" t="s">
        <v>261</v>
      </c>
      <c r="B34" s="2">
        <v>46187</v>
      </c>
      <c r="C34" t="s">
        <v>262</v>
      </c>
      <c r="D34" t="s">
        <v>263</v>
      </c>
      <c r="E34" t="s">
        <v>264</v>
      </c>
      <c r="F34" t="s">
        <v>265</v>
      </c>
      <c r="G34" t="s">
        <v>34</v>
      </c>
      <c r="H34" t="s">
        <v>173</v>
      </c>
      <c r="I34" t="s">
        <v>36</v>
      </c>
      <c r="J34" t="s">
        <v>99</v>
      </c>
      <c r="K34" t="s">
        <v>71</v>
      </c>
      <c r="L34" t="s">
        <v>81</v>
      </c>
      <c r="M34" t="s">
        <v>53</v>
      </c>
      <c r="N34" t="s">
        <v>54</v>
      </c>
      <c r="O34" s="3">
        <v>555000</v>
      </c>
      <c r="P34" s="4">
        <v>30</v>
      </c>
      <c r="Q34" s="2">
        <v>46258</v>
      </c>
      <c r="R34" s="2">
        <v>46243</v>
      </c>
      <c r="S34" s="2">
        <v>46193</v>
      </c>
      <c r="T34" s="2"/>
      <c r="U34" t="str">
        <f t="shared" si="0"/>
        <v>No</v>
      </c>
      <c r="W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" t="str">
        <f t="shared" ca="1" si="1"/>
        <v>Due/Open</v>
      </c>
      <c r="Y34" t="str">
        <f t="shared" si="2"/>
        <v>Open</v>
      </c>
      <c r="Z34" t="str">
        <f t="shared" si="3"/>
        <v>Jun-2026</v>
      </c>
      <c r="AA34" t="str">
        <f t="shared" si="4"/>
        <v>Q2 2026</v>
      </c>
      <c r="AB34" s="4">
        <f t="shared" ca="1" si="5"/>
        <v>12</v>
      </c>
      <c r="AC34" t="str">
        <f t="shared" si="6"/>
        <v>High</v>
      </c>
    </row>
    <row r="35" spans="1:29">
      <c r="A35" t="s">
        <v>266</v>
      </c>
      <c r="B35" s="2">
        <v>45911</v>
      </c>
      <c r="C35" t="s">
        <v>267</v>
      </c>
      <c r="D35" t="s">
        <v>257</v>
      </c>
      <c r="E35" t="s">
        <v>268</v>
      </c>
      <c r="F35" t="s">
        <v>269</v>
      </c>
      <c r="G35" t="s">
        <v>69</v>
      </c>
      <c r="H35" t="s">
        <v>270</v>
      </c>
      <c r="I35" t="s">
        <v>141</v>
      </c>
      <c r="J35" t="s">
        <v>37</v>
      </c>
      <c r="K35" t="s">
        <v>114</v>
      </c>
      <c r="L35" t="s">
        <v>52</v>
      </c>
      <c r="M35" t="s">
        <v>166</v>
      </c>
      <c r="N35" t="s">
        <v>167</v>
      </c>
      <c r="O35" s="3">
        <v>40000</v>
      </c>
      <c r="P35" s="4">
        <v>70</v>
      </c>
      <c r="Q35" s="2">
        <v>46002</v>
      </c>
      <c r="R35" s="2">
        <v>46168</v>
      </c>
      <c r="S35" s="2">
        <v>45939</v>
      </c>
      <c r="T35" s="2"/>
      <c r="U35" t="str">
        <f t="shared" si="0"/>
        <v>No</v>
      </c>
      <c r="W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5" t="str">
        <f t="shared" ca="1" si="1"/>
        <v>Overdue</v>
      </c>
      <c r="Y35" t="str">
        <f t="shared" si="2"/>
        <v>Open</v>
      </c>
      <c r="Z35" t="str">
        <f t="shared" si="3"/>
        <v>Sep-2025</v>
      </c>
      <c r="AA35" t="str">
        <f t="shared" si="4"/>
        <v>Q3 2025</v>
      </c>
      <c r="AB35" s="4">
        <f t="shared" ca="1" si="5"/>
        <v>288</v>
      </c>
      <c r="AC35" t="str">
        <f t="shared" si="6"/>
        <v>Low</v>
      </c>
    </row>
    <row r="36" spans="1:29">
      <c r="A36" t="s">
        <v>271</v>
      </c>
      <c r="B36" s="2">
        <v>45669</v>
      </c>
      <c r="C36" t="s">
        <v>272</v>
      </c>
      <c r="D36" t="s">
        <v>273</v>
      </c>
      <c r="E36" t="s">
        <v>274</v>
      </c>
      <c r="F36" t="s">
        <v>275</v>
      </c>
      <c r="G36" t="s">
        <v>34</v>
      </c>
      <c r="H36" t="s">
        <v>173</v>
      </c>
      <c r="I36" t="s">
        <v>98</v>
      </c>
      <c r="J36" t="s">
        <v>124</v>
      </c>
      <c r="K36" t="s">
        <v>100</v>
      </c>
      <c r="L36" t="s">
        <v>72</v>
      </c>
      <c r="M36" t="s">
        <v>210</v>
      </c>
      <c r="N36" t="s">
        <v>134</v>
      </c>
      <c r="O36" s="3">
        <v>220000</v>
      </c>
      <c r="P36" s="4">
        <v>0</v>
      </c>
      <c r="Q36" s="2">
        <v>45681</v>
      </c>
      <c r="R36" s="2"/>
      <c r="S36" s="2">
        <v>45686</v>
      </c>
      <c r="T36" s="2">
        <v>45681</v>
      </c>
      <c r="U36" t="str">
        <f t="shared" si="0"/>
        <v>No</v>
      </c>
      <c r="V36" t="s">
        <v>276</v>
      </c>
      <c r="W3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36" t="str">
        <f t="shared" ca="1" si="1"/>
        <v>Closed</v>
      </c>
      <c r="Y36" t="str">
        <f t="shared" si="2"/>
        <v>Closed</v>
      </c>
      <c r="Z36" t="str">
        <f t="shared" si="3"/>
        <v>Jan-2025</v>
      </c>
      <c r="AA36" t="str">
        <f t="shared" si="4"/>
        <v>Q1 2025</v>
      </c>
      <c r="AB36" s="4">
        <f t="shared" ca="1" si="5"/>
        <v>530</v>
      </c>
      <c r="AC36" t="str">
        <f t="shared" si="6"/>
        <v>Medium</v>
      </c>
    </row>
    <row r="37" spans="1:29">
      <c r="A37" t="s">
        <v>277</v>
      </c>
      <c r="B37" s="2">
        <v>46029</v>
      </c>
      <c r="C37" t="s">
        <v>65</v>
      </c>
      <c r="D37" t="s">
        <v>119</v>
      </c>
      <c r="E37" t="s">
        <v>278</v>
      </c>
      <c r="F37" t="s">
        <v>279</v>
      </c>
      <c r="G37" t="s">
        <v>79</v>
      </c>
      <c r="H37" t="s">
        <v>260</v>
      </c>
      <c r="I37" t="s">
        <v>98</v>
      </c>
      <c r="J37" t="s">
        <v>124</v>
      </c>
      <c r="K37" t="s">
        <v>38</v>
      </c>
      <c r="L37" t="s">
        <v>52</v>
      </c>
      <c r="M37" t="s">
        <v>116</v>
      </c>
      <c r="N37" t="s">
        <v>54</v>
      </c>
      <c r="O37" s="3">
        <v>295000</v>
      </c>
      <c r="P37" s="4">
        <v>25</v>
      </c>
      <c r="Q37" s="2">
        <v>46053</v>
      </c>
      <c r="R37" s="2">
        <v>46215</v>
      </c>
      <c r="S37" s="2">
        <v>46035</v>
      </c>
      <c r="T37" s="2"/>
      <c r="U37" t="str">
        <f t="shared" si="0"/>
        <v>No</v>
      </c>
      <c r="W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" t="str">
        <f t="shared" ca="1" si="1"/>
        <v>Due/Open</v>
      </c>
      <c r="Y37" t="str">
        <f t="shared" si="2"/>
        <v>Open</v>
      </c>
      <c r="Z37" t="str">
        <f t="shared" si="3"/>
        <v>Jan-2026</v>
      </c>
      <c r="AA37" t="str">
        <f t="shared" si="4"/>
        <v>Q1 2026</v>
      </c>
      <c r="AB37" s="4">
        <f t="shared" ca="1" si="5"/>
        <v>170</v>
      </c>
      <c r="AC37" t="str">
        <f t="shared" si="6"/>
        <v>Medium</v>
      </c>
    </row>
    <row r="38" spans="1:29">
      <c r="A38" t="s">
        <v>280</v>
      </c>
      <c r="B38" s="2">
        <v>45948</v>
      </c>
      <c r="C38" t="s">
        <v>281</v>
      </c>
      <c r="D38" t="s">
        <v>282</v>
      </c>
      <c r="E38" t="s">
        <v>283</v>
      </c>
      <c r="F38" t="s">
        <v>284</v>
      </c>
      <c r="G38" t="s">
        <v>69</v>
      </c>
      <c r="H38" t="s">
        <v>285</v>
      </c>
      <c r="I38" t="s">
        <v>61</v>
      </c>
      <c r="J38" t="s">
        <v>124</v>
      </c>
      <c r="K38" t="s">
        <v>71</v>
      </c>
      <c r="L38" t="s">
        <v>52</v>
      </c>
      <c r="M38" t="s">
        <v>53</v>
      </c>
      <c r="N38" t="s">
        <v>54</v>
      </c>
      <c r="O38" s="3">
        <v>345000</v>
      </c>
      <c r="P38" s="4">
        <v>25</v>
      </c>
      <c r="Q38" s="2">
        <v>46002</v>
      </c>
      <c r="R38" s="2">
        <v>46156</v>
      </c>
      <c r="S38" s="2">
        <v>45966</v>
      </c>
      <c r="T38" s="2"/>
      <c r="U38" t="str">
        <f t="shared" si="0"/>
        <v>No</v>
      </c>
      <c r="W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" t="str">
        <f t="shared" ca="1" si="1"/>
        <v>Overdue</v>
      </c>
      <c r="Y38" t="str">
        <f t="shared" si="2"/>
        <v>Open</v>
      </c>
      <c r="Z38" t="str">
        <f t="shared" si="3"/>
        <v>Oct-2025</v>
      </c>
      <c r="AA38" t="str">
        <f t="shared" si="4"/>
        <v>Q4 2025</v>
      </c>
      <c r="AB38" s="4">
        <f t="shared" ca="1" si="5"/>
        <v>251</v>
      </c>
      <c r="AC38" t="str">
        <f t="shared" si="6"/>
        <v>High</v>
      </c>
    </row>
    <row r="39" spans="1:29">
      <c r="A39" t="s">
        <v>286</v>
      </c>
      <c r="B39" s="2">
        <v>45925</v>
      </c>
      <c r="C39" t="s">
        <v>287</v>
      </c>
      <c r="D39" t="s">
        <v>288</v>
      </c>
      <c r="E39" t="s">
        <v>289</v>
      </c>
      <c r="F39" t="s">
        <v>290</v>
      </c>
      <c r="G39" t="s">
        <v>179</v>
      </c>
      <c r="H39" t="s">
        <v>186</v>
      </c>
      <c r="I39" t="s">
        <v>98</v>
      </c>
      <c r="J39" t="s">
        <v>37</v>
      </c>
      <c r="K39" t="s">
        <v>114</v>
      </c>
      <c r="L39" t="s">
        <v>154</v>
      </c>
      <c r="M39" t="s">
        <v>53</v>
      </c>
      <c r="N39" t="s">
        <v>54</v>
      </c>
      <c r="O39" s="3">
        <v>150000</v>
      </c>
      <c r="P39" s="4">
        <v>35</v>
      </c>
      <c r="Q39" s="2">
        <v>45987</v>
      </c>
      <c r="R39" s="2">
        <v>46230</v>
      </c>
      <c r="S39" s="2">
        <v>45953</v>
      </c>
      <c r="T39" s="2"/>
      <c r="U39" t="str">
        <f t="shared" si="0"/>
        <v>No</v>
      </c>
      <c r="W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" t="str">
        <f t="shared" ca="1" si="1"/>
        <v>Due/Open</v>
      </c>
      <c r="Y39" t="str">
        <f t="shared" si="2"/>
        <v>Open</v>
      </c>
      <c r="Z39" t="str">
        <f t="shared" si="3"/>
        <v>Sep-2025</v>
      </c>
      <c r="AA39" t="str">
        <f t="shared" si="4"/>
        <v>Q3 2025</v>
      </c>
      <c r="AB39" s="4">
        <f t="shared" ca="1" si="5"/>
        <v>274</v>
      </c>
      <c r="AC39" t="str">
        <f t="shared" si="6"/>
        <v>Medium</v>
      </c>
    </row>
    <row r="40" spans="1:29">
      <c r="A40" t="s">
        <v>291</v>
      </c>
      <c r="B40" s="2">
        <v>45760</v>
      </c>
      <c r="C40" t="s">
        <v>292</v>
      </c>
      <c r="D40" t="s">
        <v>293</v>
      </c>
      <c r="E40" t="s">
        <v>294</v>
      </c>
      <c r="F40" t="s">
        <v>295</v>
      </c>
      <c r="G40" t="s">
        <v>179</v>
      </c>
      <c r="H40" t="s">
        <v>296</v>
      </c>
      <c r="I40" t="s">
        <v>98</v>
      </c>
      <c r="J40" t="s">
        <v>62</v>
      </c>
      <c r="K40" t="s">
        <v>51</v>
      </c>
      <c r="L40" t="s">
        <v>107</v>
      </c>
      <c r="M40" t="s">
        <v>40</v>
      </c>
      <c r="N40" t="s">
        <v>41</v>
      </c>
      <c r="O40" s="3">
        <v>175000</v>
      </c>
      <c r="P40" s="4">
        <v>100</v>
      </c>
      <c r="Q40" s="2">
        <v>45810</v>
      </c>
      <c r="R40" s="2"/>
      <c r="S40" s="2">
        <v>45780</v>
      </c>
      <c r="T40" s="2">
        <v>45810</v>
      </c>
      <c r="U40" t="str">
        <f t="shared" si="0"/>
        <v>Yes</v>
      </c>
      <c r="W4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40" t="str">
        <f t="shared" ca="1" si="1"/>
        <v>Closed</v>
      </c>
      <c r="Y40" t="str">
        <f t="shared" si="2"/>
        <v>Closed</v>
      </c>
      <c r="Z40" t="str">
        <f t="shared" si="3"/>
        <v>Apr-2025</v>
      </c>
      <c r="AA40" t="str">
        <f t="shared" si="4"/>
        <v>Q2 2025</v>
      </c>
      <c r="AB40" s="4">
        <f t="shared" ca="1" si="5"/>
        <v>439</v>
      </c>
      <c r="AC40" t="str">
        <f t="shared" si="6"/>
        <v>Medium</v>
      </c>
    </row>
    <row r="41" spans="1:29">
      <c r="A41" t="s">
        <v>297</v>
      </c>
      <c r="B41" s="2">
        <v>46176</v>
      </c>
      <c r="C41" t="s">
        <v>298</v>
      </c>
      <c r="D41" t="s">
        <v>299</v>
      </c>
      <c r="E41" t="s">
        <v>300</v>
      </c>
      <c r="F41" t="s">
        <v>301</v>
      </c>
      <c r="G41" t="s">
        <v>34</v>
      </c>
      <c r="H41" t="s">
        <v>60</v>
      </c>
      <c r="I41" t="s">
        <v>148</v>
      </c>
      <c r="J41" t="s">
        <v>131</v>
      </c>
      <c r="K41" t="s">
        <v>100</v>
      </c>
      <c r="L41" t="s">
        <v>142</v>
      </c>
      <c r="M41" t="s">
        <v>40</v>
      </c>
      <c r="N41" t="s">
        <v>41</v>
      </c>
      <c r="O41" s="3">
        <v>210000</v>
      </c>
      <c r="P41" s="4">
        <v>100</v>
      </c>
      <c r="Q41" s="2">
        <v>46194</v>
      </c>
      <c r="R41" s="2"/>
      <c r="S41" s="2">
        <v>46192</v>
      </c>
      <c r="T41" s="2">
        <v>46194</v>
      </c>
      <c r="U41" t="str">
        <f t="shared" si="0"/>
        <v>Yes</v>
      </c>
      <c r="W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18</v>
      </c>
      <c r="X41" t="str">
        <f t="shared" ca="1" si="1"/>
        <v>Closed</v>
      </c>
      <c r="Y41" t="str">
        <f t="shared" si="2"/>
        <v>Closed</v>
      </c>
      <c r="Z41" t="str">
        <f t="shared" si="3"/>
        <v>Jun-2026</v>
      </c>
      <c r="AA41" t="str">
        <f t="shared" si="4"/>
        <v>Q2 2026</v>
      </c>
      <c r="AB41" s="4">
        <f t="shared" ca="1" si="5"/>
        <v>23</v>
      </c>
      <c r="AC41" t="str">
        <f t="shared" si="6"/>
        <v>Medium</v>
      </c>
    </row>
    <row r="42" spans="1:29">
      <c r="A42" t="s">
        <v>302</v>
      </c>
      <c r="B42" s="2">
        <v>46050</v>
      </c>
      <c r="C42" t="s">
        <v>303</v>
      </c>
      <c r="D42" t="s">
        <v>304</v>
      </c>
      <c r="E42" t="s">
        <v>305</v>
      </c>
      <c r="F42" t="s">
        <v>306</v>
      </c>
      <c r="G42" t="s">
        <v>47</v>
      </c>
      <c r="H42" t="s">
        <v>48</v>
      </c>
      <c r="I42" t="s">
        <v>36</v>
      </c>
      <c r="J42" t="s">
        <v>37</v>
      </c>
      <c r="K42" t="s">
        <v>51</v>
      </c>
      <c r="L42" t="s">
        <v>115</v>
      </c>
      <c r="M42" t="s">
        <v>90</v>
      </c>
      <c r="N42" t="s">
        <v>91</v>
      </c>
      <c r="O42" s="3">
        <v>60000</v>
      </c>
      <c r="P42" s="4">
        <v>40</v>
      </c>
      <c r="Q42" s="2">
        <v>46119</v>
      </c>
      <c r="R42" s="2">
        <v>46237</v>
      </c>
      <c r="S42" s="2">
        <v>46065</v>
      </c>
      <c r="T42" s="2"/>
      <c r="U42" t="str">
        <f t="shared" si="0"/>
        <v>No</v>
      </c>
      <c r="W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" t="str">
        <f t="shared" ca="1" si="1"/>
        <v>Due/Open</v>
      </c>
      <c r="Y42" t="str">
        <f t="shared" si="2"/>
        <v>Open</v>
      </c>
      <c r="Z42" t="str">
        <f t="shared" si="3"/>
        <v>Jan-2026</v>
      </c>
      <c r="AA42" t="str">
        <f t="shared" si="4"/>
        <v>Q1 2026</v>
      </c>
      <c r="AB42" s="4">
        <f t="shared" ca="1" si="5"/>
        <v>149</v>
      </c>
      <c r="AC42" t="str">
        <f t="shared" si="6"/>
        <v>Low</v>
      </c>
    </row>
    <row r="43" spans="1:29">
      <c r="A43" t="s">
        <v>307</v>
      </c>
      <c r="B43" s="2">
        <v>46164</v>
      </c>
      <c r="C43" t="s">
        <v>308</v>
      </c>
      <c r="D43" t="s">
        <v>309</v>
      </c>
      <c r="E43" t="s">
        <v>310</v>
      </c>
      <c r="F43" t="s">
        <v>311</v>
      </c>
      <c r="G43" t="s">
        <v>69</v>
      </c>
      <c r="H43" t="s">
        <v>312</v>
      </c>
      <c r="I43" t="s">
        <v>123</v>
      </c>
      <c r="J43" t="s">
        <v>37</v>
      </c>
      <c r="K43" t="s">
        <v>51</v>
      </c>
      <c r="L43" t="s">
        <v>154</v>
      </c>
      <c r="M43" t="s">
        <v>40</v>
      </c>
      <c r="N43" t="s">
        <v>41</v>
      </c>
      <c r="O43" s="3">
        <v>50000</v>
      </c>
      <c r="P43" s="4">
        <v>100</v>
      </c>
      <c r="Q43" s="2">
        <v>46195</v>
      </c>
      <c r="R43" s="2"/>
      <c r="S43" s="2">
        <v>46177</v>
      </c>
      <c r="T43" s="2">
        <v>46195</v>
      </c>
      <c r="U43" t="str">
        <f t="shared" si="0"/>
        <v>Yes</v>
      </c>
      <c r="W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43" t="str">
        <f t="shared" ca="1" si="1"/>
        <v>Closed</v>
      </c>
      <c r="Y43" t="str">
        <f t="shared" si="2"/>
        <v>Closed</v>
      </c>
      <c r="Z43" t="str">
        <f t="shared" si="3"/>
        <v>May-2026</v>
      </c>
      <c r="AA43" t="str">
        <f t="shared" si="4"/>
        <v>Q2 2026</v>
      </c>
      <c r="AB43" s="4">
        <f t="shared" ca="1" si="5"/>
        <v>35</v>
      </c>
      <c r="AC43" t="str">
        <f t="shared" si="6"/>
        <v>Low</v>
      </c>
    </row>
    <row r="44" spans="1:29">
      <c r="A44" t="s">
        <v>313</v>
      </c>
      <c r="B44" s="2">
        <v>45761</v>
      </c>
      <c r="C44" t="s">
        <v>314</v>
      </c>
      <c r="D44" t="s">
        <v>315</v>
      </c>
      <c r="E44" t="s">
        <v>316</v>
      </c>
      <c r="F44" t="s">
        <v>317</v>
      </c>
      <c r="G44" t="s">
        <v>179</v>
      </c>
      <c r="H44" t="s">
        <v>318</v>
      </c>
      <c r="I44" t="s">
        <v>148</v>
      </c>
      <c r="J44" t="s">
        <v>62</v>
      </c>
      <c r="K44" t="s">
        <v>51</v>
      </c>
      <c r="L44" t="s">
        <v>72</v>
      </c>
      <c r="M44" t="s">
        <v>210</v>
      </c>
      <c r="N44" t="s">
        <v>134</v>
      </c>
      <c r="O44" s="3">
        <v>430000</v>
      </c>
      <c r="P44" s="4">
        <v>0</v>
      </c>
      <c r="Q44" s="2">
        <v>45781</v>
      </c>
      <c r="R44" s="2"/>
      <c r="S44" s="2">
        <v>45791</v>
      </c>
      <c r="T44" s="2">
        <v>45781</v>
      </c>
      <c r="U44" t="str">
        <f t="shared" si="0"/>
        <v>No</v>
      </c>
      <c r="V44" t="s">
        <v>319</v>
      </c>
      <c r="W4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44" t="str">
        <f t="shared" ca="1" si="1"/>
        <v>Closed</v>
      </c>
      <c r="Y44" t="str">
        <f t="shared" si="2"/>
        <v>Closed</v>
      </c>
      <c r="Z44" t="str">
        <f t="shared" si="3"/>
        <v>Apr-2025</v>
      </c>
      <c r="AA44" t="str">
        <f t="shared" si="4"/>
        <v>Q2 2025</v>
      </c>
      <c r="AB44" s="4">
        <f t="shared" ca="1" si="5"/>
        <v>438</v>
      </c>
      <c r="AC44" t="str">
        <f t="shared" si="6"/>
        <v>High</v>
      </c>
    </row>
    <row r="45" spans="1:29">
      <c r="A45" t="s">
        <v>320</v>
      </c>
      <c r="B45" s="2">
        <v>45969</v>
      </c>
      <c r="C45" t="s">
        <v>321</v>
      </c>
      <c r="D45" t="s">
        <v>322</v>
      </c>
      <c r="E45" t="s">
        <v>323</v>
      </c>
      <c r="F45" t="s">
        <v>324</v>
      </c>
      <c r="G45" t="s">
        <v>69</v>
      </c>
      <c r="H45" t="s">
        <v>70</v>
      </c>
      <c r="I45" t="s">
        <v>49</v>
      </c>
      <c r="J45" t="s">
        <v>62</v>
      </c>
      <c r="K45" t="s">
        <v>100</v>
      </c>
      <c r="L45" t="s">
        <v>72</v>
      </c>
      <c r="M45" t="s">
        <v>90</v>
      </c>
      <c r="N45" t="s">
        <v>91</v>
      </c>
      <c r="O45" s="3">
        <v>115000</v>
      </c>
      <c r="P45" s="4">
        <v>50</v>
      </c>
      <c r="Q45" s="2">
        <v>46030</v>
      </c>
      <c r="R45" s="2">
        <v>46230</v>
      </c>
      <c r="S45" s="2">
        <v>45985</v>
      </c>
      <c r="T45" s="2"/>
      <c r="U45" t="str">
        <f t="shared" si="0"/>
        <v>No</v>
      </c>
      <c r="W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" t="str">
        <f t="shared" ca="1" si="1"/>
        <v>Due/Open</v>
      </c>
      <c r="Y45" t="str">
        <f t="shared" si="2"/>
        <v>Open</v>
      </c>
      <c r="Z45" t="str">
        <f t="shared" si="3"/>
        <v>Nov-2025</v>
      </c>
      <c r="AA45" t="str">
        <f t="shared" si="4"/>
        <v>Q4 2025</v>
      </c>
      <c r="AB45" s="4">
        <f t="shared" ca="1" si="5"/>
        <v>230</v>
      </c>
      <c r="AC45" t="str">
        <f t="shared" si="6"/>
        <v>Low</v>
      </c>
    </row>
    <row r="46" spans="1:29">
      <c r="A46" t="s">
        <v>325</v>
      </c>
      <c r="B46" s="2">
        <v>46001</v>
      </c>
      <c r="C46" t="s">
        <v>326</v>
      </c>
      <c r="D46" t="s">
        <v>327</v>
      </c>
      <c r="E46" t="s">
        <v>328</v>
      </c>
      <c r="F46" t="s">
        <v>329</v>
      </c>
      <c r="G46" t="s">
        <v>69</v>
      </c>
      <c r="H46" t="s">
        <v>70</v>
      </c>
      <c r="I46" t="s">
        <v>98</v>
      </c>
      <c r="J46" t="s">
        <v>131</v>
      </c>
      <c r="K46" t="s">
        <v>114</v>
      </c>
      <c r="L46" t="s">
        <v>63</v>
      </c>
      <c r="M46" t="s">
        <v>210</v>
      </c>
      <c r="N46" t="s">
        <v>134</v>
      </c>
      <c r="O46" s="3">
        <v>280000</v>
      </c>
      <c r="P46" s="4">
        <v>0</v>
      </c>
      <c r="Q46" s="2">
        <v>46070</v>
      </c>
      <c r="R46" s="2"/>
      <c r="S46" s="2">
        <v>46027</v>
      </c>
      <c r="T46" s="2">
        <v>46070</v>
      </c>
      <c r="U46" t="str">
        <f t="shared" si="0"/>
        <v>No</v>
      </c>
      <c r="V46" t="s">
        <v>276</v>
      </c>
      <c r="W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69</v>
      </c>
      <c r="X46" t="str">
        <f t="shared" ca="1" si="1"/>
        <v>Closed</v>
      </c>
      <c r="Y46" t="str">
        <f t="shared" si="2"/>
        <v>Closed</v>
      </c>
      <c r="Z46" t="str">
        <f t="shared" si="3"/>
        <v>Dec-2025</v>
      </c>
      <c r="AA46" t="str">
        <f t="shared" si="4"/>
        <v>Q4 2025</v>
      </c>
      <c r="AB46" s="4">
        <f t="shared" ca="1" si="5"/>
        <v>198</v>
      </c>
      <c r="AC46" t="str">
        <f t="shared" si="6"/>
        <v>Medium</v>
      </c>
    </row>
    <row r="47" spans="1:29">
      <c r="A47" t="s">
        <v>330</v>
      </c>
      <c r="B47" s="2">
        <v>46071</v>
      </c>
      <c r="C47" t="s">
        <v>331</v>
      </c>
      <c r="D47" t="s">
        <v>332</v>
      </c>
      <c r="E47" t="s">
        <v>333</v>
      </c>
      <c r="F47" t="s">
        <v>334</v>
      </c>
      <c r="G47" t="s">
        <v>34</v>
      </c>
      <c r="H47" t="s">
        <v>60</v>
      </c>
      <c r="I47" t="s">
        <v>36</v>
      </c>
      <c r="J47" t="s">
        <v>131</v>
      </c>
      <c r="K47" t="s">
        <v>114</v>
      </c>
      <c r="L47" t="s">
        <v>125</v>
      </c>
      <c r="M47" t="s">
        <v>53</v>
      </c>
      <c r="N47" t="s">
        <v>54</v>
      </c>
      <c r="O47" s="3">
        <v>260000</v>
      </c>
      <c r="P47" s="4">
        <v>25</v>
      </c>
      <c r="Q47" s="2">
        <v>46163</v>
      </c>
      <c r="R47" s="2">
        <v>46189</v>
      </c>
      <c r="S47" s="2">
        <v>46079</v>
      </c>
      <c r="T47" s="2"/>
      <c r="U47" t="str">
        <f t="shared" si="0"/>
        <v>No</v>
      </c>
      <c r="W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" t="str">
        <f t="shared" ca="1" si="1"/>
        <v>Overdue</v>
      </c>
      <c r="Y47" t="str">
        <f t="shared" si="2"/>
        <v>Open</v>
      </c>
      <c r="Z47" t="str">
        <f t="shared" si="3"/>
        <v>Feb-2026</v>
      </c>
      <c r="AA47" t="str">
        <f t="shared" si="4"/>
        <v>Q1 2026</v>
      </c>
      <c r="AB47" s="4">
        <f t="shared" ca="1" si="5"/>
        <v>128</v>
      </c>
      <c r="AC47" t="str">
        <f t="shared" si="6"/>
        <v>Medium</v>
      </c>
    </row>
    <row r="48" spans="1:29">
      <c r="A48" t="s">
        <v>335</v>
      </c>
      <c r="B48" s="2">
        <v>46181</v>
      </c>
      <c r="C48" t="s">
        <v>336</v>
      </c>
      <c r="D48" t="s">
        <v>337</v>
      </c>
      <c r="E48" t="s">
        <v>338</v>
      </c>
      <c r="F48" t="s">
        <v>339</v>
      </c>
      <c r="G48" t="s">
        <v>79</v>
      </c>
      <c r="H48" t="s">
        <v>260</v>
      </c>
      <c r="I48" t="s">
        <v>49</v>
      </c>
      <c r="J48" t="s">
        <v>37</v>
      </c>
      <c r="K48" t="s">
        <v>194</v>
      </c>
      <c r="L48" t="s">
        <v>154</v>
      </c>
      <c r="M48" t="s">
        <v>73</v>
      </c>
      <c r="N48" t="s">
        <v>73</v>
      </c>
      <c r="O48" s="3">
        <v>60000</v>
      </c>
      <c r="P48" s="4">
        <v>85</v>
      </c>
      <c r="Q48" s="2">
        <v>46247</v>
      </c>
      <c r="R48" s="2">
        <v>46224</v>
      </c>
      <c r="S48" s="2">
        <v>46193</v>
      </c>
      <c r="T48" s="2"/>
      <c r="U48" t="str">
        <f t="shared" si="0"/>
        <v>No</v>
      </c>
      <c r="W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" t="str">
        <f t="shared" ca="1" si="1"/>
        <v>Due/Open</v>
      </c>
      <c r="Y48" t="str">
        <f t="shared" si="2"/>
        <v>Open</v>
      </c>
      <c r="Z48" t="str">
        <f t="shared" si="3"/>
        <v>Jun-2026</v>
      </c>
      <c r="AA48" t="str">
        <f t="shared" si="4"/>
        <v>Q2 2026</v>
      </c>
      <c r="AB48" s="4">
        <f t="shared" ca="1" si="5"/>
        <v>18</v>
      </c>
      <c r="AC48" t="str">
        <f t="shared" si="6"/>
        <v>Low</v>
      </c>
    </row>
    <row r="49" spans="1:29">
      <c r="A49" t="s">
        <v>340</v>
      </c>
      <c r="B49" s="2">
        <v>45819</v>
      </c>
      <c r="C49" t="s">
        <v>341</v>
      </c>
      <c r="D49" t="s">
        <v>342</v>
      </c>
      <c r="E49" t="s">
        <v>343</v>
      </c>
      <c r="F49" t="s">
        <v>344</v>
      </c>
      <c r="G49" t="s">
        <v>79</v>
      </c>
      <c r="H49" t="s">
        <v>260</v>
      </c>
      <c r="I49" t="s">
        <v>123</v>
      </c>
      <c r="J49" t="s">
        <v>37</v>
      </c>
      <c r="K49" t="s">
        <v>114</v>
      </c>
      <c r="L49" t="s">
        <v>107</v>
      </c>
      <c r="M49" t="s">
        <v>73</v>
      </c>
      <c r="N49" t="s">
        <v>73</v>
      </c>
      <c r="O49" s="3">
        <v>140000</v>
      </c>
      <c r="P49" s="4">
        <v>75</v>
      </c>
      <c r="Q49" s="2">
        <v>45847</v>
      </c>
      <c r="R49" s="2">
        <v>46189</v>
      </c>
      <c r="S49" s="2">
        <v>45825</v>
      </c>
      <c r="T49" s="2"/>
      <c r="U49" t="str">
        <f t="shared" si="0"/>
        <v>No</v>
      </c>
      <c r="W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" t="str">
        <f t="shared" ca="1" si="1"/>
        <v>Overdue</v>
      </c>
      <c r="Y49" t="str">
        <f t="shared" si="2"/>
        <v>Open</v>
      </c>
      <c r="Z49" t="str">
        <f t="shared" si="3"/>
        <v>Jun-2025</v>
      </c>
      <c r="AA49" t="str">
        <f t="shared" si="4"/>
        <v>Q2 2025</v>
      </c>
      <c r="AB49" s="4">
        <f t="shared" ca="1" si="5"/>
        <v>380</v>
      </c>
      <c r="AC49" t="str">
        <f t="shared" si="6"/>
        <v>Medium</v>
      </c>
    </row>
    <row r="50" spans="1:29">
      <c r="A50" t="s">
        <v>345</v>
      </c>
      <c r="B50" s="2">
        <v>45687</v>
      </c>
      <c r="C50" t="s">
        <v>346</v>
      </c>
      <c r="D50" t="s">
        <v>347</v>
      </c>
      <c r="E50" t="s">
        <v>348</v>
      </c>
      <c r="F50" t="s">
        <v>349</v>
      </c>
      <c r="G50" t="s">
        <v>79</v>
      </c>
      <c r="H50" t="s">
        <v>228</v>
      </c>
      <c r="I50" t="s">
        <v>123</v>
      </c>
      <c r="J50" t="s">
        <v>131</v>
      </c>
      <c r="K50" t="s">
        <v>71</v>
      </c>
      <c r="L50" t="s">
        <v>239</v>
      </c>
      <c r="M50" t="s">
        <v>90</v>
      </c>
      <c r="N50" t="s">
        <v>91</v>
      </c>
      <c r="O50" s="3">
        <v>255000</v>
      </c>
      <c r="P50" s="4">
        <v>40</v>
      </c>
      <c r="Q50" s="2">
        <v>45779</v>
      </c>
      <c r="R50" s="2">
        <v>46170</v>
      </c>
      <c r="S50" s="2">
        <v>45707</v>
      </c>
      <c r="T50" s="2"/>
      <c r="U50" t="str">
        <f t="shared" si="0"/>
        <v>No</v>
      </c>
      <c r="W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" t="str">
        <f t="shared" ca="1" si="1"/>
        <v>Overdue</v>
      </c>
      <c r="Y50" t="str">
        <f t="shared" si="2"/>
        <v>Open</v>
      </c>
      <c r="Z50" t="str">
        <f t="shared" si="3"/>
        <v>Jan-2025</v>
      </c>
      <c r="AA50" t="str">
        <f t="shared" si="4"/>
        <v>Q1 2025</v>
      </c>
      <c r="AB50" s="4">
        <f t="shared" ca="1" si="5"/>
        <v>512</v>
      </c>
      <c r="AC50" t="str">
        <f t="shared" si="6"/>
        <v>Medium</v>
      </c>
    </row>
    <row r="51" spans="1:29">
      <c r="A51" t="s">
        <v>350</v>
      </c>
      <c r="B51" s="2">
        <v>45972</v>
      </c>
      <c r="C51" t="s">
        <v>351</v>
      </c>
      <c r="D51" t="s">
        <v>352</v>
      </c>
      <c r="E51" t="s">
        <v>353</v>
      </c>
      <c r="F51" t="s">
        <v>354</v>
      </c>
      <c r="G51" t="s">
        <v>79</v>
      </c>
      <c r="H51" t="s">
        <v>97</v>
      </c>
      <c r="I51" t="s">
        <v>61</v>
      </c>
      <c r="J51" t="s">
        <v>131</v>
      </c>
      <c r="K51" t="s">
        <v>51</v>
      </c>
      <c r="L51" t="s">
        <v>81</v>
      </c>
      <c r="M51" t="s">
        <v>73</v>
      </c>
      <c r="N51" t="s">
        <v>73</v>
      </c>
      <c r="O51" s="3">
        <v>245000</v>
      </c>
      <c r="P51" s="4">
        <v>80</v>
      </c>
      <c r="Q51" s="2">
        <v>46031</v>
      </c>
      <c r="R51" s="2">
        <v>46191</v>
      </c>
      <c r="S51" s="2">
        <v>45986</v>
      </c>
      <c r="T51" s="2"/>
      <c r="U51" t="str">
        <f t="shared" si="0"/>
        <v>No</v>
      </c>
      <c r="W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" t="str">
        <f t="shared" ca="1" si="1"/>
        <v>Overdue</v>
      </c>
      <c r="Y51" t="str">
        <f t="shared" si="2"/>
        <v>Open</v>
      </c>
      <c r="Z51" t="str">
        <f t="shared" si="3"/>
        <v>Nov-2025</v>
      </c>
      <c r="AA51" t="str">
        <f t="shared" si="4"/>
        <v>Q4 2025</v>
      </c>
      <c r="AB51" s="4">
        <f t="shared" ca="1" si="5"/>
        <v>227</v>
      </c>
      <c r="AC51" t="str">
        <f t="shared" si="6"/>
        <v>Medium</v>
      </c>
    </row>
    <row r="52" spans="1:29">
      <c r="A52" t="s">
        <v>355</v>
      </c>
      <c r="B52" s="2">
        <v>46187</v>
      </c>
      <c r="C52" t="s">
        <v>356</v>
      </c>
      <c r="D52" t="s">
        <v>357</v>
      </c>
      <c r="E52" t="s">
        <v>358</v>
      </c>
      <c r="F52" t="s">
        <v>359</v>
      </c>
      <c r="G52" t="s">
        <v>47</v>
      </c>
      <c r="H52" t="s">
        <v>122</v>
      </c>
      <c r="I52" t="s">
        <v>36</v>
      </c>
      <c r="J52" t="s">
        <v>99</v>
      </c>
      <c r="K52" t="s">
        <v>71</v>
      </c>
      <c r="L52" t="s">
        <v>132</v>
      </c>
      <c r="M52" t="s">
        <v>90</v>
      </c>
      <c r="N52" t="s">
        <v>91</v>
      </c>
      <c r="O52" s="3">
        <v>285000</v>
      </c>
      <c r="P52" s="4">
        <v>55</v>
      </c>
      <c r="Q52" s="2">
        <v>46214</v>
      </c>
      <c r="R52" s="2">
        <v>46212</v>
      </c>
      <c r="S52" s="2">
        <v>46193</v>
      </c>
      <c r="T52" s="2"/>
      <c r="U52" t="str">
        <f t="shared" si="0"/>
        <v>No</v>
      </c>
      <c r="W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" t="str">
        <f t="shared" ca="1" si="1"/>
        <v>Due/Open</v>
      </c>
      <c r="Y52" t="str">
        <f t="shared" si="2"/>
        <v>Open</v>
      </c>
      <c r="Z52" t="str">
        <f t="shared" si="3"/>
        <v>Jun-2026</v>
      </c>
      <c r="AA52" t="str">
        <f t="shared" si="4"/>
        <v>Q2 2026</v>
      </c>
      <c r="AB52" s="4">
        <f t="shared" ca="1" si="5"/>
        <v>12</v>
      </c>
      <c r="AC52" t="str">
        <f t="shared" si="6"/>
        <v>Medium</v>
      </c>
    </row>
    <row r="53" spans="1:29">
      <c r="A53" t="s">
        <v>360</v>
      </c>
      <c r="B53" s="2">
        <v>45998</v>
      </c>
      <c r="C53" t="s">
        <v>102</v>
      </c>
      <c r="D53" t="s">
        <v>361</v>
      </c>
      <c r="E53" t="s">
        <v>362</v>
      </c>
      <c r="F53" t="s">
        <v>363</v>
      </c>
      <c r="G53" t="s">
        <v>34</v>
      </c>
      <c r="H53" t="s">
        <v>238</v>
      </c>
      <c r="I53" t="s">
        <v>141</v>
      </c>
      <c r="J53" t="s">
        <v>37</v>
      </c>
      <c r="K53" t="s">
        <v>71</v>
      </c>
      <c r="L53" t="s">
        <v>81</v>
      </c>
      <c r="M53" t="s">
        <v>53</v>
      </c>
      <c r="N53" t="s">
        <v>54</v>
      </c>
      <c r="O53" s="3">
        <v>90000</v>
      </c>
      <c r="P53" s="4">
        <v>30</v>
      </c>
      <c r="Q53" s="2">
        <v>46083</v>
      </c>
      <c r="R53" s="2">
        <v>46207</v>
      </c>
      <c r="S53" s="2">
        <v>46009</v>
      </c>
      <c r="T53" s="2"/>
      <c r="U53" t="str">
        <f t="shared" si="0"/>
        <v>No</v>
      </c>
      <c r="W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" t="str">
        <f t="shared" ca="1" si="1"/>
        <v>Due/Open</v>
      </c>
      <c r="Y53" t="str">
        <f t="shared" si="2"/>
        <v>Open</v>
      </c>
      <c r="Z53" t="str">
        <f t="shared" si="3"/>
        <v>Dec-2025</v>
      </c>
      <c r="AA53" t="str">
        <f t="shared" si="4"/>
        <v>Q4 2025</v>
      </c>
      <c r="AB53" s="4">
        <f t="shared" ca="1" si="5"/>
        <v>201</v>
      </c>
      <c r="AC53" t="str">
        <f t="shared" si="6"/>
        <v>Low</v>
      </c>
    </row>
    <row r="54" spans="1:29">
      <c r="A54" t="s">
        <v>364</v>
      </c>
      <c r="B54" s="2">
        <v>46008</v>
      </c>
      <c r="C54" t="s">
        <v>365</v>
      </c>
      <c r="D54" t="s">
        <v>366</v>
      </c>
      <c r="E54" t="s">
        <v>367</v>
      </c>
      <c r="F54" t="s">
        <v>368</v>
      </c>
      <c r="G54" t="s">
        <v>179</v>
      </c>
      <c r="H54" t="s">
        <v>296</v>
      </c>
      <c r="I54" t="s">
        <v>123</v>
      </c>
      <c r="J54" t="s">
        <v>124</v>
      </c>
      <c r="K54" t="s">
        <v>114</v>
      </c>
      <c r="L54" t="s">
        <v>107</v>
      </c>
      <c r="M54" t="s">
        <v>40</v>
      </c>
      <c r="N54" t="s">
        <v>41</v>
      </c>
      <c r="O54" s="3">
        <v>215000</v>
      </c>
      <c r="P54" s="4">
        <v>100</v>
      </c>
      <c r="Q54" s="2">
        <v>46020</v>
      </c>
      <c r="R54" s="2"/>
      <c r="S54" s="2">
        <v>46022</v>
      </c>
      <c r="T54" s="2">
        <v>46020</v>
      </c>
      <c r="U54" t="str">
        <f t="shared" si="0"/>
        <v>Yes</v>
      </c>
      <c r="W5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54" t="str">
        <f t="shared" ca="1" si="1"/>
        <v>Closed</v>
      </c>
      <c r="Y54" t="str">
        <f t="shared" si="2"/>
        <v>Closed</v>
      </c>
      <c r="Z54" t="str">
        <f t="shared" si="3"/>
        <v>Dec-2025</v>
      </c>
      <c r="AA54" t="str">
        <f t="shared" si="4"/>
        <v>Q4 2025</v>
      </c>
      <c r="AB54" s="4">
        <f t="shared" ca="1" si="5"/>
        <v>191</v>
      </c>
      <c r="AC54" t="str">
        <f t="shared" si="6"/>
        <v>Medium</v>
      </c>
    </row>
    <row r="55" spans="1:29">
      <c r="A55" t="s">
        <v>369</v>
      </c>
      <c r="B55" s="2">
        <v>45894</v>
      </c>
      <c r="C55" t="s">
        <v>370</v>
      </c>
      <c r="D55" t="s">
        <v>252</v>
      </c>
      <c r="E55" t="s">
        <v>371</v>
      </c>
      <c r="F55" t="s">
        <v>372</v>
      </c>
      <c r="G55" t="s">
        <v>69</v>
      </c>
      <c r="H55" t="s">
        <v>200</v>
      </c>
      <c r="I55" t="s">
        <v>49</v>
      </c>
      <c r="J55" t="s">
        <v>62</v>
      </c>
      <c r="K55" t="s">
        <v>100</v>
      </c>
      <c r="L55" t="s">
        <v>81</v>
      </c>
      <c r="M55" t="s">
        <v>166</v>
      </c>
      <c r="N55" t="s">
        <v>167</v>
      </c>
      <c r="O55" s="3">
        <v>290000</v>
      </c>
      <c r="P55" s="4">
        <v>65</v>
      </c>
      <c r="Q55" s="2">
        <v>45982</v>
      </c>
      <c r="R55" s="2">
        <v>46206</v>
      </c>
      <c r="S55" s="2">
        <v>45917</v>
      </c>
      <c r="T55" s="2"/>
      <c r="U55" t="str">
        <f t="shared" si="0"/>
        <v>No</v>
      </c>
      <c r="W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" t="str">
        <f t="shared" ca="1" si="1"/>
        <v>Due/Open</v>
      </c>
      <c r="Y55" t="str">
        <f t="shared" si="2"/>
        <v>Open</v>
      </c>
      <c r="Z55" t="str">
        <f t="shared" si="3"/>
        <v>Aug-2025</v>
      </c>
      <c r="AA55" t="str">
        <f t="shared" si="4"/>
        <v>Q3 2025</v>
      </c>
      <c r="AB55" s="4">
        <f t="shared" ca="1" si="5"/>
        <v>305</v>
      </c>
      <c r="AC55" t="str">
        <f t="shared" si="6"/>
        <v>Medium</v>
      </c>
    </row>
    <row r="56" spans="1:29">
      <c r="A56" t="s">
        <v>373</v>
      </c>
      <c r="B56" s="2">
        <v>45936</v>
      </c>
      <c r="C56" t="s">
        <v>374</v>
      </c>
      <c r="D56" t="s">
        <v>375</v>
      </c>
      <c r="E56" t="s">
        <v>376</v>
      </c>
      <c r="F56" t="s">
        <v>377</v>
      </c>
      <c r="G56" t="s">
        <v>179</v>
      </c>
      <c r="H56" t="s">
        <v>186</v>
      </c>
      <c r="I56" t="s">
        <v>187</v>
      </c>
      <c r="J56" t="s">
        <v>99</v>
      </c>
      <c r="K56" t="s">
        <v>38</v>
      </c>
      <c r="L56" t="s">
        <v>81</v>
      </c>
      <c r="M56" t="s">
        <v>116</v>
      </c>
      <c r="N56" t="s">
        <v>54</v>
      </c>
      <c r="O56" s="3">
        <v>355000</v>
      </c>
      <c r="P56" s="4">
        <v>20</v>
      </c>
      <c r="Q56" s="2">
        <v>45965</v>
      </c>
      <c r="R56" s="2">
        <v>46210</v>
      </c>
      <c r="S56" s="2">
        <v>45956</v>
      </c>
      <c r="T56" s="2"/>
      <c r="U56" t="str">
        <f t="shared" si="0"/>
        <v>No</v>
      </c>
      <c r="W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" t="str">
        <f t="shared" ca="1" si="1"/>
        <v>Due/Open</v>
      </c>
      <c r="Y56" t="str">
        <f t="shared" si="2"/>
        <v>Open</v>
      </c>
      <c r="Z56" t="str">
        <f t="shared" si="3"/>
        <v>Oct-2025</v>
      </c>
      <c r="AA56" t="str">
        <f t="shared" si="4"/>
        <v>Q4 2025</v>
      </c>
      <c r="AB56" s="4">
        <f t="shared" ca="1" si="5"/>
        <v>263</v>
      </c>
      <c r="AC56" t="str">
        <f t="shared" si="6"/>
        <v>High</v>
      </c>
    </row>
    <row r="57" spans="1:29">
      <c r="A57" t="s">
        <v>378</v>
      </c>
      <c r="B57" s="2">
        <v>45858</v>
      </c>
      <c r="C57" t="s">
        <v>379</v>
      </c>
      <c r="D57" t="s">
        <v>315</v>
      </c>
      <c r="E57" t="s">
        <v>380</v>
      </c>
      <c r="F57" t="s">
        <v>381</v>
      </c>
      <c r="G57" t="s">
        <v>34</v>
      </c>
      <c r="H57" t="s">
        <v>160</v>
      </c>
      <c r="I57" t="s">
        <v>36</v>
      </c>
      <c r="J57" t="s">
        <v>124</v>
      </c>
      <c r="K57" t="s">
        <v>194</v>
      </c>
      <c r="L57" t="s">
        <v>81</v>
      </c>
      <c r="M57" t="s">
        <v>90</v>
      </c>
      <c r="N57" t="s">
        <v>91</v>
      </c>
      <c r="O57" s="3">
        <v>240000</v>
      </c>
      <c r="P57" s="4">
        <v>55</v>
      </c>
      <c r="Q57" s="2">
        <v>45945</v>
      </c>
      <c r="R57" s="2">
        <v>46227</v>
      </c>
      <c r="S57" s="2">
        <v>45884</v>
      </c>
      <c r="T57" s="2"/>
      <c r="U57" t="str">
        <f t="shared" si="0"/>
        <v>No</v>
      </c>
      <c r="W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" t="str">
        <f t="shared" ca="1" si="1"/>
        <v>Due/Open</v>
      </c>
      <c r="Y57" t="str">
        <f t="shared" si="2"/>
        <v>Open</v>
      </c>
      <c r="Z57" t="str">
        <f t="shared" si="3"/>
        <v>Jul-2025</v>
      </c>
      <c r="AA57" t="str">
        <f t="shared" si="4"/>
        <v>Q3 2025</v>
      </c>
      <c r="AB57" s="4">
        <f t="shared" ca="1" si="5"/>
        <v>341</v>
      </c>
      <c r="AC57" t="str">
        <f t="shared" si="6"/>
        <v>Medium</v>
      </c>
    </row>
    <row r="58" spans="1:29">
      <c r="A58" t="s">
        <v>382</v>
      </c>
      <c r="B58" s="2">
        <v>46001</v>
      </c>
      <c r="C58" t="s">
        <v>383</v>
      </c>
      <c r="D58" t="s">
        <v>384</v>
      </c>
      <c r="E58" t="s">
        <v>385</v>
      </c>
      <c r="F58" t="s">
        <v>386</v>
      </c>
      <c r="G58" t="s">
        <v>47</v>
      </c>
      <c r="H58" t="s">
        <v>113</v>
      </c>
      <c r="I58" t="s">
        <v>49</v>
      </c>
      <c r="J58" t="s">
        <v>131</v>
      </c>
      <c r="K58" t="s">
        <v>38</v>
      </c>
      <c r="L58" t="s">
        <v>81</v>
      </c>
      <c r="M58" t="s">
        <v>53</v>
      </c>
      <c r="N58" t="s">
        <v>54</v>
      </c>
      <c r="O58" s="3">
        <v>150000</v>
      </c>
      <c r="P58" s="4">
        <v>25</v>
      </c>
      <c r="Q58" s="2">
        <v>46036</v>
      </c>
      <c r="R58" s="2">
        <v>46213</v>
      </c>
      <c r="S58" s="2">
        <v>46026</v>
      </c>
      <c r="T58" s="2"/>
      <c r="U58" t="str">
        <f t="shared" si="0"/>
        <v>No</v>
      </c>
      <c r="W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" t="str">
        <f t="shared" ca="1" si="1"/>
        <v>Due/Open</v>
      </c>
      <c r="Y58" t="str">
        <f t="shared" si="2"/>
        <v>Open</v>
      </c>
      <c r="Z58" t="str">
        <f t="shared" si="3"/>
        <v>Dec-2025</v>
      </c>
      <c r="AA58" t="str">
        <f t="shared" si="4"/>
        <v>Q4 2025</v>
      </c>
      <c r="AB58" s="4">
        <f t="shared" ca="1" si="5"/>
        <v>198</v>
      </c>
      <c r="AC58" t="str">
        <f t="shared" si="6"/>
        <v>Medium</v>
      </c>
    </row>
    <row r="59" spans="1:29">
      <c r="A59" t="s">
        <v>387</v>
      </c>
      <c r="B59" s="2">
        <v>45880</v>
      </c>
      <c r="C59" t="s">
        <v>388</v>
      </c>
      <c r="D59" t="s">
        <v>389</v>
      </c>
      <c r="E59" t="s">
        <v>390</v>
      </c>
      <c r="F59" t="s">
        <v>391</v>
      </c>
      <c r="G59" t="s">
        <v>47</v>
      </c>
      <c r="H59" t="s">
        <v>48</v>
      </c>
      <c r="I59" t="s">
        <v>36</v>
      </c>
      <c r="J59" t="s">
        <v>50</v>
      </c>
      <c r="K59" t="s">
        <v>71</v>
      </c>
      <c r="L59" t="s">
        <v>72</v>
      </c>
      <c r="M59" t="s">
        <v>73</v>
      </c>
      <c r="N59" t="s">
        <v>73</v>
      </c>
      <c r="O59" s="3">
        <v>225000</v>
      </c>
      <c r="P59" s="4">
        <v>85</v>
      </c>
      <c r="Q59" s="2">
        <v>45908</v>
      </c>
      <c r="R59" s="2">
        <v>46166</v>
      </c>
      <c r="S59" s="2">
        <v>45897</v>
      </c>
      <c r="T59" s="2"/>
      <c r="U59" t="str">
        <f t="shared" si="0"/>
        <v>No</v>
      </c>
      <c r="W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" t="str">
        <f t="shared" ca="1" si="1"/>
        <v>Overdue</v>
      </c>
      <c r="Y59" t="str">
        <f t="shared" si="2"/>
        <v>Open</v>
      </c>
      <c r="Z59" t="str">
        <f t="shared" si="3"/>
        <v>Aug-2025</v>
      </c>
      <c r="AA59" t="str">
        <f t="shared" si="4"/>
        <v>Q3 2025</v>
      </c>
      <c r="AB59" s="4">
        <f t="shared" ca="1" si="5"/>
        <v>319</v>
      </c>
      <c r="AC59" t="str">
        <f t="shared" si="6"/>
        <v>Medium</v>
      </c>
    </row>
    <row r="60" spans="1:29">
      <c r="A60" t="s">
        <v>392</v>
      </c>
      <c r="B60" s="2">
        <v>46067</v>
      </c>
      <c r="C60" t="s">
        <v>393</v>
      </c>
      <c r="D60" t="s">
        <v>394</v>
      </c>
      <c r="E60" t="s">
        <v>395</v>
      </c>
      <c r="F60" t="s">
        <v>396</v>
      </c>
      <c r="G60" t="s">
        <v>47</v>
      </c>
      <c r="H60" t="s">
        <v>89</v>
      </c>
      <c r="I60" t="s">
        <v>36</v>
      </c>
      <c r="J60" t="s">
        <v>37</v>
      </c>
      <c r="K60" t="s">
        <v>194</v>
      </c>
      <c r="L60" t="s">
        <v>72</v>
      </c>
      <c r="M60" t="s">
        <v>82</v>
      </c>
      <c r="N60" t="s">
        <v>83</v>
      </c>
      <c r="O60" s="3">
        <v>45000</v>
      </c>
      <c r="P60" s="4">
        <v>10</v>
      </c>
      <c r="Q60" s="2">
        <v>46123</v>
      </c>
      <c r="R60" s="2">
        <v>46209</v>
      </c>
      <c r="S60" s="2">
        <v>46091</v>
      </c>
      <c r="T60" s="2"/>
      <c r="U60" t="str">
        <f t="shared" si="0"/>
        <v>No</v>
      </c>
      <c r="W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" t="str">
        <f t="shared" ca="1" si="1"/>
        <v>Due/Open</v>
      </c>
      <c r="Y60" t="str">
        <f t="shared" si="2"/>
        <v>Open</v>
      </c>
      <c r="Z60" t="str">
        <f t="shared" si="3"/>
        <v>Feb-2026</v>
      </c>
      <c r="AA60" t="str">
        <f t="shared" si="4"/>
        <v>Q1 2026</v>
      </c>
      <c r="AB60" s="4">
        <f t="shared" ca="1" si="5"/>
        <v>132</v>
      </c>
      <c r="AC60" t="str">
        <f t="shared" si="6"/>
        <v>Low</v>
      </c>
    </row>
    <row r="61" spans="1:29">
      <c r="A61" t="s">
        <v>397</v>
      </c>
      <c r="B61" s="2">
        <v>45805</v>
      </c>
      <c r="C61" t="s">
        <v>398</v>
      </c>
      <c r="D61" t="s">
        <v>257</v>
      </c>
      <c r="E61" t="s">
        <v>399</v>
      </c>
      <c r="F61" t="s">
        <v>400</v>
      </c>
      <c r="G61" t="s">
        <v>34</v>
      </c>
      <c r="H61" t="s">
        <v>160</v>
      </c>
      <c r="I61" t="s">
        <v>98</v>
      </c>
      <c r="J61" t="s">
        <v>37</v>
      </c>
      <c r="K61" t="s">
        <v>100</v>
      </c>
      <c r="L61" t="s">
        <v>72</v>
      </c>
      <c r="M61" t="s">
        <v>82</v>
      </c>
      <c r="N61" t="s">
        <v>83</v>
      </c>
      <c r="O61" s="3">
        <v>60000</v>
      </c>
      <c r="P61" s="4">
        <v>5</v>
      </c>
      <c r="Q61" s="2">
        <v>45872</v>
      </c>
      <c r="R61" s="2">
        <v>46227</v>
      </c>
      <c r="S61" s="2">
        <v>45832</v>
      </c>
      <c r="T61" s="2"/>
      <c r="U61" t="str">
        <f t="shared" si="0"/>
        <v>No</v>
      </c>
      <c r="W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" t="str">
        <f t="shared" ca="1" si="1"/>
        <v>Due/Open</v>
      </c>
      <c r="Y61" t="str">
        <f t="shared" si="2"/>
        <v>Open</v>
      </c>
      <c r="Z61" t="str">
        <f t="shared" si="3"/>
        <v>May-2025</v>
      </c>
      <c r="AA61" t="str">
        <f t="shared" si="4"/>
        <v>Q2 2025</v>
      </c>
      <c r="AB61" s="4">
        <f t="shared" ca="1" si="5"/>
        <v>394</v>
      </c>
      <c r="AC61" t="str">
        <f t="shared" si="6"/>
        <v>Low</v>
      </c>
    </row>
    <row r="62" spans="1:29">
      <c r="A62" t="s">
        <v>401</v>
      </c>
      <c r="B62" s="2">
        <v>46054</v>
      </c>
      <c r="C62" t="s">
        <v>402</v>
      </c>
      <c r="D62" t="s">
        <v>207</v>
      </c>
      <c r="E62" t="s">
        <v>403</v>
      </c>
      <c r="F62" t="s">
        <v>404</v>
      </c>
      <c r="G62" t="s">
        <v>79</v>
      </c>
      <c r="H62" t="s">
        <v>260</v>
      </c>
      <c r="I62" t="s">
        <v>148</v>
      </c>
      <c r="J62" t="s">
        <v>131</v>
      </c>
      <c r="K62" t="s">
        <v>38</v>
      </c>
      <c r="L62" t="s">
        <v>154</v>
      </c>
      <c r="M62" t="s">
        <v>133</v>
      </c>
      <c r="N62" t="s">
        <v>134</v>
      </c>
      <c r="O62" s="3">
        <v>190000</v>
      </c>
      <c r="P62" s="4">
        <v>0</v>
      </c>
      <c r="Q62" s="2">
        <v>46102</v>
      </c>
      <c r="R62" s="2"/>
      <c r="S62" s="2">
        <v>46061</v>
      </c>
      <c r="T62" s="2">
        <v>46102</v>
      </c>
      <c r="U62" t="str">
        <f t="shared" si="0"/>
        <v>No</v>
      </c>
      <c r="V62" t="s">
        <v>211</v>
      </c>
      <c r="W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62" t="str">
        <f t="shared" ca="1" si="1"/>
        <v>Closed</v>
      </c>
      <c r="Y62" t="str">
        <f t="shared" si="2"/>
        <v>Closed</v>
      </c>
      <c r="Z62" t="str">
        <f t="shared" si="3"/>
        <v>Feb-2026</v>
      </c>
      <c r="AA62" t="str">
        <f t="shared" si="4"/>
        <v>Q1 2026</v>
      </c>
      <c r="AB62" s="4">
        <f t="shared" ca="1" si="5"/>
        <v>145</v>
      </c>
      <c r="AC62" t="str">
        <f t="shared" si="6"/>
        <v>Medium</v>
      </c>
    </row>
    <row r="63" spans="1:29">
      <c r="A63" t="s">
        <v>405</v>
      </c>
      <c r="B63" s="2">
        <v>46054</v>
      </c>
      <c r="C63" t="s">
        <v>406</v>
      </c>
      <c r="D63" t="s">
        <v>407</v>
      </c>
      <c r="E63" t="s">
        <v>408</v>
      </c>
      <c r="F63" t="s">
        <v>409</v>
      </c>
      <c r="G63" t="s">
        <v>179</v>
      </c>
      <c r="H63" t="s">
        <v>180</v>
      </c>
      <c r="I63" t="s">
        <v>98</v>
      </c>
      <c r="J63" t="s">
        <v>124</v>
      </c>
      <c r="K63" t="s">
        <v>100</v>
      </c>
      <c r="L63" t="s">
        <v>72</v>
      </c>
      <c r="M63" t="s">
        <v>53</v>
      </c>
      <c r="N63" t="s">
        <v>54</v>
      </c>
      <c r="O63" s="3">
        <v>90000</v>
      </c>
      <c r="P63" s="4">
        <v>30</v>
      </c>
      <c r="Q63" s="2">
        <v>46108</v>
      </c>
      <c r="R63" s="2">
        <v>46184</v>
      </c>
      <c r="S63" s="2">
        <v>46079</v>
      </c>
      <c r="T63" s="2"/>
      <c r="U63" t="str">
        <f t="shared" si="0"/>
        <v>No</v>
      </c>
      <c r="W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" t="str">
        <f t="shared" ca="1" si="1"/>
        <v>Overdue</v>
      </c>
      <c r="Y63" t="str">
        <f t="shared" si="2"/>
        <v>Open</v>
      </c>
      <c r="Z63" t="str">
        <f t="shared" si="3"/>
        <v>Feb-2026</v>
      </c>
      <c r="AA63" t="str">
        <f t="shared" si="4"/>
        <v>Q1 2026</v>
      </c>
      <c r="AB63" s="4">
        <f t="shared" ca="1" si="5"/>
        <v>145</v>
      </c>
      <c r="AC63" t="str">
        <f t="shared" si="6"/>
        <v>Low</v>
      </c>
    </row>
    <row r="64" spans="1:29">
      <c r="A64" t="s">
        <v>410</v>
      </c>
      <c r="B64" s="2">
        <v>45984</v>
      </c>
      <c r="C64" t="s">
        <v>411</v>
      </c>
      <c r="D64" t="s">
        <v>361</v>
      </c>
      <c r="E64" t="s">
        <v>412</v>
      </c>
      <c r="F64" t="s">
        <v>413</v>
      </c>
      <c r="G64" t="s">
        <v>79</v>
      </c>
      <c r="H64" t="s">
        <v>228</v>
      </c>
      <c r="I64" t="s">
        <v>49</v>
      </c>
      <c r="J64" t="s">
        <v>131</v>
      </c>
      <c r="K64" t="s">
        <v>51</v>
      </c>
      <c r="L64" t="s">
        <v>81</v>
      </c>
      <c r="M64" t="s">
        <v>82</v>
      </c>
      <c r="N64" t="s">
        <v>83</v>
      </c>
      <c r="O64" s="3">
        <v>325000</v>
      </c>
      <c r="P64" s="4">
        <v>10</v>
      </c>
      <c r="Q64" s="2">
        <v>46015</v>
      </c>
      <c r="R64" s="2">
        <v>46170</v>
      </c>
      <c r="S64" s="2">
        <v>46000</v>
      </c>
      <c r="T64" s="2"/>
      <c r="U64" t="str">
        <f t="shared" si="0"/>
        <v>No</v>
      </c>
      <c r="W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" t="str">
        <f t="shared" ca="1" si="1"/>
        <v>Overdue</v>
      </c>
      <c r="Y64" t="str">
        <f t="shared" si="2"/>
        <v>Open</v>
      </c>
      <c r="Z64" t="str">
        <f t="shared" si="3"/>
        <v>Nov-2025</v>
      </c>
      <c r="AA64" t="str">
        <f t="shared" si="4"/>
        <v>Q4 2025</v>
      </c>
      <c r="AB64" s="4">
        <f t="shared" ca="1" si="5"/>
        <v>215</v>
      </c>
      <c r="AC64" t="str">
        <f t="shared" si="6"/>
        <v>High</v>
      </c>
    </row>
    <row r="65" spans="1:29">
      <c r="A65" t="s">
        <v>414</v>
      </c>
      <c r="B65" s="2">
        <v>46084</v>
      </c>
      <c r="C65" t="s">
        <v>415</v>
      </c>
      <c r="D65" t="s">
        <v>157</v>
      </c>
      <c r="E65" t="s">
        <v>416</v>
      </c>
      <c r="F65" t="s">
        <v>417</v>
      </c>
      <c r="G65" t="s">
        <v>47</v>
      </c>
      <c r="H65" t="s">
        <v>418</v>
      </c>
      <c r="I65" t="s">
        <v>123</v>
      </c>
      <c r="J65" t="s">
        <v>131</v>
      </c>
      <c r="K65" t="s">
        <v>51</v>
      </c>
      <c r="L65" t="s">
        <v>52</v>
      </c>
      <c r="M65" t="s">
        <v>53</v>
      </c>
      <c r="N65" t="s">
        <v>54</v>
      </c>
      <c r="O65" s="3">
        <v>105000</v>
      </c>
      <c r="P65" s="4">
        <v>35</v>
      </c>
      <c r="Q65" s="2">
        <v>46116</v>
      </c>
      <c r="R65" s="2">
        <v>46167</v>
      </c>
      <c r="S65" s="2">
        <v>46108</v>
      </c>
      <c r="T65" s="2"/>
      <c r="U65" t="str">
        <f t="shared" si="0"/>
        <v>No</v>
      </c>
      <c r="W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" t="str">
        <f t="shared" ca="1" si="1"/>
        <v>Overdue</v>
      </c>
      <c r="Y65" t="str">
        <f t="shared" si="2"/>
        <v>Open</v>
      </c>
      <c r="Z65" t="str">
        <f t="shared" si="3"/>
        <v>Mar-2026</v>
      </c>
      <c r="AA65" t="str">
        <f t="shared" si="4"/>
        <v>Q1 2026</v>
      </c>
      <c r="AB65" s="4">
        <f t="shared" ca="1" si="5"/>
        <v>115</v>
      </c>
      <c r="AC65" t="str">
        <f t="shared" si="6"/>
        <v>Low</v>
      </c>
    </row>
    <row r="66" spans="1:29">
      <c r="A66" t="s">
        <v>419</v>
      </c>
      <c r="B66" s="2">
        <v>46031</v>
      </c>
      <c r="C66" t="s">
        <v>65</v>
      </c>
      <c r="D66" t="s">
        <v>357</v>
      </c>
      <c r="E66" t="s">
        <v>420</v>
      </c>
      <c r="F66" t="s">
        <v>421</v>
      </c>
      <c r="G66" t="s">
        <v>69</v>
      </c>
      <c r="H66" t="s">
        <v>200</v>
      </c>
      <c r="I66" t="s">
        <v>98</v>
      </c>
      <c r="J66" t="s">
        <v>124</v>
      </c>
      <c r="K66" t="s">
        <v>51</v>
      </c>
      <c r="L66" t="s">
        <v>154</v>
      </c>
      <c r="M66" t="s">
        <v>53</v>
      </c>
      <c r="N66" t="s">
        <v>54</v>
      </c>
      <c r="O66" s="3">
        <v>295000</v>
      </c>
      <c r="P66" s="4">
        <v>25</v>
      </c>
      <c r="Q66" s="2">
        <v>46078</v>
      </c>
      <c r="R66" s="2">
        <v>46177</v>
      </c>
      <c r="S66" s="2">
        <v>46044</v>
      </c>
      <c r="T66" s="2"/>
      <c r="U66" t="str">
        <f t="shared" ref="U66:U129" si="7">IF(M66="Converted","Yes","No")</f>
        <v>No</v>
      </c>
      <c r="W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" t="str">
        <f t="shared" ref="X66:X129" ca="1" si="8">IF(OR(M66="Converted",M66="Lost",M66="Not Interested"),"Closed",IF(R66&lt;TODAY(),"Overdue","Due/Open"))</f>
        <v>Overdue</v>
      </c>
      <c r="Y66" t="str">
        <f t="shared" ref="Y66:Y129" si="9">IF(OR(M66="Converted",M66="Lost",M66="Not Interested"),"Closed","Open")</f>
        <v>Open</v>
      </c>
      <c r="Z66" t="str">
        <f t="shared" ref="Z66:Z129" si="10">TEXT(B66,"mmm-yyyy")</f>
        <v>Jan-2026</v>
      </c>
      <c r="AA66" t="str">
        <f t="shared" ref="AA66:AA129" si="11">"Q"&amp;ROUNDUP(MONTH(B66)/3,0)&amp;" "&amp;YEAR(B66)</f>
        <v>Q1 2026</v>
      </c>
      <c r="AB66" s="4">
        <f t="shared" ref="AB66:AB129" ca="1" si="12">TODAY()-B66</f>
        <v>168</v>
      </c>
      <c r="AC66" t="str">
        <f t="shared" ref="AC66:AC129" si="13">IF(O66&gt;=300000,"High",IF(O66&gt;=120000,"Medium","Low"))</f>
        <v>Medium</v>
      </c>
    </row>
    <row r="67" spans="1:29">
      <c r="A67" t="s">
        <v>422</v>
      </c>
      <c r="B67" s="2">
        <v>45849</v>
      </c>
      <c r="C67" t="s">
        <v>162</v>
      </c>
      <c r="D67" t="s">
        <v>423</v>
      </c>
      <c r="E67" t="s">
        <v>424</v>
      </c>
      <c r="F67" t="s">
        <v>425</v>
      </c>
      <c r="G67" t="s">
        <v>179</v>
      </c>
      <c r="H67" t="s">
        <v>296</v>
      </c>
      <c r="I67" t="s">
        <v>36</v>
      </c>
      <c r="J67" t="s">
        <v>124</v>
      </c>
      <c r="K67" t="s">
        <v>100</v>
      </c>
      <c r="L67" t="s">
        <v>142</v>
      </c>
      <c r="M67" t="s">
        <v>166</v>
      </c>
      <c r="N67" t="s">
        <v>167</v>
      </c>
      <c r="O67" s="3">
        <v>85000</v>
      </c>
      <c r="P67" s="4">
        <v>60</v>
      </c>
      <c r="Q67" s="2">
        <v>45910</v>
      </c>
      <c r="R67" s="2">
        <v>46217</v>
      </c>
      <c r="S67" s="2">
        <v>45879</v>
      </c>
      <c r="T67" s="2"/>
      <c r="U67" t="str">
        <f t="shared" si="7"/>
        <v>No</v>
      </c>
      <c r="W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" t="str">
        <f t="shared" ca="1" si="8"/>
        <v>Due/Open</v>
      </c>
      <c r="Y67" t="str">
        <f t="shared" si="9"/>
        <v>Open</v>
      </c>
      <c r="Z67" t="str">
        <f t="shared" si="10"/>
        <v>Jul-2025</v>
      </c>
      <c r="AA67" t="str">
        <f t="shared" si="11"/>
        <v>Q3 2025</v>
      </c>
      <c r="AB67" s="4">
        <f t="shared" ca="1" si="12"/>
        <v>350</v>
      </c>
      <c r="AC67" t="str">
        <f t="shared" si="13"/>
        <v>Low</v>
      </c>
    </row>
    <row r="68" spans="1:29">
      <c r="A68" t="s">
        <v>426</v>
      </c>
      <c r="B68" s="2">
        <v>45694</v>
      </c>
      <c r="C68" t="s">
        <v>427</v>
      </c>
      <c r="D68" t="s">
        <v>428</v>
      </c>
      <c r="E68" t="s">
        <v>429</v>
      </c>
      <c r="F68" t="s">
        <v>430</v>
      </c>
      <c r="G68" t="s">
        <v>47</v>
      </c>
      <c r="H68" t="s">
        <v>113</v>
      </c>
      <c r="I68" t="s">
        <v>123</v>
      </c>
      <c r="J68" t="s">
        <v>124</v>
      </c>
      <c r="K68" t="s">
        <v>51</v>
      </c>
      <c r="L68" t="s">
        <v>72</v>
      </c>
      <c r="M68" t="s">
        <v>90</v>
      </c>
      <c r="N68" t="s">
        <v>91</v>
      </c>
      <c r="O68" s="3">
        <v>265000</v>
      </c>
      <c r="P68" s="4">
        <v>55</v>
      </c>
      <c r="Q68" s="2">
        <v>45783</v>
      </c>
      <c r="R68" s="2">
        <v>46187</v>
      </c>
      <c r="S68" s="2">
        <v>45720</v>
      </c>
      <c r="T68" s="2"/>
      <c r="U68" t="str">
        <f t="shared" si="7"/>
        <v>No</v>
      </c>
      <c r="W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" t="str">
        <f t="shared" ca="1" si="8"/>
        <v>Overdue</v>
      </c>
      <c r="Y68" t="str">
        <f t="shared" si="9"/>
        <v>Open</v>
      </c>
      <c r="Z68" t="str">
        <f t="shared" si="10"/>
        <v>Feb-2025</v>
      </c>
      <c r="AA68" t="str">
        <f t="shared" si="11"/>
        <v>Q1 2025</v>
      </c>
      <c r="AB68" s="4">
        <f t="shared" ca="1" si="12"/>
        <v>505</v>
      </c>
      <c r="AC68" t="str">
        <f t="shared" si="13"/>
        <v>Medium</v>
      </c>
    </row>
    <row r="69" spans="1:29">
      <c r="A69" t="s">
        <v>431</v>
      </c>
      <c r="B69" s="2">
        <v>45803</v>
      </c>
      <c r="C69" t="s">
        <v>432</v>
      </c>
      <c r="D69" t="s">
        <v>433</v>
      </c>
      <c r="E69" t="s">
        <v>434</v>
      </c>
      <c r="F69" t="s">
        <v>435</v>
      </c>
      <c r="G69" t="s">
        <v>179</v>
      </c>
      <c r="H69" t="s">
        <v>436</v>
      </c>
      <c r="I69" t="s">
        <v>148</v>
      </c>
      <c r="J69" t="s">
        <v>99</v>
      </c>
      <c r="K69" t="s">
        <v>194</v>
      </c>
      <c r="L69" t="s">
        <v>239</v>
      </c>
      <c r="M69" t="s">
        <v>116</v>
      </c>
      <c r="N69" t="s">
        <v>54</v>
      </c>
      <c r="O69" s="3">
        <v>490000</v>
      </c>
      <c r="P69" s="4">
        <v>20</v>
      </c>
      <c r="Q69" s="2">
        <v>45836</v>
      </c>
      <c r="R69" s="2">
        <v>46207</v>
      </c>
      <c r="S69" s="2">
        <v>45808</v>
      </c>
      <c r="T69" s="2"/>
      <c r="U69" t="str">
        <f t="shared" si="7"/>
        <v>No</v>
      </c>
      <c r="W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" t="str">
        <f t="shared" ca="1" si="8"/>
        <v>Due/Open</v>
      </c>
      <c r="Y69" t="str">
        <f t="shared" si="9"/>
        <v>Open</v>
      </c>
      <c r="Z69" t="str">
        <f t="shared" si="10"/>
        <v>May-2025</v>
      </c>
      <c r="AA69" t="str">
        <f t="shared" si="11"/>
        <v>Q2 2025</v>
      </c>
      <c r="AB69" s="4">
        <f t="shared" ca="1" si="12"/>
        <v>396</v>
      </c>
      <c r="AC69" t="str">
        <f t="shared" si="13"/>
        <v>High</v>
      </c>
    </row>
    <row r="70" spans="1:29">
      <c r="A70" t="s">
        <v>437</v>
      </c>
      <c r="B70" s="2">
        <v>45994</v>
      </c>
      <c r="C70" t="s">
        <v>438</v>
      </c>
      <c r="D70" t="s">
        <v>342</v>
      </c>
      <c r="E70" t="s">
        <v>439</v>
      </c>
      <c r="F70" t="s">
        <v>440</v>
      </c>
      <c r="G70" t="s">
        <v>79</v>
      </c>
      <c r="H70" t="s">
        <v>228</v>
      </c>
      <c r="I70" t="s">
        <v>61</v>
      </c>
      <c r="J70" t="s">
        <v>99</v>
      </c>
      <c r="K70" t="s">
        <v>100</v>
      </c>
      <c r="L70" t="s">
        <v>39</v>
      </c>
      <c r="M70" t="s">
        <v>53</v>
      </c>
      <c r="N70" t="s">
        <v>54</v>
      </c>
      <c r="O70" s="3">
        <v>325000</v>
      </c>
      <c r="P70" s="4">
        <v>30</v>
      </c>
      <c r="Q70" s="2">
        <v>46078</v>
      </c>
      <c r="R70" s="2">
        <v>46193</v>
      </c>
      <c r="S70" s="2">
        <v>46008</v>
      </c>
      <c r="T70" s="2"/>
      <c r="U70" t="str">
        <f t="shared" si="7"/>
        <v>No</v>
      </c>
      <c r="W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" t="str">
        <f t="shared" ca="1" si="8"/>
        <v>Overdue</v>
      </c>
      <c r="Y70" t="str">
        <f t="shared" si="9"/>
        <v>Open</v>
      </c>
      <c r="Z70" t="str">
        <f t="shared" si="10"/>
        <v>Dec-2025</v>
      </c>
      <c r="AA70" t="str">
        <f t="shared" si="11"/>
        <v>Q4 2025</v>
      </c>
      <c r="AB70" s="4">
        <f t="shared" ca="1" si="12"/>
        <v>205</v>
      </c>
      <c r="AC70" t="str">
        <f t="shared" si="13"/>
        <v>High</v>
      </c>
    </row>
    <row r="71" spans="1:29">
      <c r="A71" t="s">
        <v>441</v>
      </c>
      <c r="B71" s="2">
        <v>45849</v>
      </c>
      <c r="C71" t="s">
        <v>442</v>
      </c>
      <c r="D71" t="s">
        <v>443</v>
      </c>
      <c r="E71" t="s">
        <v>444</v>
      </c>
      <c r="F71" t="s">
        <v>445</v>
      </c>
      <c r="G71" t="s">
        <v>34</v>
      </c>
      <c r="H71" t="s">
        <v>446</v>
      </c>
      <c r="I71" t="s">
        <v>148</v>
      </c>
      <c r="J71" t="s">
        <v>124</v>
      </c>
      <c r="K71" t="s">
        <v>194</v>
      </c>
      <c r="L71" t="s">
        <v>142</v>
      </c>
      <c r="M71" t="s">
        <v>82</v>
      </c>
      <c r="N71" t="s">
        <v>83</v>
      </c>
      <c r="O71" s="3">
        <v>120000</v>
      </c>
      <c r="P71" s="4">
        <v>10</v>
      </c>
      <c r="Q71" s="2">
        <v>45931</v>
      </c>
      <c r="R71" s="2">
        <v>46230</v>
      </c>
      <c r="S71" s="2">
        <v>45871</v>
      </c>
      <c r="T71" s="2"/>
      <c r="U71" t="str">
        <f t="shared" si="7"/>
        <v>No</v>
      </c>
      <c r="W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" t="str">
        <f t="shared" ca="1" si="8"/>
        <v>Due/Open</v>
      </c>
      <c r="Y71" t="str">
        <f t="shared" si="9"/>
        <v>Open</v>
      </c>
      <c r="Z71" t="str">
        <f t="shared" si="10"/>
        <v>Jul-2025</v>
      </c>
      <c r="AA71" t="str">
        <f t="shared" si="11"/>
        <v>Q3 2025</v>
      </c>
      <c r="AB71" s="4">
        <f t="shared" ca="1" si="12"/>
        <v>350</v>
      </c>
      <c r="AC71" t="str">
        <f t="shared" si="13"/>
        <v>Medium</v>
      </c>
    </row>
    <row r="72" spans="1:29">
      <c r="A72" t="s">
        <v>447</v>
      </c>
      <c r="B72" s="2">
        <v>46134</v>
      </c>
      <c r="C72" t="s">
        <v>448</v>
      </c>
      <c r="D72" t="s">
        <v>449</v>
      </c>
      <c r="E72" t="s">
        <v>450</v>
      </c>
      <c r="F72" t="s">
        <v>451</v>
      </c>
      <c r="G72" t="s">
        <v>34</v>
      </c>
      <c r="H72" t="s">
        <v>35</v>
      </c>
      <c r="I72" t="s">
        <v>148</v>
      </c>
      <c r="J72" t="s">
        <v>50</v>
      </c>
      <c r="K72" t="s">
        <v>38</v>
      </c>
      <c r="L72" t="s">
        <v>107</v>
      </c>
      <c r="M72" t="s">
        <v>210</v>
      </c>
      <c r="N72" t="s">
        <v>134</v>
      </c>
      <c r="O72" s="3">
        <v>350000</v>
      </c>
      <c r="P72" s="4">
        <v>0</v>
      </c>
      <c r="Q72" s="2">
        <v>46184</v>
      </c>
      <c r="R72" s="2"/>
      <c r="S72" s="2">
        <v>46141</v>
      </c>
      <c r="T72" s="2">
        <v>46184</v>
      </c>
      <c r="U72" t="str">
        <f t="shared" si="7"/>
        <v>No</v>
      </c>
      <c r="V72" t="s">
        <v>452</v>
      </c>
      <c r="W7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72" t="str">
        <f t="shared" ca="1" si="8"/>
        <v>Closed</v>
      </c>
      <c r="Y72" t="str">
        <f t="shared" si="9"/>
        <v>Closed</v>
      </c>
      <c r="Z72" t="str">
        <f t="shared" si="10"/>
        <v>Apr-2026</v>
      </c>
      <c r="AA72" t="str">
        <f t="shared" si="11"/>
        <v>Q2 2026</v>
      </c>
      <c r="AB72" s="4">
        <f t="shared" ca="1" si="12"/>
        <v>65</v>
      </c>
      <c r="AC72" t="str">
        <f t="shared" si="13"/>
        <v>High</v>
      </c>
    </row>
    <row r="73" spans="1:29">
      <c r="A73" t="s">
        <v>453</v>
      </c>
      <c r="B73" s="2">
        <v>45880</v>
      </c>
      <c r="C73" t="s">
        <v>454</v>
      </c>
      <c r="D73" t="s">
        <v>31</v>
      </c>
      <c r="E73" t="s">
        <v>455</v>
      </c>
      <c r="F73" t="s">
        <v>456</v>
      </c>
      <c r="G73" t="s">
        <v>79</v>
      </c>
      <c r="H73" t="s">
        <v>97</v>
      </c>
      <c r="I73" t="s">
        <v>187</v>
      </c>
      <c r="J73" t="s">
        <v>124</v>
      </c>
      <c r="K73" t="s">
        <v>51</v>
      </c>
      <c r="L73" t="s">
        <v>154</v>
      </c>
      <c r="M73" t="s">
        <v>116</v>
      </c>
      <c r="N73" t="s">
        <v>54</v>
      </c>
      <c r="O73" s="3">
        <v>110000</v>
      </c>
      <c r="P73" s="4">
        <v>25</v>
      </c>
      <c r="Q73" s="2">
        <v>45957</v>
      </c>
      <c r="R73" s="2">
        <v>46215</v>
      </c>
      <c r="S73" s="2">
        <v>45898</v>
      </c>
      <c r="T73" s="2"/>
      <c r="U73" t="str">
        <f t="shared" si="7"/>
        <v>No</v>
      </c>
      <c r="W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" t="str">
        <f t="shared" ca="1" si="8"/>
        <v>Due/Open</v>
      </c>
      <c r="Y73" t="str">
        <f t="shared" si="9"/>
        <v>Open</v>
      </c>
      <c r="Z73" t="str">
        <f t="shared" si="10"/>
        <v>Aug-2025</v>
      </c>
      <c r="AA73" t="str">
        <f t="shared" si="11"/>
        <v>Q3 2025</v>
      </c>
      <c r="AB73" s="4">
        <f t="shared" ca="1" si="12"/>
        <v>319</v>
      </c>
      <c r="AC73" t="str">
        <f t="shared" si="13"/>
        <v>Low</v>
      </c>
    </row>
    <row r="74" spans="1:29">
      <c r="A74" t="s">
        <v>457</v>
      </c>
      <c r="B74" s="2">
        <v>45971</v>
      </c>
      <c r="C74" t="s">
        <v>458</v>
      </c>
      <c r="D74" t="s">
        <v>459</v>
      </c>
      <c r="E74" t="s">
        <v>460</v>
      </c>
      <c r="F74" t="s">
        <v>461</v>
      </c>
      <c r="G74" t="s">
        <v>34</v>
      </c>
      <c r="H74" t="s">
        <v>60</v>
      </c>
      <c r="I74" t="s">
        <v>98</v>
      </c>
      <c r="J74" t="s">
        <v>99</v>
      </c>
      <c r="K74" t="s">
        <v>194</v>
      </c>
      <c r="L74" t="s">
        <v>154</v>
      </c>
      <c r="M74" t="s">
        <v>73</v>
      </c>
      <c r="N74" t="s">
        <v>73</v>
      </c>
      <c r="O74" s="3">
        <v>225000</v>
      </c>
      <c r="P74" s="4">
        <v>85</v>
      </c>
      <c r="Q74" s="2">
        <v>46062</v>
      </c>
      <c r="R74" s="2">
        <v>46200</v>
      </c>
      <c r="S74" s="2">
        <v>46000</v>
      </c>
      <c r="T74" s="2"/>
      <c r="U74" t="str">
        <f t="shared" si="7"/>
        <v>No</v>
      </c>
      <c r="W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" t="str">
        <f t="shared" ca="1" si="8"/>
        <v>Due/Open</v>
      </c>
      <c r="Y74" t="str">
        <f t="shared" si="9"/>
        <v>Open</v>
      </c>
      <c r="Z74" t="str">
        <f t="shared" si="10"/>
        <v>Nov-2025</v>
      </c>
      <c r="AA74" t="str">
        <f t="shared" si="11"/>
        <v>Q4 2025</v>
      </c>
      <c r="AB74" s="4">
        <f t="shared" ca="1" si="12"/>
        <v>228</v>
      </c>
      <c r="AC74" t="str">
        <f t="shared" si="13"/>
        <v>Medium</v>
      </c>
    </row>
    <row r="75" spans="1:29">
      <c r="A75" t="s">
        <v>462</v>
      </c>
      <c r="B75" s="2">
        <v>45763</v>
      </c>
      <c r="C75" t="s">
        <v>463</v>
      </c>
      <c r="D75" t="s">
        <v>464</v>
      </c>
      <c r="E75" t="s">
        <v>465</v>
      </c>
      <c r="F75" t="s">
        <v>466</v>
      </c>
      <c r="G75" t="s">
        <v>79</v>
      </c>
      <c r="H75" t="s">
        <v>260</v>
      </c>
      <c r="I75" t="s">
        <v>98</v>
      </c>
      <c r="J75" t="s">
        <v>131</v>
      </c>
      <c r="K75" t="s">
        <v>194</v>
      </c>
      <c r="L75" t="s">
        <v>239</v>
      </c>
      <c r="M75" t="s">
        <v>53</v>
      </c>
      <c r="N75" t="s">
        <v>54</v>
      </c>
      <c r="O75" s="3">
        <v>215000</v>
      </c>
      <c r="P75" s="4">
        <v>25</v>
      </c>
      <c r="Q75" s="2">
        <v>45790</v>
      </c>
      <c r="R75" s="2">
        <v>46227</v>
      </c>
      <c r="S75" s="2">
        <v>45765</v>
      </c>
      <c r="T75" s="2"/>
      <c r="U75" t="str">
        <f t="shared" si="7"/>
        <v>No</v>
      </c>
      <c r="W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" t="str">
        <f t="shared" ca="1" si="8"/>
        <v>Due/Open</v>
      </c>
      <c r="Y75" t="str">
        <f t="shared" si="9"/>
        <v>Open</v>
      </c>
      <c r="Z75" t="str">
        <f t="shared" si="10"/>
        <v>Apr-2025</v>
      </c>
      <c r="AA75" t="str">
        <f t="shared" si="11"/>
        <v>Q2 2025</v>
      </c>
      <c r="AB75" s="4">
        <f t="shared" ca="1" si="12"/>
        <v>436</v>
      </c>
      <c r="AC75" t="str">
        <f t="shared" si="13"/>
        <v>Medium</v>
      </c>
    </row>
    <row r="76" spans="1:29">
      <c r="A76" t="s">
        <v>467</v>
      </c>
      <c r="B76" s="2">
        <v>45687</v>
      </c>
      <c r="C76" t="s">
        <v>246</v>
      </c>
      <c r="D76" t="s">
        <v>315</v>
      </c>
      <c r="E76" t="s">
        <v>468</v>
      </c>
      <c r="F76" t="s">
        <v>469</v>
      </c>
      <c r="G76" t="s">
        <v>179</v>
      </c>
      <c r="H76" t="s">
        <v>180</v>
      </c>
      <c r="I76" t="s">
        <v>49</v>
      </c>
      <c r="J76" t="s">
        <v>37</v>
      </c>
      <c r="K76" t="s">
        <v>114</v>
      </c>
      <c r="L76" t="s">
        <v>81</v>
      </c>
      <c r="M76" t="s">
        <v>133</v>
      </c>
      <c r="N76" t="s">
        <v>134</v>
      </c>
      <c r="O76" s="3">
        <v>50000</v>
      </c>
      <c r="P76" s="4">
        <v>0</v>
      </c>
      <c r="Q76" s="2">
        <v>45704</v>
      </c>
      <c r="R76" s="2"/>
      <c r="S76" s="2">
        <v>45717</v>
      </c>
      <c r="T76" s="2">
        <v>45704</v>
      </c>
      <c r="U76" t="str">
        <f t="shared" si="7"/>
        <v>No</v>
      </c>
      <c r="V76" t="s">
        <v>276</v>
      </c>
      <c r="W7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76" t="str">
        <f t="shared" ca="1" si="8"/>
        <v>Closed</v>
      </c>
      <c r="Y76" t="str">
        <f t="shared" si="9"/>
        <v>Closed</v>
      </c>
      <c r="Z76" t="str">
        <f t="shared" si="10"/>
        <v>Jan-2025</v>
      </c>
      <c r="AA76" t="str">
        <f t="shared" si="11"/>
        <v>Q1 2025</v>
      </c>
      <c r="AB76" s="4">
        <f t="shared" ca="1" si="12"/>
        <v>512</v>
      </c>
      <c r="AC76" t="str">
        <f t="shared" si="13"/>
        <v>Low</v>
      </c>
    </row>
    <row r="77" spans="1:29">
      <c r="A77" t="s">
        <v>470</v>
      </c>
      <c r="B77" s="2">
        <v>45703</v>
      </c>
      <c r="C77" t="s">
        <v>379</v>
      </c>
      <c r="D77" t="s">
        <v>471</v>
      </c>
      <c r="E77" t="s">
        <v>472</v>
      </c>
      <c r="F77" t="s">
        <v>473</v>
      </c>
      <c r="G77" t="s">
        <v>69</v>
      </c>
      <c r="H77" t="s">
        <v>270</v>
      </c>
      <c r="I77" t="s">
        <v>36</v>
      </c>
      <c r="J77" t="s">
        <v>50</v>
      </c>
      <c r="K77" t="s">
        <v>114</v>
      </c>
      <c r="L77" t="s">
        <v>115</v>
      </c>
      <c r="M77" t="s">
        <v>210</v>
      </c>
      <c r="N77" t="s">
        <v>134</v>
      </c>
      <c r="O77" s="3">
        <v>135000</v>
      </c>
      <c r="P77" s="4">
        <v>0</v>
      </c>
      <c r="Q77" s="2">
        <v>45772</v>
      </c>
      <c r="R77" s="2"/>
      <c r="S77" s="2">
        <v>45704</v>
      </c>
      <c r="T77" s="2">
        <v>45772</v>
      </c>
      <c r="U77" t="str">
        <f t="shared" si="7"/>
        <v>No</v>
      </c>
      <c r="V77" t="s">
        <v>135</v>
      </c>
      <c r="W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69</v>
      </c>
      <c r="X77" t="str">
        <f t="shared" ca="1" si="8"/>
        <v>Closed</v>
      </c>
      <c r="Y77" t="str">
        <f t="shared" si="9"/>
        <v>Closed</v>
      </c>
      <c r="Z77" t="str">
        <f t="shared" si="10"/>
        <v>Feb-2025</v>
      </c>
      <c r="AA77" t="str">
        <f t="shared" si="11"/>
        <v>Q1 2025</v>
      </c>
      <c r="AB77" s="4">
        <f t="shared" ca="1" si="12"/>
        <v>496</v>
      </c>
      <c r="AC77" t="str">
        <f t="shared" si="13"/>
        <v>Medium</v>
      </c>
    </row>
    <row r="78" spans="1:29">
      <c r="A78" t="s">
        <v>474</v>
      </c>
      <c r="B78" s="2">
        <v>45917</v>
      </c>
      <c r="C78" t="s">
        <v>475</v>
      </c>
      <c r="D78" t="s">
        <v>44</v>
      </c>
      <c r="E78" t="s">
        <v>476</v>
      </c>
      <c r="F78" t="s">
        <v>477</v>
      </c>
      <c r="G78" t="s">
        <v>47</v>
      </c>
      <c r="H78" t="s">
        <v>418</v>
      </c>
      <c r="I78" t="s">
        <v>141</v>
      </c>
      <c r="J78" t="s">
        <v>99</v>
      </c>
      <c r="K78" t="s">
        <v>71</v>
      </c>
      <c r="L78" t="s">
        <v>142</v>
      </c>
      <c r="M78" t="s">
        <v>90</v>
      </c>
      <c r="N78" t="s">
        <v>91</v>
      </c>
      <c r="O78" s="3">
        <v>670000</v>
      </c>
      <c r="P78" s="4">
        <v>50</v>
      </c>
      <c r="Q78" s="2">
        <v>45954</v>
      </c>
      <c r="R78" s="2">
        <v>46210</v>
      </c>
      <c r="S78" s="2">
        <v>45922</v>
      </c>
      <c r="T78" s="2"/>
      <c r="U78" t="str">
        <f t="shared" si="7"/>
        <v>No</v>
      </c>
      <c r="W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" t="str">
        <f t="shared" ca="1" si="8"/>
        <v>Due/Open</v>
      </c>
      <c r="Y78" t="str">
        <f t="shared" si="9"/>
        <v>Open</v>
      </c>
      <c r="Z78" t="str">
        <f t="shared" si="10"/>
        <v>Sep-2025</v>
      </c>
      <c r="AA78" t="str">
        <f t="shared" si="11"/>
        <v>Q3 2025</v>
      </c>
      <c r="AB78" s="4">
        <f t="shared" ca="1" si="12"/>
        <v>282</v>
      </c>
      <c r="AC78" t="str">
        <f t="shared" si="13"/>
        <v>High</v>
      </c>
    </row>
    <row r="79" spans="1:29">
      <c r="A79" t="s">
        <v>478</v>
      </c>
      <c r="B79" s="2">
        <v>45711</v>
      </c>
      <c r="C79" t="s">
        <v>479</v>
      </c>
      <c r="D79" t="s">
        <v>57</v>
      </c>
      <c r="E79" t="s">
        <v>480</v>
      </c>
      <c r="F79" t="s">
        <v>481</v>
      </c>
      <c r="G79" t="s">
        <v>34</v>
      </c>
      <c r="H79" t="s">
        <v>35</v>
      </c>
      <c r="I79" t="s">
        <v>141</v>
      </c>
      <c r="J79" t="s">
        <v>99</v>
      </c>
      <c r="K79" t="s">
        <v>114</v>
      </c>
      <c r="L79" t="s">
        <v>63</v>
      </c>
      <c r="M79" t="s">
        <v>90</v>
      </c>
      <c r="N79" t="s">
        <v>91</v>
      </c>
      <c r="O79" s="3">
        <v>625000</v>
      </c>
      <c r="P79" s="4">
        <v>50</v>
      </c>
      <c r="Q79" s="2">
        <v>45755</v>
      </c>
      <c r="R79" s="2">
        <v>46187</v>
      </c>
      <c r="S79" s="2">
        <v>45737</v>
      </c>
      <c r="T79" s="2"/>
      <c r="U79" t="str">
        <f t="shared" si="7"/>
        <v>No</v>
      </c>
      <c r="W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" t="str">
        <f t="shared" ca="1" si="8"/>
        <v>Overdue</v>
      </c>
      <c r="Y79" t="str">
        <f t="shared" si="9"/>
        <v>Open</v>
      </c>
      <c r="Z79" t="str">
        <f t="shared" si="10"/>
        <v>Feb-2025</v>
      </c>
      <c r="AA79" t="str">
        <f t="shared" si="11"/>
        <v>Q1 2025</v>
      </c>
      <c r="AB79" s="4">
        <f t="shared" ca="1" si="12"/>
        <v>488</v>
      </c>
      <c r="AC79" t="str">
        <f t="shared" si="13"/>
        <v>High</v>
      </c>
    </row>
    <row r="80" spans="1:29">
      <c r="A80" t="s">
        <v>482</v>
      </c>
      <c r="B80" s="2">
        <v>45872</v>
      </c>
      <c r="C80" t="s">
        <v>483</v>
      </c>
      <c r="D80" t="s">
        <v>484</v>
      </c>
      <c r="E80" t="s">
        <v>485</v>
      </c>
      <c r="F80" t="s">
        <v>486</v>
      </c>
      <c r="G80" t="s">
        <v>179</v>
      </c>
      <c r="H80" t="s">
        <v>487</v>
      </c>
      <c r="I80" t="s">
        <v>141</v>
      </c>
      <c r="J80" t="s">
        <v>124</v>
      </c>
      <c r="K80" t="s">
        <v>38</v>
      </c>
      <c r="L80" t="s">
        <v>125</v>
      </c>
      <c r="M80" t="s">
        <v>53</v>
      </c>
      <c r="N80" t="s">
        <v>54</v>
      </c>
      <c r="O80" s="3">
        <v>115000</v>
      </c>
      <c r="P80" s="4">
        <v>35</v>
      </c>
      <c r="Q80" s="2">
        <v>45903</v>
      </c>
      <c r="R80" s="2">
        <v>46215</v>
      </c>
      <c r="S80" s="2">
        <v>45885</v>
      </c>
      <c r="T80" s="2"/>
      <c r="U80" t="str">
        <f t="shared" si="7"/>
        <v>No</v>
      </c>
      <c r="W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" t="str">
        <f t="shared" ca="1" si="8"/>
        <v>Due/Open</v>
      </c>
      <c r="Y80" t="str">
        <f t="shared" si="9"/>
        <v>Open</v>
      </c>
      <c r="Z80" t="str">
        <f t="shared" si="10"/>
        <v>Aug-2025</v>
      </c>
      <c r="AA80" t="str">
        <f t="shared" si="11"/>
        <v>Q3 2025</v>
      </c>
      <c r="AB80" s="4">
        <f t="shared" ca="1" si="12"/>
        <v>327</v>
      </c>
      <c r="AC80" t="str">
        <f t="shared" si="13"/>
        <v>Low</v>
      </c>
    </row>
    <row r="81" spans="1:29">
      <c r="A81" t="s">
        <v>488</v>
      </c>
      <c r="B81" s="2">
        <v>45905</v>
      </c>
      <c r="C81" t="s">
        <v>489</v>
      </c>
      <c r="D81" t="s">
        <v>490</v>
      </c>
      <c r="E81" t="s">
        <v>491</v>
      </c>
      <c r="F81" t="s">
        <v>492</v>
      </c>
      <c r="G81" t="s">
        <v>47</v>
      </c>
      <c r="H81" t="s">
        <v>493</v>
      </c>
      <c r="I81" t="s">
        <v>141</v>
      </c>
      <c r="J81" t="s">
        <v>131</v>
      </c>
      <c r="K81" t="s">
        <v>38</v>
      </c>
      <c r="L81" t="s">
        <v>154</v>
      </c>
      <c r="M81" t="s">
        <v>90</v>
      </c>
      <c r="N81" t="s">
        <v>91</v>
      </c>
      <c r="O81" s="3">
        <v>90000</v>
      </c>
      <c r="P81" s="4">
        <v>55</v>
      </c>
      <c r="Q81" s="2">
        <v>45945</v>
      </c>
      <c r="R81" s="2">
        <v>46210</v>
      </c>
      <c r="S81" s="2">
        <v>45909</v>
      </c>
      <c r="T81" s="2"/>
      <c r="U81" t="str">
        <f t="shared" si="7"/>
        <v>No</v>
      </c>
      <c r="W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" t="str">
        <f t="shared" ca="1" si="8"/>
        <v>Due/Open</v>
      </c>
      <c r="Y81" t="str">
        <f t="shared" si="9"/>
        <v>Open</v>
      </c>
      <c r="Z81" t="str">
        <f t="shared" si="10"/>
        <v>Sep-2025</v>
      </c>
      <c r="AA81" t="str">
        <f t="shared" si="11"/>
        <v>Q3 2025</v>
      </c>
      <c r="AB81" s="4">
        <f t="shared" ca="1" si="12"/>
        <v>294</v>
      </c>
      <c r="AC81" t="str">
        <f t="shared" si="13"/>
        <v>Low</v>
      </c>
    </row>
    <row r="82" spans="1:29">
      <c r="A82" t="s">
        <v>494</v>
      </c>
      <c r="B82" s="2">
        <v>45981</v>
      </c>
      <c r="C82" t="s">
        <v>495</v>
      </c>
      <c r="D82" t="s">
        <v>207</v>
      </c>
      <c r="E82" t="s">
        <v>496</v>
      </c>
      <c r="F82" t="s">
        <v>497</v>
      </c>
      <c r="G82" t="s">
        <v>79</v>
      </c>
      <c r="H82" t="s">
        <v>217</v>
      </c>
      <c r="I82" t="s">
        <v>49</v>
      </c>
      <c r="J82" t="s">
        <v>50</v>
      </c>
      <c r="K82" t="s">
        <v>194</v>
      </c>
      <c r="L82" t="s">
        <v>81</v>
      </c>
      <c r="M82" t="s">
        <v>90</v>
      </c>
      <c r="N82" t="s">
        <v>91</v>
      </c>
      <c r="O82" s="3">
        <v>525000</v>
      </c>
      <c r="P82" s="4">
        <v>40</v>
      </c>
      <c r="Q82" s="2">
        <v>46002</v>
      </c>
      <c r="R82" s="2">
        <v>46179</v>
      </c>
      <c r="S82" s="2">
        <v>45997</v>
      </c>
      <c r="T82" s="2"/>
      <c r="U82" t="str">
        <f t="shared" si="7"/>
        <v>No</v>
      </c>
      <c r="W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" t="str">
        <f t="shared" ca="1" si="8"/>
        <v>Overdue</v>
      </c>
      <c r="Y82" t="str">
        <f t="shared" si="9"/>
        <v>Open</v>
      </c>
      <c r="Z82" t="str">
        <f t="shared" si="10"/>
        <v>Nov-2025</v>
      </c>
      <c r="AA82" t="str">
        <f t="shared" si="11"/>
        <v>Q4 2025</v>
      </c>
      <c r="AB82" s="4">
        <f t="shared" ca="1" si="12"/>
        <v>218</v>
      </c>
      <c r="AC82" t="str">
        <f t="shared" si="13"/>
        <v>High</v>
      </c>
    </row>
    <row r="83" spans="1:29">
      <c r="A83" t="s">
        <v>498</v>
      </c>
      <c r="B83" s="2">
        <v>46079</v>
      </c>
      <c r="C83" t="s">
        <v>499</v>
      </c>
      <c r="D83" t="s">
        <v>282</v>
      </c>
      <c r="E83" t="s">
        <v>500</v>
      </c>
      <c r="F83" t="s">
        <v>501</v>
      </c>
      <c r="G83" t="s">
        <v>34</v>
      </c>
      <c r="H83" t="s">
        <v>35</v>
      </c>
      <c r="I83" t="s">
        <v>141</v>
      </c>
      <c r="J83" t="s">
        <v>131</v>
      </c>
      <c r="K83" t="s">
        <v>100</v>
      </c>
      <c r="L83" t="s">
        <v>63</v>
      </c>
      <c r="M83" t="s">
        <v>73</v>
      </c>
      <c r="N83" t="s">
        <v>73</v>
      </c>
      <c r="O83" s="3">
        <v>155000</v>
      </c>
      <c r="P83" s="4">
        <v>80</v>
      </c>
      <c r="Q83" s="2">
        <v>46104</v>
      </c>
      <c r="R83" s="2">
        <v>46206</v>
      </c>
      <c r="S83" s="2">
        <v>46084</v>
      </c>
      <c r="T83" s="2"/>
      <c r="U83" t="str">
        <f t="shared" si="7"/>
        <v>No</v>
      </c>
      <c r="W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" t="str">
        <f t="shared" ca="1" si="8"/>
        <v>Due/Open</v>
      </c>
      <c r="Y83" t="str">
        <f t="shared" si="9"/>
        <v>Open</v>
      </c>
      <c r="Z83" t="str">
        <f t="shared" si="10"/>
        <v>Feb-2026</v>
      </c>
      <c r="AA83" t="str">
        <f t="shared" si="11"/>
        <v>Q1 2026</v>
      </c>
      <c r="AB83" s="4">
        <f t="shared" ca="1" si="12"/>
        <v>120</v>
      </c>
      <c r="AC83" t="str">
        <f t="shared" si="13"/>
        <v>Medium</v>
      </c>
    </row>
    <row r="84" spans="1:29">
      <c r="A84" t="s">
        <v>502</v>
      </c>
      <c r="B84" s="2">
        <v>46116</v>
      </c>
      <c r="C84" t="s">
        <v>503</v>
      </c>
      <c r="D84" t="s">
        <v>94</v>
      </c>
      <c r="E84" t="s">
        <v>504</v>
      </c>
      <c r="F84" t="s">
        <v>505</v>
      </c>
      <c r="G84" t="s">
        <v>69</v>
      </c>
      <c r="H84" t="s">
        <v>312</v>
      </c>
      <c r="I84" t="s">
        <v>98</v>
      </c>
      <c r="J84" t="s">
        <v>124</v>
      </c>
      <c r="K84" t="s">
        <v>71</v>
      </c>
      <c r="L84" t="s">
        <v>239</v>
      </c>
      <c r="M84" t="s">
        <v>82</v>
      </c>
      <c r="N84" t="s">
        <v>83</v>
      </c>
      <c r="O84" s="3">
        <v>215000</v>
      </c>
      <c r="P84" s="4">
        <v>10</v>
      </c>
      <c r="Q84" s="2">
        <v>46149</v>
      </c>
      <c r="R84" s="2">
        <v>46234</v>
      </c>
      <c r="S84" s="2">
        <v>46122</v>
      </c>
      <c r="T84" s="2"/>
      <c r="U84" t="str">
        <f t="shared" si="7"/>
        <v>No</v>
      </c>
      <c r="W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" t="str">
        <f t="shared" ca="1" si="8"/>
        <v>Due/Open</v>
      </c>
      <c r="Y84" t="str">
        <f t="shared" si="9"/>
        <v>Open</v>
      </c>
      <c r="Z84" t="str">
        <f t="shared" si="10"/>
        <v>Apr-2026</v>
      </c>
      <c r="AA84" t="str">
        <f t="shared" si="11"/>
        <v>Q2 2026</v>
      </c>
      <c r="AB84" s="4">
        <f t="shared" ca="1" si="12"/>
        <v>83</v>
      </c>
      <c r="AC84" t="str">
        <f t="shared" si="13"/>
        <v>Medium</v>
      </c>
    </row>
    <row r="85" spans="1:29">
      <c r="A85" t="s">
        <v>506</v>
      </c>
      <c r="B85" s="2">
        <v>45942</v>
      </c>
      <c r="C85" t="s">
        <v>507</v>
      </c>
      <c r="D85" t="s">
        <v>183</v>
      </c>
      <c r="E85" t="s">
        <v>508</v>
      </c>
      <c r="F85" t="s">
        <v>509</v>
      </c>
      <c r="G85" t="s">
        <v>179</v>
      </c>
      <c r="H85" t="s">
        <v>487</v>
      </c>
      <c r="I85" t="s">
        <v>49</v>
      </c>
      <c r="J85" t="s">
        <v>62</v>
      </c>
      <c r="K85" t="s">
        <v>38</v>
      </c>
      <c r="L85" t="s">
        <v>154</v>
      </c>
      <c r="M85" t="s">
        <v>116</v>
      </c>
      <c r="N85" t="s">
        <v>54</v>
      </c>
      <c r="O85" s="3">
        <v>345000</v>
      </c>
      <c r="P85" s="4">
        <v>15</v>
      </c>
      <c r="Q85" s="2">
        <v>45977</v>
      </c>
      <c r="R85" s="2">
        <v>46194</v>
      </c>
      <c r="S85" s="2">
        <v>45970</v>
      </c>
      <c r="T85" s="2"/>
      <c r="U85" t="str">
        <f t="shared" si="7"/>
        <v>No</v>
      </c>
      <c r="W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" t="str">
        <f t="shared" ca="1" si="8"/>
        <v>Overdue</v>
      </c>
      <c r="Y85" t="str">
        <f t="shared" si="9"/>
        <v>Open</v>
      </c>
      <c r="Z85" t="str">
        <f t="shared" si="10"/>
        <v>Oct-2025</v>
      </c>
      <c r="AA85" t="str">
        <f t="shared" si="11"/>
        <v>Q4 2025</v>
      </c>
      <c r="AB85" s="4">
        <f t="shared" ca="1" si="12"/>
        <v>257</v>
      </c>
      <c r="AC85" t="str">
        <f t="shared" si="13"/>
        <v>High</v>
      </c>
    </row>
    <row r="86" spans="1:29">
      <c r="A86" t="s">
        <v>510</v>
      </c>
      <c r="B86" s="2">
        <v>46078</v>
      </c>
      <c r="C86" t="s">
        <v>511</v>
      </c>
      <c r="D86" t="s">
        <v>512</v>
      </c>
      <c r="E86" t="s">
        <v>513</v>
      </c>
      <c r="F86" t="s">
        <v>514</v>
      </c>
      <c r="G86" t="s">
        <v>79</v>
      </c>
      <c r="H86" t="s">
        <v>260</v>
      </c>
      <c r="I86" t="s">
        <v>49</v>
      </c>
      <c r="J86" t="s">
        <v>50</v>
      </c>
      <c r="K86" t="s">
        <v>100</v>
      </c>
      <c r="L86" t="s">
        <v>125</v>
      </c>
      <c r="M86" t="s">
        <v>133</v>
      </c>
      <c r="N86" t="s">
        <v>134</v>
      </c>
      <c r="O86" s="3">
        <v>460000</v>
      </c>
      <c r="P86" s="4">
        <v>0</v>
      </c>
      <c r="Q86" s="2">
        <v>46115</v>
      </c>
      <c r="R86" s="2"/>
      <c r="S86" s="2">
        <v>46087</v>
      </c>
      <c r="T86" s="2">
        <v>46115</v>
      </c>
      <c r="U86" t="str">
        <f t="shared" si="7"/>
        <v>No</v>
      </c>
      <c r="V86" t="s">
        <v>452</v>
      </c>
      <c r="W8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86" t="str">
        <f t="shared" ca="1" si="8"/>
        <v>Closed</v>
      </c>
      <c r="Y86" t="str">
        <f t="shared" si="9"/>
        <v>Closed</v>
      </c>
      <c r="Z86" t="str">
        <f t="shared" si="10"/>
        <v>Feb-2026</v>
      </c>
      <c r="AA86" t="str">
        <f t="shared" si="11"/>
        <v>Q1 2026</v>
      </c>
      <c r="AB86" s="4">
        <f t="shared" ca="1" si="12"/>
        <v>121</v>
      </c>
      <c r="AC86" t="str">
        <f t="shared" si="13"/>
        <v>High</v>
      </c>
    </row>
    <row r="87" spans="1:29">
      <c r="A87" t="s">
        <v>515</v>
      </c>
      <c r="B87" s="2">
        <v>45926</v>
      </c>
      <c r="C87" t="s">
        <v>516</v>
      </c>
      <c r="D87" t="s">
        <v>517</v>
      </c>
      <c r="E87" t="s">
        <v>518</v>
      </c>
      <c r="F87" t="s">
        <v>519</v>
      </c>
      <c r="G87" t="s">
        <v>69</v>
      </c>
      <c r="H87" t="s">
        <v>70</v>
      </c>
      <c r="I87" t="s">
        <v>98</v>
      </c>
      <c r="J87" t="s">
        <v>131</v>
      </c>
      <c r="K87" t="s">
        <v>100</v>
      </c>
      <c r="L87" t="s">
        <v>52</v>
      </c>
      <c r="M87" t="s">
        <v>53</v>
      </c>
      <c r="N87" t="s">
        <v>54</v>
      </c>
      <c r="O87" s="3">
        <v>225000</v>
      </c>
      <c r="P87" s="4">
        <v>35</v>
      </c>
      <c r="Q87" s="2">
        <v>46012</v>
      </c>
      <c r="R87" s="2">
        <v>46225</v>
      </c>
      <c r="S87" s="2">
        <v>45938</v>
      </c>
      <c r="T87" s="2"/>
      <c r="U87" t="str">
        <f t="shared" si="7"/>
        <v>No</v>
      </c>
      <c r="W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" t="str">
        <f t="shared" ca="1" si="8"/>
        <v>Due/Open</v>
      </c>
      <c r="Y87" t="str">
        <f t="shared" si="9"/>
        <v>Open</v>
      </c>
      <c r="Z87" t="str">
        <f t="shared" si="10"/>
        <v>Sep-2025</v>
      </c>
      <c r="AA87" t="str">
        <f t="shared" si="11"/>
        <v>Q3 2025</v>
      </c>
      <c r="AB87" s="4">
        <f t="shared" ca="1" si="12"/>
        <v>273</v>
      </c>
      <c r="AC87" t="str">
        <f t="shared" si="13"/>
        <v>Medium</v>
      </c>
    </row>
    <row r="88" spans="1:29">
      <c r="A88" t="s">
        <v>520</v>
      </c>
      <c r="B88" s="2">
        <v>46086</v>
      </c>
      <c r="C88" t="s">
        <v>521</v>
      </c>
      <c r="D88" t="s">
        <v>522</v>
      </c>
      <c r="E88" t="s">
        <v>523</v>
      </c>
      <c r="F88" t="s">
        <v>524</v>
      </c>
      <c r="G88" t="s">
        <v>179</v>
      </c>
      <c r="H88" t="s">
        <v>180</v>
      </c>
      <c r="I88" t="s">
        <v>36</v>
      </c>
      <c r="J88" t="s">
        <v>131</v>
      </c>
      <c r="K88" t="s">
        <v>100</v>
      </c>
      <c r="L88" t="s">
        <v>125</v>
      </c>
      <c r="M88" t="s">
        <v>73</v>
      </c>
      <c r="N88" t="s">
        <v>73</v>
      </c>
      <c r="O88" s="3">
        <v>175000</v>
      </c>
      <c r="P88" s="4">
        <v>80</v>
      </c>
      <c r="Q88" s="2">
        <v>46171</v>
      </c>
      <c r="R88" s="2">
        <v>46213</v>
      </c>
      <c r="S88" s="2">
        <v>46089</v>
      </c>
      <c r="T88" s="2"/>
      <c r="U88" t="str">
        <f t="shared" si="7"/>
        <v>No</v>
      </c>
      <c r="W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" t="str">
        <f t="shared" ca="1" si="8"/>
        <v>Due/Open</v>
      </c>
      <c r="Y88" t="str">
        <f t="shared" si="9"/>
        <v>Open</v>
      </c>
      <c r="Z88" t="str">
        <f t="shared" si="10"/>
        <v>Mar-2026</v>
      </c>
      <c r="AA88" t="str">
        <f t="shared" si="11"/>
        <v>Q1 2026</v>
      </c>
      <c r="AB88" s="4">
        <f t="shared" ca="1" si="12"/>
        <v>113</v>
      </c>
      <c r="AC88" t="str">
        <f t="shared" si="13"/>
        <v>Medium</v>
      </c>
    </row>
    <row r="89" spans="1:29">
      <c r="A89" t="s">
        <v>525</v>
      </c>
      <c r="B89" s="2">
        <v>45939</v>
      </c>
      <c r="C89" t="s">
        <v>511</v>
      </c>
      <c r="D89" t="s">
        <v>526</v>
      </c>
      <c r="E89" t="s">
        <v>527</v>
      </c>
      <c r="F89" t="s">
        <v>528</v>
      </c>
      <c r="G89" t="s">
        <v>47</v>
      </c>
      <c r="H89" t="s">
        <v>89</v>
      </c>
      <c r="I89" t="s">
        <v>141</v>
      </c>
      <c r="J89" t="s">
        <v>99</v>
      </c>
      <c r="K89" t="s">
        <v>194</v>
      </c>
      <c r="L89" t="s">
        <v>63</v>
      </c>
      <c r="M89" t="s">
        <v>82</v>
      </c>
      <c r="N89" t="s">
        <v>83</v>
      </c>
      <c r="O89" s="3">
        <v>160000</v>
      </c>
      <c r="P89" s="4">
        <v>10</v>
      </c>
      <c r="Q89" s="2">
        <v>45960</v>
      </c>
      <c r="R89" s="2">
        <v>46242</v>
      </c>
      <c r="S89" s="2">
        <v>45966</v>
      </c>
      <c r="T89" s="2"/>
      <c r="U89" t="str">
        <f t="shared" si="7"/>
        <v>No</v>
      </c>
      <c r="W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" t="str">
        <f t="shared" ca="1" si="8"/>
        <v>Due/Open</v>
      </c>
      <c r="Y89" t="str">
        <f t="shared" si="9"/>
        <v>Open</v>
      </c>
      <c r="Z89" t="str">
        <f t="shared" si="10"/>
        <v>Oct-2025</v>
      </c>
      <c r="AA89" t="str">
        <f t="shared" si="11"/>
        <v>Q4 2025</v>
      </c>
      <c r="AB89" s="4">
        <f t="shared" ca="1" si="12"/>
        <v>260</v>
      </c>
      <c r="AC89" t="str">
        <f t="shared" si="13"/>
        <v>Medium</v>
      </c>
    </row>
    <row r="90" spans="1:29">
      <c r="A90" t="s">
        <v>529</v>
      </c>
      <c r="B90" s="2">
        <v>45960</v>
      </c>
      <c r="C90" t="s">
        <v>530</v>
      </c>
      <c r="D90" t="s">
        <v>428</v>
      </c>
      <c r="E90" t="s">
        <v>531</v>
      </c>
      <c r="F90" t="s">
        <v>532</v>
      </c>
      <c r="G90" t="s">
        <v>69</v>
      </c>
      <c r="H90" t="s">
        <v>200</v>
      </c>
      <c r="I90" t="s">
        <v>98</v>
      </c>
      <c r="J90" t="s">
        <v>62</v>
      </c>
      <c r="K90" t="s">
        <v>51</v>
      </c>
      <c r="L90" t="s">
        <v>52</v>
      </c>
      <c r="M90" t="s">
        <v>166</v>
      </c>
      <c r="N90" t="s">
        <v>167</v>
      </c>
      <c r="O90" s="3">
        <v>380000</v>
      </c>
      <c r="P90" s="4">
        <v>65</v>
      </c>
      <c r="Q90" s="2">
        <v>46048</v>
      </c>
      <c r="R90" s="2">
        <v>46222</v>
      </c>
      <c r="S90" s="2">
        <v>45983</v>
      </c>
      <c r="T90" s="2"/>
      <c r="U90" t="str">
        <f t="shared" si="7"/>
        <v>No</v>
      </c>
      <c r="W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" t="str">
        <f t="shared" ca="1" si="8"/>
        <v>Due/Open</v>
      </c>
      <c r="Y90" t="str">
        <f t="shared" si="9"/>
        <v>Open</v>
      </c>
      <c r="Z90" t="str">
        <f t="shared" si="10"/>
        <v>Oct-2025</v>
      </c>
      <c r="AA90" t="str">
        <f t="shared" si="11"/>
        <v>Q4 2025</v>
      </c>
      <c r="AB90" s="4">
        <f t="shared" ca="1" si="12"/>
        <v>239</v>
      </c>
      <c r="AC90" t="str">
        <f t="shared" si="13"/>
        <v>High</v>
      </c>
    </row>
    <row r="91" spans="1:29">
      <c r="A91" t="s">
        <v>533</v>
      </c>
      <c r="B91" s="2">
        <v>46100</v>
      </c>
      <c r="C91" t="s">
        <v>534</v>
      </c>
      <c r="D91" t="s">
        <v>490</v>
      </c>
      <c r="E91" t="s">
        <v>535</v>
      </c>
      <c r="F91" t="s">
        <v>536</v>
      </c>
      <c r="G91" t="s">
        <v>34</v>
      </c>
      <c r="H91" t="s">
        <v>35</v>
      </c>
      <c r="I91" t="s">
        <v>49</v>
      </c>
      <c r="J91" t="s">
        <v>99</v>
      </c>
      <c r="K91" t="s">
        <v>51</v>
      </c>
      <c r="L91" t="s">
        <v>142</v>
      </c>
      <c r="M91" t="s">
        <v>40</v>
      </c>
      <c r="N91" t="s">
        <v>41</v>
      </c>
      <c r="O91" s="3">
        <v>355000</v>
      </c>
      <c r="P91" s="4">
        <v>100</v>
      </c>
      <c r="Q91" s="2">
        <v>46138</v>
      </c>
      <c r="R91" s="2"/>
      <c r="S91" s="2">
        <v>46128</v>
      </c>
      <c r="T91" s="2">
        <v>46138</v>
      </c>
      <c r="U91" t="str">
        <f t="shared" si="7"/>
        <v>Yes</v>
      </c>
      <c r="W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91" t="str">
        <f t="shared" ca="1" si="8"/>
        <v>Closed</v>
      </c>
      <c r="Y91" t="str">
        <f t="shared" si="9"/>
        <v>Closed</v>
      </c>
      <c r="Z91" t="str">
        <f t="shared" si="10"/>
        <v>Mar-2026</v>
      </c>
      <c r="AA91" t="str">
        <f t="shared" si="11"/>
        <v>Q1 2026</v>
      </c>
      <c r="AB91" s="4">
        <f t="shared" ca="1" si="12"/>
        <v>99</v>
      </c>
      <c r="AC91" t="str">
        <f t="shared" si="13"/>
        <v>High</v>
      </c>
    </row>
    <row r="92" spans="1:29">
      <c r="A92" t="s">
        <v>537</v>
      </c>
      <c r="B92" s="2">
        <v>46154</v>
      </c>
      <c r="C92" t="s">
        <v>538</v>
      </c>
      <c r="D92" t="s">
        <v>57</v>
      </c>
      <c r="E92" t="s">
        <v>539</v>
      </c>
      <c r="F92" t="s">
        <v>540</v>
      </c>
      <c r="G92" t="s">
        <v>69</v>
      </c>
      <c r="H92" t="s">
        <v>312</v>
      </c>
      <c r="I92" t="s">
        <v>123</v>
      </c>
      <c r="J92" t="s">
        <v>62</v>
      </c>
      <c r="K92" t="s">
        <v>194</v>
      </c>
      <c r="L92" t="s">
        <v>52</v>
      </c>
      <c r="M92" t="s">
        <v>166</v>
      </c>
      <c r="N92" t="s">
        <v>167</v>
      </c>
      <c r="O92" s="3">
        <v>370000</v>
      </c>
      <c r="P92" s="4">
        <v>70</v>
      </c>
      <c r="Q92" s="2">
        <v>46212</v>
      </c>
      <c r="R92" s="2">
        <v>46174</v>
      </c>
      <c r="S92" s="2">
        <v>46178</v>
      </c>
      <c r="T92" s="2"/>
      <c r="U92" t="str">
        <f t="shared" si="7"/>
        <v>No</v>
      </c>
      <c r="W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" t="str">
        <f t="shared" ca="1" si="8"/>
        <v>Overdue</v>
      </c>
      <c r="Y92" t="str">
        <f t="shared" si="9"/>
        <v>Open</v>
      </c>
      <c r="Z92" t="str">
        <f t="shared" si="10"/>
        <v>May-2026</v>
      </c>
      <c r="AA92" t="str">
        <f t="shared" si="11"/>
        <v>Q2 2026</v>
      </c>
      <c r="AB92" s="4">
        <f t="shared" ca="1" si="12"/>
        <v>45</v>
      </c>
      <c r="AC92" t="str">
        <f t="shared" si="13"/>
        <v>High</v>
      </c>
    </row>
    <row r="93" spans="1:29">
      <c r="A93" t="s">
        <v>541</v>
      </c>
      <c r="B93" s="2">
        <v>45996</v>
      </c>
      <c r="C93" t="s">
        <v>542</v>
      </c>
      <c r="D93" t="s">
        <v>257</v>
      </c>
      <c r="E93" t="s">
        <v>543</v>
      </c>
      <c r="F93" t="s">
        <v>544</v>
      </c>
      <c r="G93" t="s">
        <v>79</v>
      </c>
      <c r="H93" t="s">
        <v>97</v>
      </c>
      <c r="I93" t="s">
        <v>148</v>
      </c>
      <c r="J93" t="s">
        <v>131</v>
      </c>
      <c r="K93" t="s">
        <v>114</v>
      </c>
      <c r="L93" t="s">
        <v>39</v>
      </c>
      <c r="M93" t="s">
        <v>116</v>
      </c>
      <c r="N93" t="s">
        <v>54</v>
      </c>
      <c r="O93" s="3">
        <v>345000</v>
      </c>
      <c r="P93" s="4">
        <v>20</v>
      </c>
      <c r="Q93" s="2">
        <v>46020</v>
      </c>
      <c r="R93" s="2">
        <v>46221</v>
      </c>
      <c r="S93" s="2">
        <v>46024</v>
      </c>
      <c r="T93" s="2"/>
      <c r="U93" t="str">
        <f t="shared" si="7"/>
        <v>No</v>
      </c>
      <c r="W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" t="str">
        <f t="shared" ca="1" si="8"/>
        <v>Due/Open</v>
      </c>
      <c r="Y93" t="str">
        <f t="shared" si="9"/>
        <v>Open</v>
      </c>
      <c r="Z93" t="str">
        <f t="shared" si="10"/>
        <v>Dec-2025</v>
      </c>
      <c r="AA93" t="str">
        <f t="shared" si="11"/>
        <v>Q4 2025</v>
      </c>
      <c r="AB93" s="4">
        <f t="shared" ca="1" si="12"/>
        <v>203</v>
      </c>
      <c r="AC93" t="str">
        <f t="shared" si="13"/>
        <v>High</v>
      </c>
    </row>
    <row r="94" spans="1:29">
      <c r="A94" t="s">
        <v>545</v>
      </c>
      <c r="B94" s="2">
        <v>46116</v>
      </c>
      <c r="C94" t="s">
        <v>546</v>
      </c>
      <c r="D94" t="s">
        <v>547</v>
      </c>
      <c r="E94" t="s">
        <v>548</v>
      </c>
      <c r="F94" t="s">
        <v>549</v>
      </c>
      <c r="G94" t="s">
        <v>79</v>
      </c>
      <c r="H94" t="s">
        <v>106</v>
      </c>
      <c r="I94" t="s">
        <v>36</v>
      </c>
      <c r="J94" t="s">
        <v>99</v>
      </c>
      <c r="K94" t="s">
        <v>194</v>
      </c>
      <c r="L94" t="s">
        <v>107</v>
      </c>
      <c r="M94" t="s">
        <v>53</v>
      </c>
      <c r="N94" t="s">
        <v>54</v>
      </c>
      <c r="O94" s="3">
        <v>200000</v>
      </c>
      <c r="P94" s="4">
        <v>25</v>
      </c>
      <c r="Q94" s="2">
        <v>46198</v>
      </c>
      <c r="R94" s="2">
        <v>46174</v>
      </c>
      <c r="S94" s="2">
        <v>46145</v>
      </c>
      <c r="T94" s="2"/>
      <c r="U94" t="str">
        <f t="shared" si="7"/>
        <v>No</v>
      </c>
      <c r="W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" t="str">
        <f t="shared" ca="1" si="8"/>
        <v>Overdue</v>
      </c>
      <c r="Y94" t="str">
        <f t="shared" si="9"/>
        <v>Open</v>
      </c>
      <c r="Z94" t="str">
        <f t="shared" si="10"/>
        <v>Apr-2026</v>
      </c>
      <c r="AA94" t="str">
        <f t="shared" si="11"/>
        <v>Q2 2026</v>
      </c>
      <c r="AB94" s="4">
        <f t="shared" ca="1" si="12"/>
        <v>83</v>
      </c>
      <c r="AC94" t="str">
        <f t="shared" si="13"/>
        <v>Medium</v>
      </c>
    </row>
    <row r="95" spans="1:29">
      <c r="A95" t="s">
        <v>550</v>
      </c>
      <c r="B95" s="2">
        <v>46122</v>
      </c>
      <c r="C95" t="s">
        <v>551</v>
      </c>
      <c r="D95" t="s">
        <v>552</v>
      </c>
      <c r="E95" t="s">
        <v>553</v>
      </c>
      <c r="F95" t="s">
        <v>554</v>
      </c>
      <c r="G95" t="s">
        <v>34</v>
      </c>
      <c r="H95" t="s">
        <v>173</v>
      </c>
      <c r="I95" t="s">
        <v>61</v>
      </c>
      <c r="J95" t="s">
        <v>131</v>
      </c>
      <c r="K95" t="s">
        <v>38</v>
      </c>
      <c r="L95" t="s">
        <v>39</v>
      </c>
      <c r="M95" t="s">
        <v>90</v>
      </c>
      <c r="N95" t="s">
        <v>91</v>
      </c>
      <c r="O95" s="3">
        <v>290000</v>
      </c>
      <c r="P95" s="4">
        <v>50</v>
      </c>
      <c r="Q95" s="2">
        <v>46208</v>
      </c>
      <c r="R95" s="2">
        <v>46170</v>
      </c>
      <c r="S95" s="2">
        <v>46149</v>
      </c>
      <c r="T95" s="2"/>
      <c r="U95" t="str">
        <f t="shared" si="7"/>
        <v>No</v>
      </c>
      <c r="W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" t="str">
        <f t="shared" ca="1" si="8"/>
        <v>Overdue</v>
      </c>
      <c r="Y95" t="str">
        <f t="shared" si="9"/>
        <v>Open</v>
      </c>
      <c r="Z95" t="str">
        <f t="shared" si="10"/>
        <v>Apr-2026</v>
      </c>
      <c r="AA95" t="str">
        <f t="shared" si="11"/>
        <v>Q2 2026</v>
      </c>
      <c r="AB95" s="4">
        <f t="shared" ca="1" si="12"/>
        <v>77</v>
      </c>
      <c r="AC95" t="str">
        <f t="shared" si="13"/>
        <v>Medium</v>
      </c>
    </row>
    <row r="96" spans="1:29">
      <c r="A96" t="s">
        <v>555</v>
      </c>
      <c r="B96" s="2">
        <v>45776</v>
      </c>
      <c r="C96" t="s">
        <v>556</v>
      </c>
      <c r="D96" t="s">
        <v>557</v>
      </c>
      <c r="E96" t="s">
        <v>558</v>
      </c>
      <c r="F96" t="s">
        <v>559</v>
      </c>
      <c r="G96" t="s">
        <v>179</v>
      </c>
      <c r="H96" t="s">
        <v>296</v>
      </c>
      <c r="I96" t="s">
        <v>49</v>
      </c>
      <c r="J96" t="s">
        <v>50</v>
      </c>
      <c r="K96" t="s">
        <v>100</v>
      </c>
      <c r="L96" t="s">
        <v>125</v>
      </c>
      <c r="M96" t="s">
        <v>116</v>
      </c>
      <c r="N96" t="s">
        <v>54</v>
      </c>
      <c r="O96" s="3">
        <v>465000</v>
      </c>
      <c r="P96" s="4">
        <v>25</v>
      </c>
      <c r="Q96" s="2">
        <v>45807</v>
      </c>
      <c r="R96" s="2">
        <v>46213</v>
      </c>
      <c r="S96" s="2">
        <v>45793</v>
      </c>
      <c r="T96" s="2"/>
      <c r="U96" t="str">
        <f t="shared" si="7"/>
        <v>No</v>
      </c>
      <c r="W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" t="str">
        <f t="shared" ca="1" si="8"/>
        <v>Due/Open</v>
      </c>
      <c r="Y96" t="str">
        <f t="shared" si="9"/>
        <v>Open</v>
      </c>
      <c r="Z96" t="str">
        <f t="shared" si="10"/>
        <v>Apr-2025</v>
      </c>
      <c r="AA96" t="str">
        <f t="shared" si="11"/>
        <v>Q2 2025</v>
      </c>
      <c r="AB96" s="4">
        <f t="shared" ca="1" si="12"/>
        <v>423</v>
      </c>
      <c r="AC96" t="str">
        <f t="shared" si="13"/>
        <v>High</v>
      </c>
    </row>
    <row r="97" spans="1:29">
      <c r="A97" t="s">
        <v>560</v>
      </c>
      <c r="B97" s="2">
        <v>45749</v>
      </c>
      <c r="C97" t="s">
        <v>538</v>
      </c>
      <c r="D97" t="s">
        <v>561</v>
      </c>
      <c r="E97" t="s">
        <v>562</v>
      </c>
      <c r="F97" t="s">
        <v>563</v>
      </c>
      <c r="G97" t="s">
        <v>47</v>
      </c>
      <c r="H97" t="s">
        <v>418</v>
      </c>
      <c r="I97" t="s">
        <v>187</v>
      </c>
      <c r="J97" t="s">
        <v>50</v>
      </c>
      <c r="K97" t="s">
        <v>194</v>
      </c>
      <c r="L97" t="s">
        <v>107</v>
      </c>
      <c r="M97" t="s">
        <v>166</v>
      </c>
      <c r="N97" t="s">
        <v>167</v>
      </c>
      <c r="O97" s="3">
        <v>350000</v>
      </c>
      <c r="P97" s="4">
        <v>70</v>
      </c>
      <c r="Q97" s="2">
        <v>45811</v>
      </c>
      <c r="R97" s="2">
        <v>46228</v>
      </c>
      <c r="S97" s="2">
        <v>45769</v>
      </c>
      <c r="T97" s="2"/>
      <c r="U97" t="str">
        <f t="shared" si="7"/>
        <v>No</v>
      </c>
      <c r="W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" t="str">
        <f t="shared" ca="1" si="8"/>
        <v>Due/Open</v>
      </c>
      <c r="Y97" t="str">
        <f t="shared" si="9"/>
        <v>Open</v>
      </c>
      <c r="Z97" t="str">
        <f t="shared" si="10"/>
        <v>Apr-2025</v>
      </c>
      <c r="AA97" t="str">
        <f t="shared" si="11"/>
        <v>Q2 2025</v>
      </c>
      <c r="AB97" s="4">
        <f t="shared" ca="1" si="12"/>
        <v>450</v>
      </c>
      <c r="AC97" t="str">
        <f t="shared" si="13"/>
        <v>High</v>
      </c>
    </row>
    <row r="98" spans="1:29">
      <c r="A98" t="s">
        <v>564</v>
      </c>
      <c r="B98" s="2">
        <v>46192</v>
      </c>
      <c r="C98" t="s">
        <v>287</v>
      </c>
      <c r="D98" t="s">
        <v>565</v>
      </c>
      <c r="E98" t="s">
        <v>566</v>
      </c>
      <c r="F98" t="s">
        <v>567</v>
      </c>
      <c r="G98" t="s">
        <v>34</v>
      </c>
      <c r="H98" t="s">
        <v>173</v>
      </c>
      <c r="I98" t="s">
        <v>98</v>
      </c>
      <c r="J98" t="s">
        <v>99</v>
      </c>
      <c r="K98" t="s">
        <v>194</v>
      </c>
      <c r="L98" t="s">
        <v>154</v>
      </c>
      <c r="M98" t="s">
        <v>90</v>
      </c>
      <c r="N98" t="s">
        <v>91</v>
      </c>
      <c r="O98" s="3">
        <v>395000</v>
      </c>
      <c r="P98" s="4">
        <v>55</v>
      </c>
      <c r="Q98" s="2">
        <v>46215</v>
      </c>
      <c r="R98" s="2">
        <v>46203</v>
      </c>
      <c r="S98" s="2">
        <v>46193</v>
      </c>
      <c r="T98" s="2"/>
      <c r="U98" t="str">
        <f t="shared" si="7"/>
        <v>No</v>
      </c>
      <c r="W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" t="str">
        <f t="shared" ca="1" si="8"/>
        <v>Due/Open</v>
      </c>
      <c r="Y98" t="str">
        <f t="shared" si="9"/>
        <v>Open</v>
      </c>
      <c r="Z98" t="str">
        <f t="shared" si="10"/>
        <v>Jun-2026</v>
      </c>
      <c r="AA98" t="str">
        <f t="shared" si="11"/>
        <v>Q2 2026</v>
      </c>
      <c r="AB98" s="4">
        <f t="shared" ca="1" si="12"/>
        <v>7</v>
      </c>
      <c r="AC98" t="str">
        <f t="shared" si="13"/>
        <v>High</v>
      </c>
    </row>
    <row r="99" spans="1:29">
      <c r="A99" t="s">
        <v>568</v>
      </c>
      <c r="B99" s="2">
        <v>45838</v>
      </c>
      <c r="C99" t="s">
        <v>308</v>
      </c>
      <c r="D99" t="s">
        <v>561</v>
      </c>
      <c r="E99" t="s">
        <v>569</v>
      </c>
      <c r="F99" t="s">
        <v>570</v>
      </c>
      <c r="G99" t="s">
        <v>34</v>
      </c>
      <c r="H99" t="s">
        <v>160</v>
      </c>
      <c r="I99" t="s">
        <v>98</v>
      </c>
      <c r="J99" t="s">
        <v>37</v>
      </c>
      <c r="K99" t="s">
        <v>100</v>
      </c>
      <c r="L99" t="s">
        <v>115</v>
      </c>
      <c r="M99" t="s">
        <v>166</v>
      </c>
      <c r="N99" t="s">
        <v>167</v>
      </c>
      <c r="O99" s="3">
        <v>95000</v>
      </c>
      <c r="P99" s="4">
        <v>70</v>
      </c>
      <c r="Q99" s="2">
        <v>45897</v>
      </c>
      <c r="R99" s="2">
        <v>46231</v>
      </c>
      <c r="S99" s="2">
        <v>45866</v>
      </c>
      <c r="T99" s="2"/>
      <c r="U99" t="str">
        <f t="shared" si="7"/>
        <v>No</v>
      </c>
      <c r="W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" t="str">
        <f t="shared" ca="1" si="8"/>
        <v>Due/Open</v>
      </c>
      <c r="Y99" t="str">
        <f t="shared" si="9"/>
        <v>Open</v>
      </c>
      <c r="Z99" t="str">
        <f t="shared" si="10"/>
        <v>Jun-2025</v>
      </c>
      <c r="AA99" t="str">
        <f t="shared" si="11"/>
        <v>Q2 2025</v>
      </c>
      <c r="AB99" s="4">
        <f t="shared" ca="1" si="12"/>
        <v>361</v>
      </c>
      <c r="AC99" t="str">
        <f t="shared" si="13"/>
        <v>Low</v>
      </c>
    </row>
    <row r="100" spans="1:29">
      <c r="A100" t="s">
        <v>571</v>
      </c>
      <c r="B100" s="2">
        <v>46094</v>
      </c>
      <c r="C100" t="s">
        <v>572</v>
      </c>
      <c r="D100" t="s">
        <v>573</v>
      </c>
      <c r="E100" t="s">
        <v>574</v>
      </c>
      <c r="F100" t="s">
        <v>575</v>
      </c>
      <c r="G100" t="s">
        <v>179</v>
      </c>
      <c r="H100" t="s">
        <v>296</v>
      </c>
      <c r="I100" t="s">
        <v>49</v>
      </c>
      <c r="J100" t="s">
        <v>131</v>
      </c>
      <c r="K100" t="s">
        <v>100</v>
      </c>
      <c r="L100" t="s">
        <v>107</v>
      </c>
      <c r="M100" t="s">
        <v>82</v>
      </c>
      <c r="N100" t="s">
        <v>83</v>
      </c>
      <c r="O100" s="3">
        <v>215000</v>
      </c>
      <c r="P100" s="4">
        <v>5</v>
      </c>
      <c r="Q100" s="2">
        <v>46139</v>
      </c>
      <c r="R100" s="2">
        <v>46216</v>
      </c>
      <c r="S100" s="2">
        <v>46101</v>
      </c>
      <c r="T100" s="2"/>
      <c r="U100" t="str">
        <f t="shared" si="7"/>
        <v>No</v>
      </c>
      <c r="W1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" t="str">
        <f t="shared" ca="1" si="8"/>
        <v>Due/Open</v>
      </c>
      <c r="Y100" t="str">
        <f t="shared" si="9"/>
        <v>Open</v>
      </c>
      <c r="Z100" t="str">
        <f t="shared" si="10"/>
        <v>Mar-2026</v>
      </c>
      <c r="AA100" t="str">
        <f t="shared" si="11"/>
        <v>Q1 2026</v>
      </c>
      <c r="AB100" s="4">
        <f t="shared" ca="1" si="12"/>
        <v>105</v>
      </c>
      <c r="AC100" t="str">
        <f t="shared" si="13"/>
        <v>Medium</v>
      </c>
    </row>
    <row r="101" spans="1:29">
      <c r="A101" t="s">
        <v>576</v>
      </c>
      <c r="B101" s="2">
        <v>46045</v>
      </c>
      <c r="C101" t="s">
        <v>577</v>
      </c>
      <c r="D101" t="s">
        <v>207</v>
      </c>
      <c r="E101" t="s">
        <v>578</v>
      </c>
      <c r="F101" t="s">
        <v>579</v>
      </c>
      <c r="G101" t="s">
        <v>79</v>
      </c>
      <c r="H101" t="s">
        <v>106</v>
      </c>
      <c r="I101" t="s">
        <v>98</v>
      </c>
      <c r="J101" t="s">
        <v>124</v>
      </c>
      <c r="K101" t="s">
        <v>38</v>
      </c>
      <c r="L101" t="s">
        <v>154</v>
      </c>
      <c r="M101" t="s">
        <v>53</v>
      </c>
      <c r="N101" t="s">
        <v>54</v>
      </c>
      <c r="O101" s="3">
        <v>120000</v>
      </c>
      <c r="P101" s="4">
        <v>35</v>
      </c>
      <c r="Q101" s="2">
        <v>46125</v>
      </c>
      <c r="R101" s="2">
        <v>46217</v>
      </c>
      <c r="S101" s="2">
        <v>46048</v>
      </c>
      <c r="T101" s="2"/>
      <c r="U101" t="str">
        <f t="shared" si="7"/>
        <v>No</v>
      </c>
      <c r="W1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" t="str">
        <f t="shared" ca="1" si="8"/>
        <v>Due/Open</v>
      </c>
      <c r="Y101" t="str">
        <f t="shared" si="9"/>
        <v>Open</v>
      </c>
      <c r="Z101" t="str">
        <f t="shared" si="10"/>
        <v>Jan-2026</v>
      </c>
      <c r="AA101" t="str">
        <f t="shared" si="11"/>
        <v>Q1 2026</v>
      </c>
      <c r="AB101" s="4">
        <f t="shared" ca="1" si="12"/>
        <v>154</v>
      </c>
      <c r="AC101" t="str">
        <f t="shared" si="13"/>
        <v>Medium</v>
      </c>
    </row>
    <row r="102" spans="1:29">
      <c r="A102" t="s">
        <v>580</v>
      </c>
      <c r="B102" s="2">
        <v>45887</v>
      </c>
      <c r="C102" t="s">
        <v>499</v>
      </c>
      <c r="D102" t="s">
        <v>581</v>
      </c>
      <c r="E102" t="s">
        <v>582</v>
      </c>
      <c r="F102" t="s">
        <v>583</v>
      </c>
      <c r="G102" t="s">
        <v>47</v>
      </c>
      <c r="H102" t="s">
        <v>89</v>
      </c>
      <c r="I102" t="s">
        <v>49</v>
      </c>
      <c r="J102" t="s">
        <v>37</v>
      </c>
      <c r="K102" t="s">
        <v>71</v>
      </c>
      <c r="L102" t="s">
        <v>154</v>
      </c>
      <c r="M102" t="s">
        <v>166</v>
      </c>
      <c r="N102" t="s">
        <v>167</v>
      </c>
      <c r="O102" s="3">
        <v>120000</v>
      </c>
      <c r="P102" s="4">
        <v>60</v>
      </c>
      <c r="Q102" s="2">
        <v>45979</v>
      </c>
      <c r="R102" s="2">
        <v>46194</v>
      </c>
      <c r="S102" s="2">
        <v>45891</v>
      </c>
      <c r="T102" s="2"/>
      <c r="U102" t="str">
        <f t="shared" si="7"/>
        <v>No</v>
      </c>
      <c r="W1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" t="str">
        <f t="shared" ca="1" si="8"/>
        <v>Overdue</v>
      </c>
      <c r="Y102" t="str">
        <f t="shared" si="9"/>
        <v>Open</v>
      </c>
      <c r="Z102" t="str">
        <f t="shared" si="10"/>
        <v>Aug-2025</v>
      </c>
      <c r="AA102" t="str">
        <f t="shared" si="11"/>
        <v>Q3 2025</v>
      </c>
      <c r="AB102" s="4">
        <f t="shared" ca="1" si="12"/>
        <v>312</v>
      </c>
      <c r="AC102" t="str">
        <f t="shared" si="13"/>
        <v>Medium</v>
      </c>
    </row>
    <row r="103" spans="1:29">
      <c r="A103" t="s">
        <v>584</v>
      </c>
      <c r="B103" s="2">
        <v>45964</v>
      </c>
      <c r="C103" t="s">
        <v>585</v>
      </c>
      <c r="D103" t="s">
        <v>586</v>
      </c>
      <c r="E103" t="s">
        <v>587</v>
      </c>
      <c r="F103" t="s">
        <v>588</v>
      </c>
      <c r="G103" t="s">
        <v>179</v>
      </c>
      <c r="H103" t="s">
        <v>180</v>
      </c>
      <c r="I103" t="s">
        <v>141</v>
      </c>
      <c r="J103" t="s">
        <v>50</v>
      </c>
      <c r="K103" t="s">
        <v>100</v>
      </c>
      <c r="L103" t="s">
        <v>142</v>
      </c>
      <c r="M103" t="s">
        <v>82</v>
      </c>
      <c r="N103" t="s">
        <v>83</v>
      </c>
      <c r="O103" s="3">
        <v>380000</v>
      </c>
      <c r="P103" s="4">
        <v>5</v>
      </c>
      <c r="Q103" s="2">
        <v>45989</v>
      </c>
      <c r="R103" s="2">
        <v>46200</v>
      </c>
      <c r="S103" s="2">
        <v>45965</v>
      </c>
      <c r="T103" s="2"/>
      <c r="U103" t="str">
        <f t="shared" si="7"/>
        <v>No</v>
      </c>
      <c r="W1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" t="str">
        <f t="shared" ca="1" si="8"/>
        <v>Due/Open</v>
      </c>
      <c r="Y103" t="str">
        <f t="shared" si="9"/>
        <v>Open</v>
      </c>
      <c r="Z103" t="str">
        <f t="shared" si="10"/>
        <v>Nov-2025</v>
      </c>
      <c r="AA103" t="str">
        <f t="shared" si="11"/>
        <v>Q4 2025</v>
      </c>
      <c r="AB103" s="4">
        <f t="shared" ca="1" si="12"/>
        <v>235</v>
      </c>
      <c r="AC103" t="str">
        <f t="shared" si="13"/>
        <v>High</v>
      </c>
    </row>
    <row r="104" spans="1:29">
      <c r="A104" t="s">
        <v>589</v>
      </c>
      <c r="B104" s="2">
        <v>45954</v>
      </c>
      <c r="C104" t="s">
        <v>321</v>
      </c>
      <c r="D104" t="s">
        <v>590</v>
      </c>
      <c r="E104" t="s">
        <v>591</v>
      </c>
      <c r="F104" t="s">
        <v>592</v>
      </c>
      <c r="G104" t="s">
        <v>47</v>
      </c>
      <c r="H104" t="s">
        <v>418</v>
      </c>
      <c r="I104" t="s">
        <v>61</v>
      </c>
      <c r="J104" t="s">
        <v>99</v>
      </c>
      <c r="K104" t="s">
        <v>38</v>
      </c>
      <c r="L104" t="s">
        <v>72</v>
      </c>
      <c r="M104" t="s">
        <v>82</v>
      </c>
      <c r="N104" t="s">
        <v>83</v>
      </c>
      <c r="O104" s="3">
        <v>615000</v>
      </c>
      <c r="P104" s="4">
        <v>10</v>
      </c>
      <c r="Q104" s="2">
        <v>46034</v>
      </c>
      <c r="R104" s="2">
        <v>46158</v>
      </c>
      <c r="S104" s="2">
        <v>45973</v>
      </c>
      <c r="T104" s="2"/>
      <c r="U104" t="str">
        <f t="shared" si="7"/>
        <v>No</v>
      </c>
      <c r="W1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" t="str">
        <f t="shared" ca="1" si="8"/>
        <v>Overdue</v>
      </c>
      <c r="Y104" t="str">
        <f t="shared" si="9"/>
        <v>Open</v>
      </c>
      <c r="Z104" t="str">
        <f t="shared" si="10"/>
        <v>Oct-2025</v>
      </c>
      <c r="AA104" t="str">
        <f t="shared" si="11"/>
        <v>Q4 2025</v>
      </c>
      <c r="AB104" s="4">
        <f t="shared" ca="1" si="12"/>
        <v>245</v>
      </c>
      <c r="AC104" t="str">
        <f t="shared" si="13"/>
        <v>High</v>
      </c>
    </row>
    <row r="105" spans="1:29">
      <c r="A105" t="s">
        <v>593</v>
      </c>
      <c r="B105" s="2">
        <v>46150</v>
      </c>
      <c r="C105" t="s">
        <v>594</v>
      </c>
      <c r="D105" t="s">
        <v>490</v>
      </c>
      <c r="E105" t="s">
        <v>595</v>
      </c>
      <c r="F105" t="s">
        <v>596</v>
      </c>
      <c r="G105" t="s">
        <v>179</v>
      </c>
      <c r="H105" t="s">
        <v>487</v>
      </c>
      <c r="I105" t="s">
        <v>187</v>
      </c>
      <c r="J105" t="s">
        <v>50</v>
      </c>
      <c r="K105" t="s">
        <v>114</v>
      </c>
      <c r="L105" t="s">
        <v>72</v>
      </c>
      <c r="M105" t="s">
        <v>133</v>
      </c>
      <c r="N105" t="s">
        <v>134</v>
      </c>
      <c r="O105" s="3">
        <v>125000</v>
      </c>
      <c r="P105" s="4">
        <v>0</v>
      </c>
      <c r="Q105" s="2">
        <v>46184</v>
      </c>
      <c r="R105" s="2"/>
      <c r="S105" s="2">
        <v>46162</v>
      </c>
      <c r="T105" s="2">
        <v>46184</v>
      </c>
      <c r="U105" t="str">
        <f t="shared" si="7"/>
        <v>No</v>
      </c>
      <c r="V105" t="s">
        <v>276</v>
      </c>
      <c r="W10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34</v>
      </c>
      <c r="X105" t="str">
        <f t="shared" ca="1" si="8"/>
        <v>Closed</v>
      </c>
      <c r="Y105" t="str">
        <f t="shared" si="9"/>
        <v>Closed</v>
      </c>
      <c r="Z105" t="str">
        <f t="shared" si="10"/>
        <v>May-2026</v>
      </c>
      <c r="AA105" t="str">
        <f t="shared" si="11"/>
        <v>Q2 2026</v>
      </c>
      <c r="AB105" s="4">
        <f t="shared" ca="1" si="12"/>
        <v>49</v>
      </c>
      <c r="AC105" t="str">
        <f t="shared" si="13"/>
        <v>Medium</v>
      </c>
    </row>
    <row r="106" spans="1:29">
      <c r="A106" t="s">
        <v>597</v>
      </c>
      <c r="B106" s="2">
        <v>45705</v>
      </c>
      <c r="C106" t="s">
        <v>598</v>
      </c>
      <c r="D106" t="s">
        <v>94</v>
      </c>
      <c r="E106" t="s">
        <v>599</v>
      </c>
      <c r="F106" t="s">
        <v>600</v>
      </c>
      <c r="G106" t="s">
        <v>69</v>
      </c>
      <c r="H106" t="s">
        <v>312</v>
      </c>
      <c r="I106" t="s">
        <v>36</v>
      </c>
      <c r="J106" t="s">
        <v>131</v>
      </c>
      <c r="K106" t="s">
        <v>100</v>
      </c>
      <c r="L106" t="s">
        <v>239</v>
      </c>
      <c r="M106" t="s">
        <v>133</v>
      </c>
      <c r="N106" t="s">
        <v>134</v>
      </c>
      <c r="O106" s="3">
        <v>270000</v>
      </c>
      <c r="P106" s="4">
        <v>0</v>
      </c>
      <c r="Q106" s="2">
        <v>45766</v>
      </c>
      <c r="R106" s="2"/>
      <c r="S106" s="2">
        <v>45730</v>
      </c>
      <c r="T106" s="2">
        <v>45766</v>
      </c>
      <c r="U106" t="str">
        <f t="shared" si="7"/>
        <v>No</v>
      </c>
      <c r="V106" t="s">
        <v>135</v>
      </c>
      <c r="W10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106" t="str">
        <f t="shared" ca="1" si="8"/>
        <v>Closed</v>
      </c>
      <c r="Y106" t="str">
        <f t="shared" si="9"/>
        <v>Closed</v>
      </c>
      <c r="Z106" t="str">
        <f t="shared" si="10"/>
        <v>Feb-2025</v>
      </c>
      <c r="AA106" t="str">
        <f t="shared" si="11"/>
        <v>Q1 2025</v>
      </c>
      <c r="AB106" s="4">
        <f t="shared" ca="1" si="12"/>
        <v>494</v>
      </c>
      <c r="AC106" t="str">
        <f t="shared" si="13"/>
        <v>Medium</v>
      </c>
    </row>
    <row r="107" spans="1:29">
      <c r="A107" t="s">
        <v>601</v>
      </c>
      <c r="B107" s="2">
        <v>45982</v>
      </c>
      <c r="C107" t="s">
        <v>602</v>
      </c>
      <c r="D107" t="s">
        <v>526</v>
      </c>
      <c r="E107" t="s">
        <v>603</v>
      </c>
      <c r="F107" t="s">
        <v>604</v>
      </c>
      <c r="G107" t="s">
        <v>47</v>
      </c>
      <c r="H107" t="s">
        <v>122</v>
      </c>
      <c r="I107" t="s">
        <v>141</v>
      </c>
      <c r="J107" t="s">
        <v>131</v>
      </c>
      <c r="K107" t="s">
        <v>100</v>
      </c>
      <c r="L107" t="s">
        <v>132</v>
      </c>
      <c r="M107" t="s">
        <v>73</v>
      </c>
      <c r="N107" t="s">
        <v>73</v>
      </c>
      <c r="O107" s="3">
        <v>270000</v>
      </c>
      <c r="P107" s="4">
        <v>80</v>
      </c>
      <c r="Q107" s="2">
        <v>46015</v>
      </c>
      <c r="R107" s="2">
        <v>46200</v>
      </c>
      <c r="S107" s="2">
        <v>46009</v>
      </c>
      <c r="T107" s="2"/>
      <c r="U107" t="str">
        <f t="shared" si="7"/>
        <v>No</v>
      </c>
      <c r="W1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" t="str">
        <f t="shared" ca="1" si="8"/>
        <v>Due/Open</v>
      </c>
      <c r="Y107" t="str">
        <f t="shared" si="9"/>
        <v>Open</v>
      </c>
      <c r="Z107" t="str">
        <f t="shared" si="10"/>
        <v>Nov-2025</v>
      </c>
      <c r="AA107" t="str">
        <f t="shared" si="11"/>
        <v>Q4 2025</v>
      </c>
      <c r="AB107" s="4">
        <f t="shared" ca="1" si="12"/>
        <v>217</v>
      </c>
      <c r="AC107" t="str">
        <f t="shared" si="13"/>
        <v>Medium</v>
      </c>
    </row>
    <row r="108" spans="1:29">
      <c r="A108" t="s">
        <v>605</v>
      </c>
      <c r="B108" s="2">
        <v>46056</v>
      </c>
      <c r="C108" t="s">
        <v>606</v>
      </c>
      <c r="D108" t="s">
        <v>138</v>
      </c>
      <c r="E108" t="s">
        <v>607</v>
      </c>
      <c r="F108" t="s">
        <v>608</v>
      </c>
      <c r="G108" t="s">
        <v>79</v>
      </c>
      <c r="H108" t="s">
        <v>80</v>
      </c>
      <c r="I108" t="s">
        <v>36</v>
      </c>
      <c r="J108" t="s">
        <v>37</v>
      </c>
      <c r="K108" t="s">
        <v>71</v>
      </c>
      <c r="L108" t="s">
        <v>39</v>
      </c>
      <c r="M108" t="s">
        <v>90</v>
      </c>
      <c r="N108" t="s">
        <v>91</v>
      </c>
      <c r="O108" s="3">
        <v>35000</v>
      </c>
      <c r="P108" s="4">
        <v>40</v>
      </c>
      <c r="Q108" s="2">
        <v>46147</v>
      </c>
      <c r="R108" s="2">
        <v>46155</v>
      </c>
      <c r="S108" s="2">
        <v>46062</v>
      </c>
      <c r="T108" s="2"/>
      <c r="U108" t="str">
        <f t="shared" si="7"/>
        <v>No</v>
      </c>
      <c r="W1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" t="str">
        <f t="shared" ca="1" si="8"/>
        <v>Overdue</v>
      </c>
      <c r="Y108" t="str">
        <f t="shared" si="9"/>
        <v>Open</v>
      </c>
      <c r="Z108" t="str">
        <f t="shared" si="10"/>
        <v>Feb-2026</v>
      </c>
      <c r="AA108" t="str">
        <f t="shared" si="11"/>
        <v>Q1 2026</v>
      </c>
      <c r="AB108" s="4">
        <f t="shared" ca="1" si="12"/>
        <v>143</v>
      </c>
      <c r="AC108" t="str">
        <f t="shared" si="13"/>
        <v>Low</v>
      </c>
    </row>
    <row r="109" spans="1:29">
      <c r="A109" t="s">
        <v>609</v>
      </c>
      <c r="B109" s="2">
        <v>46117</v>
      </c>
      <c r="C109" t="s">
        <v>610</v>
      </c>
      <c r="D109" t="s">
        <v>197</v>
      </c>
      <c r="E109" t="s">
        <v>611</v>
      </c>
      <c r="F109" t="s">
        <v>612</v>
      </c>
      <c r="G109" t="s">
        <v>179</v>
      </c>
      <c r="H109" t="s">
        <v>186</v>
      </c>
      <c r="I109" t="s">
        <v>141</v>
      </c>
      <c r="J109" t="s">
        <v>124</v>
      </c>
      <c r="K109" t="s">
        <v>38</v>
      </c>
      <c r="L109" t="s">
        <v>52</v>
      </c>
      <c r="M109" t="s">
        <v>210</v>
      </c>
      <c r="N109" t="s">
        <v>134</v>
      </c>
      <c r="O109" s="3">
        <v>310000</v>
      </c>
      <c r="P109" s="4">
        <v>0</v>
      </c>
      <c r="Q109" s="2">
        <v>46183</v>
      </c>
      <c r="R109" s="2"/>
      <c r="S109" s="2">
        <v>46147</v>
      </c>
      <c r="T109" s="2">
        <v>46183</v>
      </c>
      <c r="U109" t="str">
        <f t="shared" si="7"/>
        <v>No</v>
      </c>
      <c r="V109" t="s">
        <v>135</v>
      </c>
      <c r="W10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09" t="str">
        <f t="shared" ca="1" si="8"/>
        <v>Closed</v>
      </c>
      <c r="Y109" t="str">
        <f t="shared" si="9"/>
        <v>Closed</v>
      </c>
      <c r="Z109" t="str">
        <f t="shared" si="10"/>
        <v>Apr-2026</v>
      </c>
      <c r="AA109" t="str">
        <f t="shared" si="11"/>
        <v>Q2 2026</v>
      </c>
      <c r="AB109" s="4">
        <f t="shared" ca="1" si="12"/>
        <v>82</v>
      </c>
      <c r="AC109" t="str">
        <f t="shared" si="13"/>
        <v>High</v>
      </c>
    </row>
    <row r="110" spans="1:29">
      <c r="A110" t="s">
        <v>613</v>
      </c>
      <c r="B110" s="2">
        <v>45930</v>
      </c>
      <c r="C110" t="s">
        <v>614</v>
      </c>
      <c r="D110" t="s">
        <v>231</v>
      </c>
      <c r="E110" t="s">
        <v>615</v>
      </c>
      <c r="F110" t="s">
        <v>616</v>
      </c>
      <c r="G110" t="s">
        <v>69</v>
      </c>
      <c r="H110" t="s">
        <v>270</v>
      </c>
      <c r="I110" t="s">
        <v>36</v>
      </c>
      <c r="J110" t="s">
        <v>37</v>
      </c>
      <c r="K110" t="s">
        <v>100</v>
      </c>
      <c r="L110" t="s">
        <v>39</v>
      </c>
      <c r="M110" t="s">
        <v>166</v>
      </c>
      <c r="N110" t="s">
        <v>167</v>
      </c>
      <c r="O110" s="3">
        <v>50000</v>
      </c>
      <c r="P110" s="4">
        <v>70</v>
      </c>
      <c r="Q110" s="2">
        <v>45988</v>
      </c>
      <c r="R110" s="2">
        <v>46160</v>
      </c>
      <c r="S110" s="2">
        <v>45934</v>
      </c>
      <c r="T110" s="2"/>
      <c r="U110" t="str">
        <f t="shared" si="7"/>
        <v>No</v>
      </c>
      <c r="W1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" t="str">
        <f t="shared" ca="1" si="8"/>
        <v>Overdue</v>
      </c>
      <c r="Y110" t="str">
        <f t="shared" si="9"/>
        <v>Open</v>
      </c>
      <c r="Z110" t="str">
        <f t="shared" si="10"/>
        <v>Sep-2025</v>
      </c>
      <c r="AA110" t="str">
        <f t="shared" si="11"/>
        <v>Q3 2025</v>
      </c>
      <c r="AB110" s="4">
        <f t="shared" ca="1" si="12"/>
        <v>269</v>
      </c>
      <c r="AC110" t="str">
        <f t="shared" si="13"/>
        <v>Low</v>
      </c>
    </row>
    <row r="111" spans="1:29">
      <c r="A111" t="s">
        <v>617</v>
      </c>
      <c r="B111" s="2">
        <v>45672</v>
      </c>
      <c r="C111" t="s">
        <v>618</v>
      </c>
      <c r="D111" t="s">
        <v>357</v>
      </c>
      <c r="E111" t="s">
        <v>619</v>
      </c>
      <c r="F111" t="s">
        <v>620</v>
      </c>
      <c r="G111" t="s">
        <v>79</v>
      </c>
      <c r="H111" t="s">
        <v>106</v>
      </c>
      <c r="I111" t="s">
        <v>36</v>
      </c>
      <c r="J111" t="s">
        <v>99</v>
      </c>
      <c r="K111" t="s">
        <v>38</v>
      </c>
      <c r="L111" t="s">
        <v>239</v>
      </c>
      <c r="M111" t="s">
        <v>82</v>
      </c>
      <c r="N111" t="s">
        <v>83</v>
      </c>
      <c r="O111" s="3">
        <v>205000</v>
      </c>
      <c r="P111" s="4">
        <v>5</v>
      </c>
      <c r="Q111" s="2">
        <v>45715</v>
      </c>
      <c r="R111" s="2">
        <v>46162</v>
      </c>
      <c r="S111" s="2">
        <v>45702</v>
      </c>
      <c r="T111" s="2"/>
      <c r="U111" t="str">
        <f t="shared" si="7"/>
        <v>No</v>
      </c>
      <c r="W1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" t="str">
        <f t="shared" ca="1" si="8"/>
        <v>Overdue</v>
      </c>
      <c r="Y111" t="str">
        <f t="shared" si="9"/>
        <v>Open</v>
      </c>
      <c r="Z111" t="str">
        <f t="shared" si="10"/>
        <v>Jan-2025</v>
      </c>
      <c r="AA111" t="str">
        <f t="shared" si="11"/>
        <v>Q1 2025</v>
      </c>
      <c r="AB111" s="4">
        <f t="shared" ca="1" si="12"/>
        <v>527</v>
      </c>
      <c r="AC111" t="str">
        <f t="shared" si="13"/>
        <v>Medium</v>
      </c>
    </row>
    <row r="112" spans="1:29">
      <c r="A112" t="s">
        <v>621</v>
      </c>
      <c r="B112" s="2">
        <v>45986</v>
      </c>
      <c r="C112" t="s">
        <v>622</v>
      </c>
      <c r="D112" t="s">
        <v>252</v>
      </c>
      <c r="E112" t="s">
        <v>623</v>
      </c>
      <c r="F112" t="s">
        <v>624</v>
      </c>
      <c r="G112" t="s">
        <v>34</v>
      </c>
      <c r="H112" t="s">
        <v>35</v>
      </c>
      <c r="I112" t="s">
        <v>36</v>
      </c>
      <c r="J112" t="s">
        <v>131</v>
      </c>
      <c r="K112" t="s">
        <v>38</v>
      </c>
      <c r="L112" t="s">
        <v>39</v>
      </c>
      <c r="M112" t="s">
        <v>116</v>
      </c>
      <c r="N112" t="s">
        <v>54</v>
      </c>
      <c r="O112" s="3">
        <v>250000</v>
      </c>
      <c r="P112" s="4">
        <v>20</v>
      </c>
      <c r="Q112" s="2">
        <v>46044</v>
      </c>
      <c r="R112" s="2">
        <v>46209</v>
      </c>
      <c r="S112" s="2">
        <v>46013</v>
      </c>
      <c r="T112" s="2"/>
      <c r="U112" t="str">
        <f t="shared" si="7"/>
        <v>No</v>
      </c>
      <c r="W1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" t="str">
        <f t="shared" ca="1" si="8"/>
        <v>Due/Open</v>
      </c>
      <c r="Y112" t="str">
        <f t="shared" si="9"/>
        <v>Open</v>
      </c>
      <c r="Z112" t="str">
        <f t="shared" si="10"/>
        <v>Nov-2025</v>
      </c>
      <c r="AA112" t="str">
        <f t="shared" si="11"/>
        <v>Q4 2025</v>
      </c>
      <c r="AB112" s="4">
        <f t="shared" ca="1" si="12"/>
        <v>213</v>
      </c>
      <c r="AC112" t="str">
        <f t="shared" si="13"/>
        <v>Medium</v>
      </c>
    </row>
    <row r="113" spans="1:29">
      <c r="A113" t="s">
        <v>625</v>
      </c>
      <c r="B113" s="2">
        <v>46060</v>
      </c>
      <c r="C113" t="s">
        <v>626</v>
      </c>
      <c r="D113" t="s">
        <v>627</v>
      </c>
      <c r="E113" t="s">
        <v>628</v>
      </c>
      <c r="F113" t="s">
        <v>629</v>
      </c>
      <c r="G113" t="s">
        <v>69</v>
      </c>
      <c r="H113" t="s">
        <v>285</v>
      </c>
      <c r="I113" t="s">
        <v>148</v>
      </c>
      <c r="J113" t="s">
        <v>124</v>
      </c>
      <c r="K113" t="s">
        <v>114</v>
      </c>
      <c r="L113" t="s">
        <v>107</v>
      </c>
      <c r="M113" t="s">
        <v>133</v>
      </c>
      <c r="N113" t="s">
        <v>134</v>
      </c>
      <c r="O113" s="3">
        <v>240000</v>
      </c>
      <c r="P113" s="4">
        <v>0</v>
      </c>
      <c r="Q113" s="2">
        <v>46085</v>
      </c>
      <c r="R113" s="2"/>
      <c r="S113" s="2">
        <v>46066</v>
      </c>
      <c r="T113" s="2">
        <v>46085</v>
      </c>
      <c r="U113" t="str">
        <f t="shared" si="7"/>
        <v>No</v>
      </c>
      <c r="V113" t="s">
        <v>452</v>
      </c>
      <c r="W11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113" t="str">
        <f t="shared" ca="1" si="8"/>
        <v>Closed</v>
      </c>
      <c r="Y113" t="str">
        <f t="shared" si="9"/>
        <v>Closed</v>
      </c>
      <c r="Z113" t="str">
        <f t="shared" si="10"/>
        <v>Feb-2026</v>
      </c>
      <c r="AA113" t="str">
        <f t="shared" si="11"/>
        <v>Q1 2026</v>
      </c>
      <c r="AB113" s="4">
        <f t="shared" ca="1" si="12"/>
        <v>139</v>
      </c>
      <c r="AC113" t="str">
        <f t="shared" si="13"/>
        <v>Medium</v>
      </c>
    </row>
    <row r="114" spans="1:29">
      <c r="A114" t="s">
        <v>630</v>
      </c>
      <c r="B114" s="2">
        <v>45794</v>
      </c>
      <c r="C114" t="s">
        <v>631</v>
      </c>
      <c r="D114" t="s">
        <v>288</v>
      </c>
      <c r="E114" t="s">
        <v>632</v>
      </c>
      <c r="F114" t="s">
        <v>633</v>
      </c>
      <c r="G114" t="s">
        <v>179</v>
      </c>
      <c r="H114" t="s">
        <v>436</v>
      </c>
      <c r="I114" t="s">
        <v>36</v>
      </c>
      <c r="J114" t="s">
        <v>37</v>
      </c>
      <c r="K114" t="s">
        <v>114</v>
      </c>
      <c r="L114" t="s">
        <v>81</v>
      </c>
      <c r="M114" t="s">
        <v>53</v>
      </c>
      <c r="N114" t="s">
        <v>54</v>
      </c>
      <c r="O114" s="3">
        <v>115000</v>
      </c>
      <c r="P114" s="4">
        <v>35</v>
      </c>
      <c r="Q114" s="2">
        <v>45868</v>
      </c>
      <c r="R114" s="2">
        <v>46239</v>
      </c>
      <c r="S114" s="2">
        <v>45799</v>
      </c>
      <c r="T114" s="2"/>
      <c r="U114" t="str">
        <f t="shared" si="7"/>
        <v>No</v>
      </c>
      <c r="W1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" t="str">
        <f t="shared" ca="1" si="8"/>
        <v>Due/Open</v>
      </c>
      <c r="Y114" t="str">
        <f t="shared" si="9"/>
        <v>Open</v>
      </c>
      <c r="Z114" t="str">
        <f t="shared" si="10"/>
        <v>May-2025</v>
      </c>
      <c r="AA114" t="str">
        <f t="shared" si="11"/>
        <v>Q2 2025</v>
      </c>
      <c r="AB114" s="4">
        <f t="shared" ca="1" si="12"/>
        <v>405</v>
      </c>
      <c r="AC114" t="str">
        <f t="shared" si="13"/>
        <v>Low</v>
      </c>
    </row>
    <row r="115" spans="1:29">
      <c r="A115" t="s">
        <v>634</v>
      </c>
      <c r="B115" s="2">
        <v>45899</v>
      </c>
      <c r="C115" t="s">
        <v>635</v>
      </c>
      <c r="D115" t="s">
        <v>636</v>
      </c>
      <c r="E115" t="s">
        <v>637</v>
      </c>
      <c r="F115" t="s">
        <v>638</v>
      </c>
      <c r="G115" t="s">
        <v>34</v>
      </c>
      <c r="H115" t="s">
        <v>446</v>
      </c>
      <c r="I115" t="s">
        <v>98</v>
      </c>
      <c r="J115" t="s">
        <v>62</v>
      </c>
      <c r="K115" t="s">
        <v>38</v>
      </c>
      <c r="L115" t="s">
        <v>132</v>
      </c>
      <c r="M115" t="s">
        <v>116</v>
      </c>
      <c r="N115" t="s">
        <v>54</v>
      </c>
      <c r="O115" s="3">
        <v>415000</v>
      </c>
      <c r="P115" s="4">
        <v>20</v>
      </c>
      <c r="Q115" s="2">
        <v>45920</v>
      </c>
      <c r="R115" s="2">
        <v>46159</v>
      </c>
      <c r="S115" s="2">
        <v>45921</v>
      </c>
      <c r="T115" s="2"/>
      <c r="U115" t="str">
        <f t="shared" si="7"/>
        <v>No</v>
      </c>
      <c r="W1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" t="str">
        <f t="shared" ca="1" si="8"/>
        <v>Overdue</v>
      </c>
      <c r="Y115" t="str">
        <f t="shared" si="9"/>
        <v>Open</v>
      </c>
      <c r="Z115" t="str">
        <f t="shared" si="10"/>
        <v>Aug-2025</v>
      </c>
      <c r="AA115" t="str">
        <f t="shared" si="11"/>
        <v>Q3 2025</v>
      </c>
      <c r="AB115" s="4">
        <f t="shared" ca="1" si="12"/>
        <v>300</v>
      </c>
      <c r="AC115" t="str">
        <f t="shared" si="13"/>
        <v>High</v>
      </c>
    </row>
    <row r="116" spans="1:29">
      <c r="A116" t="s">
        <v>639</v>
      </c>
      <c r="B116" s="2">
        <v>45982</v>
      </c>
      <c r="C116" t="s">
        <v>109</v>
      </c>
      <c r="D116" t="s">
        <v>640</v>
      </c>
      <c r="E116" t="s">
        <v>641</v>
      </c>
      <c r="F116" t="s">
        <v>642</v>
      </c>
      <c r="G116" t="s">
        <v>179</v>
      </c>
      <c r="H116" t="s">
        <v>180</v>
      </c>
      <c r="I116" t="s">
        <v>98</v>
      </c>
      <c r="J116" t="s">
        <v>131</v>
      </c>
      <c r="K116" t="s">
        <v>51</v>
      </c>
      <c r="L116" t="s">
        <v>142</v>
      </c>
      <c r="M116" t="s">
        <v>133</v>
      </c>
      <c r="N116" t="s">
        <v>134</v>
      </c>
      <c r="O116" s="3">
        <v>230000</v>
      </c>
      <c r="P116" s="4">
        <v>0</v>
      </c>
      <c r="Q116" s="2">
        <v>46022</v>
      </c>
      <c r="R116" s="2"/>
      <c r="S116" s="2">
        <v>46005</v>
      </c>
      <c r="T116" s="2">
        <v>46022</v>
      </c>
      <c r="U116" t="str">
        <f t="shared" si="7"/>
        <v>No</v>
      </c>
      <c r="V116" t="s">
        <v>211</v>
      </c>
      <c r="W11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116" t="str">
        <f t="shared" ca="1" si="8"/>
        <v>Closed</v>
      </c>
      <c r="Y116" t="str">
        <f t="shared" si="9"/>
        <v>Closed</v>
      </c>
      <c r="Z116" t="str">
        <f t="shared" si="10"/>
        <v>Nov-2025</v>
      </c>
      <c r="AA116" t="str">
        <f t="shared" si="11"/>
        <v>Q4 2025</v>
      </c>
      <c r="AB116" s="4">
        <f t="shared" ca="1" si="12"/>
        <v>217</v>
      </c>
      <c r="AC116" t="str">
        <f t="shared" si="13"/>
        <v>Medium</v>
      </c>
    </row>
    <row r="117" spans="1:29">
      <c r="A117" t="s">
        <v>643</v>
      </c>
      <c r="B117" s="2">
        <v>45810</v>
      </c>
      <c r="C117" t="s">
        <v>644</v>
      </c>
      <c r="D117" t="s">
        <v>645</v>
      </c>
      <c r="E117" t="s">
        <v>646</v>
      </c>
      <c r="F117" t="s">
        <v>647</v>
      </c>
      <c r="G117" t="s">
        <v>34</v>
      </c>
      <c r="H117" t="s">
        <v>238</v>
      </c>
      <c r="I117" t="s">
        <v>49</v>
      </c>
      <c r="J117" t="s">
        <v>131</v>
      </c>
      <c r="K117" t="s">
        <v>194</v>
      </c>
      <c r="L117" t="s">
        <v>81</v>
      </c>
      <c r="M117" t="s">
        <v>90</v>
      </c>
      <c r="N117" t="s">
        <v>91</v>
      </c>
      <c r="O117" s="3">
        <v>170000</v>
      </c>
      <c r="P117" s="4">
        <v>40</v>
      </c>
      <c r="Q117" s="2">
        <v>45896</v>
      </c>
      <c r="R117" s="2">
        <v>46157</v>
      </c>
      <c r="S117" s="2">
        <v>45815</v>
      </c>
      <c r="T117" s="2"/>
      <c r="U117" t="str">
        <f t="shared" si="7"/>
        <v>No</v>
      </c>
      <c r="W1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" t="str">
        <f t="shared" ca="1" si="8"/>
        <v>Overdue</v>
      </c>
      <c r="Y117" t="str">
        <f t="shared" si="9"/>
        <v>Open</v>
      </c>
      <c r="Z117" t="str">
        <f t="shared" si="10"/>
        <v>Jun-2025</v>
      </c>
      <c r="AA117" t="str">
        <f t="shared" si="11"/>
        <v>Q2 2025</v>
      </c>
      <c r="AB117" s="4">
        <f t="shared" ca="1" si="12"/>
        <v>389</v>
      </c>
      <c r="AC117" t="str">
        <f t="shared" si="13"/>
        <v>Medium</v>
      </c>
    </row>
    <row r="118" spans="1:29">
      <c r="A118" t="s">
        <v>648</v>
      </c>
      <c r="B118" s="2">
        <v>46079</v>
      </c>
      <c r="C118" t="s">
        <v>649</v>
      </c>
      <c r="D118" t="s">
        <v>273</v>
      </c>
      <c r="E118" t="s">
        <v>650</v>
      </c>
      <c r="F118" t="s">
        <v>651</v>
      </c>
      <c r="G118" t="s">
        <v>34</v>
      </c>
      <c r="H118" t="s">
        <v>173</v>
      </c>
      <c r="I118" t="s">
        <v>141</v>
      </c>
      <c r="J118" t="s">
        <v>124</v>
      </c>
      <c r="K118" t="s">
        <v>194</v>
      </c>
      <c r="L118" t="s">
        <v>39</v>
      </c>
      <c r="M118" t="s">
        <v>116</v>
      </c>
      <c r="N118" t="s">
        <v>54</v>
      </c>
      <c r="O118" s="3">
        <v>100000</v>
      </c>
      <c r="P118" s="4">
        <v>15</v>
      </c>
      <c r="Q118" s="2">
        <v>46113</v>
      </c>
      <c r="R118" s="2">
        <v>46229</v>
      </c>
      <c r="S118" s="2">
        <v>46081</v>
      </c>
      <c r="T118" s="2"/>
      <c r="U118" t="str">
        <f t="shared" si="7"/>
        <v>No</v>
      </c>
      <c r="W1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" t="str">
        <f t="shared" ca="1" si="8"/>
        <v>Due/Open</v>
      </c>
      <c r="Y118" t="str">
        <f t="shared" si="9"/>
        <v>Open</v>
      </c>
      <c r="Z118" t="str">
        <f t="shared" si="10"/>
        <v>Feb-2026</v>
      </c>
      <c r="AA118" t="str">
        <f t="shared" si="11"/>
        <v>Q1 2026</v>
      </c>
      <c r="AB118" s="4">
        <f t="shared" ca="1" si="12"/>
        <v>120</v>
      </c>
      <c r="AC118" t="str">
        <f t="shared" si="13"/>
        <v>Low</v>
      </c>
    </row>
    <row r="119" spans="1:29">
      <c r="A119" t="s">
        <v>652</v>
      </c>
      <c r="B119" s="2">
        <v>45891</v>
      </c>
      <c r="C119" t="s">
        <v>622</v>
      </c>
      <c r="D119" t="s">
        <v>384</v>
      </c>
      <c r="E119" t="s">
        <v>653</v>
      </c>
      <c r="F119" t="s">
        <v>654</v>
      </c>
      <c r="G119" t="s">
        <v>69</v>
      </c>
      <c r="H119" t="s">
        <v>270</v>
      </c>
      <c r="I119" t="s">
        <v>141</v>
      </c>
      <c r="J119" t="s">
        <v>62</v>
      </c>
      <c r="K119" t="s">
        <v>114</v>
      </c>
      <c r="L119" t="s">
        <v>107</v>
      </c>
      <c r="M119" t="s">
        <v>90</v>
      </c>
      <c r="N119" t="s">
        <v>91</v>
      </c>
      <c r="O119" s="3">
        <v>145000</v>
      </c>
      <c r="P119" s="4">
        <v>40</v>
      </c>
      <c r="Q119" s="2">
        <v>45920</v>
      </c>
      <c r="R119" s="2">
        <v>46159</v>
      </c>
      <c r="S119" s="2">
        <v>45916</v>
      </c>
      <c r="T119" s="2"/>
      <c r="U119" t="str">
        <f t="shared" si="7"/>
        <v>No</v>
      </c>
      <c r="W1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" t="str">
        <f t="shared" ca="1" si="8"/>
        <v>Overdue</v>
      </c>
      <c r="Y119" t="str">
        <f t="shared" si="9"/>
        <v>Open</v>
      </c>
      <c r="Z119" t="str">
        <f t="shared" si="10"/>
        <v>Aug-2025</v>
      </c>
      <c r="AA119" t="str">
        <f t="shared" si="11"/>
        <v>Q3 2025</v>
      </c>
      <c r="AB119" s="4">
        <f t="shared" ca="1" si="12"/>
        <v>308</v>
      </c>
      <c r="AC119" t="str">
        <f t="shared" si="13"/>
        <v>Medium</v>
      </c>
    </row>
    <row r="120" spans="1:29">
      <c r="A120" t="s">
        <v>655</v>
      </c>
      <c r="B120" s="2">
        <v>45697</v>
      </c>
      <c r="C120" t="s">
        <v>656</v>
      </c>
      <c r="D120" t="s">
        <v>44</v>
      </c>
      <c r="E120" t="s">
        <v>657</v>
      </c>
      <c r="F120" t="s">
        <v>658</v>
      </c>
      <c r="G120" t="s">
        <v>179</v>
      </c>
      <c r="H120" t="s">
        <v>318</v>
      </c>
      <c r="I120" t="s">
        <v>36</v>
      </c>
      <c r="J120" t="s">
        <v>50</v>
      </c>
      <c r="K120" t="s">
        <v>51</v>
      </c>
      <c r="L120" t="s">
        <v>39</v>
      </c>
      <c r="M120" t="s">
        <v>73</v>
      </c>
      <c r="N120" t="s">
        <v>73</v>
      </c>
      <c r="O120" s="3">
        <v>275000</v>
      </c>
      <c r="P120" s="4">
        <v>85</v>
      </c>
      <c r="Q120" s="2">
        <v>45756</v>
      </c>
      <c r="R120" s="2">
        <v>46229</v>
      </c>
      <c r="S120" s="2">
        <v>45703</v>
      </c>
      <c r="T120" s="2"/>
      <c r="U120" t="str">
        <f t="shared" si="7"/>
        <v>No</v>
      </c>
      <c r="W1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" t="str">
        <f t="shared" ca="1" si="8"/>
        <v>Due/Open</v>
      </c>
      <c r="Y120" t="str">
        <f t="shared" si="9"/>
        <v>Open</v>
      </c>
      <c r="Z120" t="str">
        <f t="shared" si="10"/>
        <v>Feb-2025</v>
      </c>
      <c r="AA120" t="str">
        <f t="shared" si="11"/>
        <v>Q1 2025</v>
      </c>
      <c r="AB120" s="4">
        <f t="shared" ca="1" si="12"/>
        <v>502</v>
      </c>
      <c r="AC120" t="str">
        <f t="shared" si="13"/>
        <v>Medium</v>
      </c>
    </row>
    <row r="121" spans="1:29">
      <c r="A121" t="s">
        <v>659</v>
      </c>
      <c r="B121" s="2">
        <v>46175</v>
      </c>
      <c r="C121" t="s">
        <v>660</v>
      </c>
      <c r="D121" t="s">
        <v>176</v>
      </c>
      <c r="E121" t="s">
        <v>661</v>
      </c>
      <c r="F121" t="s">
        <v>662</v>
      </c>
      <c r="G121" t="s">
        <v>179</v>
      </c>
      <c r="H121" t="s">
        <v>436</v>
      </c>
      <c r="I121" t="s">
        <v>36</v>
      </c>
      <c r="J121" t="s">
        <v>37</v>
      </c>
      <c r="K121" t="s">
        <v>100</v>
      </c>
      <c r="L121" t="s">
        <v>63</v>
      </c>
      <c r="M121" t="s">
        <v>53</v>
      </c>
      <c r="N121" t="s">
        <v>54</v>
      </c>
      <c r="O121" s="3">
        <v>85000</v>
      </c>
      <c r="P121" s="4">
        <v>35</v>
      </c>
      <c r="Q121" s="2">
        <v>46228</v>
      </c>
      <c r="R121" s="2">
        <v>46233</v>
      </c>
      <c r="S121" s="2">
        <v>46179</v>
      </c>
      <c r="T121" s="2"/>
      <c r="U121" t="str">
        <f t="shared" si="7"/>
        <v>No</v>
      </c>
      <c r="W1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" t="str">
        <f t="shared" ca="1" si="8"/>
        <v>Due/Open</v>
      </c>
      <c r="Y121" t="str">
        <f t="shared" si="9"/>
        <v>Open</v>
      </c>
      <c r="Z121" t="str">
        <f t="shared" si="10"/>
        <v>Jun-2026</v>
      </c>
      <c r="AA121" t="str">
        <f t="shared" si="11"/>
        <v>Q2 2026</v>
      </c>
      <c r="AB121" s="4">
        <f t="shared" ca="1" si="12"/>
        <v>24</v>
      </c>
      <c r="AC121" t="str">
        <f t="shared" si="13"/>
        <v>Low</v>
      </c>
    </row>
    <row r="122" spans="1:29">
      <c r="A122" t="s">
        <v>663</v>
      </c>
      <c r="B122" s="2">
        <v>46138</v>
      </c>
      <c r="C122" t="s">
        <v>551</v>
      </c>
      <c r="D122" t="s">
        <v>484</v>
      </c>
      <c r="E122" t="s">
        <v>664</v>
      </c>
      <c r="F122" t="s">
        <v>665</v>
      </c>
      <c r="G122" t="s">
        <v>179</v>
      </c>
      <c r="H122" t="s">
        <v>186</v>
      </c>
      <c r="I122" t="s">
        <v>141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s="3">
        <v>285000</v>
      </c>
      <c r="P122" s="4">
        <v>30</v>
      </c>
      <c r="Q122" s="2">
        <v>46224</v>
      </c>
      <c r="R122" s="2">
        <v>46217</v>
      </c>
      <c r="S122" s="2">
        <v>46140</v>
      </c>
      <c r="T122" s="2"/>
      <c r="U122" t="str">
        <f t="shared" si="7"/>
        <v>No</v>
      </c>
      <c r="W1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" t="str">
        <f t="shared" ca="1" si="8"/>
        <v>Due/Open</v>
      </c>
      <c r="Y122" t="str">
        <f t="shared" si="9"/>
        <v>Open</v>
      </c>
      <c r="Z122" t="str">
        <f t="shared" si="10"/>
        <v>Apr-2026</v>
      </c>
      <c r="AA122" t="str">
        <f t="shared" si="11"/>
        <v>Q2 2026</v>
      </c>
      <c r="AB122" s="4">
        <f t="shared" ca="1" si="12"/>
        <v>61</v>
      </c>
      <c r="AC122" t="str">
        <f t="shared" si="13"/>
        <v>Medium</v>
      </c>
    </row>
    <row r="123" spans="1:29">
      <c r="A123" t="s">
        <v>666</v>
      </c>
      <c r="B123" s="2">
        <v>45751</v>
      </c>
      <c r="C123" t="s">
        <v>667</v>
      </c>
      <c r="D123" t="s">
        <v>512</v>
      </c>
      <c r="E123" t="s">
        <v>668</v>
      </c>
      <c r="F123" t="s">
        <v>669</v>
      </c>
      <c r="G123" t="s">
        <v>47</v>
      </c>
      <c r="H123" t="s">
        <v>122</v>
      </c>
      <c r="I123" t="s">
        <v>98</v>
      </c>
      <c r="J123" t="s">
        <v>50</v>
      </c>
      <c r="K123" t="s">
        <v>71</v>
      </c>
      <c r="L123" t="s">
        <v>132</v>
      </c>
      <c r="M123" t="s">
        <v>90</v>
      </c>
      <c r="N123" t="s">
        <v>91</v>
      </c>
      <c r="O123" s="3">
        <v>265000</v>
      </c>
      <c r="P123" s="4">
        <v>55</v>
      </c>
      <c r="Q123" s="2">
        <v>45807</v>
      </c>
      <c r="R123" s="2">
        <v>46241</v>
      </c>
      <c r="S123" s="2">
        <v>45764</v>
      </c>
      <c r="T123" s="2"/>
      <c r="U123" t="str">
        <f t="shared" si="7"/>
        <v>No</v>
      </c>
      <c r="W1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" t="str">
        <f t="shared" ca="1" si="8"/>
        <v>Due/Open</v>
      </c>
      <c r="Y123" t="str">
        <f t="shared" si="9"/>
        <v>Open</v>
      </c>
      <c r="Z123" t="str">
        <f t="shared" si="10"/>
        <v>Apr-2025</v>
      </c>
      <c r="AA123" t="str">
        <f t="shared" si="11"/>
        <v>Q2 2025</v>
      </c>
      <c r="AB123" s="4">
        <f t="shared" ca="1" si="12"/>
        <v>448</v>
      </c>
      <c r="AC123" t="str">
        <f t="shared" si="13"/>
        <v>Medium</v>
      </c>
    </row>
    <row r="124" spans="1:29">
      <c r="A124" t="s">
        <v>670</v>
      </c>
      <c r="B124" s="2">
        <v>46004</v>
      </c>
      <c r="C124" t="s">
        <v>671</v>
      </c>
      <c r="D124" t="s">
        <v>304</v>
      </c>
      <c r="E124" t="s">
        <v>672</v>
      </c>
      <c r="F124" t="s">
        <v>673</v>
      </c>
      <c r="G124" t="s">
        <v>69</v>
      </c>
      <c r="H124" t="s">
        <v>193</v>
      </c>
      <c r="I124" t="s">
        <v>98</v>
      </c>
      <c r="J124" t="s">
        <v>37</v>
      </c>
      <c r="K124" t="s">
        <v>194</v>
      </c>
      <c r="L124" t="s">
        <v>52</v>
      </c>
      <c r="M124" t="s">
        <v>116</v>
      </c>
      <c r="N124" t="s">
        <v>54</v>
      </c>
      <c r="O124" s="3">
        <v>45000</v>
      </c>
      <c r="P124" s="4">
        <v>20</v>
      </c>
      <c r="Q124" s="2">
        <v>46098</v>
      </c>
      <c r="R124" s="2">
        <v>46162</v>
      </c>
      <c r="S124" s="2">
        <v>46028</v>
      </c>
      <c r="T124" s="2"/>
      <c r="U124" t="str">
        <f t="shared" si="7"/>
        <v>No</v>
      </c>
      <c r="W1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" t="str">
        <f t="shared" ca="1" si="8"/>
        <v>Overdue</v>
      </c>
      <c r="Y124" t="str">
        <f t="shared" si="9"/>
        <v>Open</v>
      </c>
      <c r="Z124" t="str">
        <f t="shared" si="10"/>
        <v>Dec-2025</v>
      </c>
      <c r="AA124" t="str">
        <f t="shared" si="11"/>
        <v>Q4 2025</v>
      </c>
      <c r="AB124" s="4">
        <f t="shared" ca="1" si="12"/>
        <v>195</v>
      </c>
      <c r="AC124" t="str">
        <f t="shared" si="13"/>
        <v>Low</v>
      </c>
    </row>
    <row r="125" spans="1:29">
      <c r="A125" t="s">
        <v>674</v>
      </c>
      <c r="B125" s="2">
        <v>45889</v>
      </c>
      <c r="C125" t="s">
        <v>675</v>
      </c>
      <c r="D125" t="s">
        <v>676</v>
      </c>
      <c r="E125" t="s">
        <v>677</v>
      </c>
      <c r="F125" t="s">
        <v>678</v>
      </c>
      <c r="G125" t="s">
        <v>179</v>
      </c>
      <c r="H125" t="s">
        <v>296</v>
      </c>
      <c r="I125" t="s">
        <v>141</v>
      </c>
      <c r="J125" t="s">
        <v>62</v>
      </c>
      <c r="K125" t="s">
        <v>114</v>
      </c>
      <c r="L125" t="s">
        <v>154</v>
      </c>
      <c r="M125" t="s">
        <v>133</v>
      </c>
      <c r="N125" t="s">
        <v>134</v>
      </c>
      <c r="O125" s="3">
        <v>330000</v>
      </c>
      <c r="P125" s="4">
        <v>0</v>
      </c>
      <c r="Q125" s="2">
        <v>45949</v>
      </c>
      <c r="R125" s="2"/>
      <c r="S125" s="2">
        <v>45893</v>
      </c>
      <c r="T125" s="2">
        <v>45949</v>
      </c>
      <c r="U125" t="str">
        <f t="shared" si="7"/>
        <v>No</v>
      </c>
      <c r="V125" t="s">
        <v>319</v>
      </c>
      <c r="W12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25" t="str">
        <f t="shared" ca="1" si="8"/>
        <v>Closed</v>
      </c>
      <c r="Y125" t="str">
        <f t="shared" si="9"/>
        <v>Closed</v>
      </c>
      <c r="Z125" t="str">
        <f t="shared" si="10"/>
        <v>Aug-2025</v>
      </c>
      <c r="AA125" t="str">
        <f t="shared" si="11"/>
        <v>Q3 2025</v>
      </c>
      <c r="AB125" s="4">
        <f t="shared" ca="1" si="12"/>
        <v>310</v>
      </c>
      <c r="AC125" t="str">
        <f t="shared" si="13"/>
        <v>High</v>
      </c>
    </row>
    <row r="126" spans="1:29">
      <c r="A126" t="s">
        <v>679</v>
      </c>
      <c r="B126" s="2">
        <v>46105</v>
      </c>
      <c r="C126" t="s">
        <v>463</v>
      </c>
      <c r="D126" t="s">
        <v>428</v>
      </c>
      <c r="E126" t="s">
        <v>680</v>
      </c>
      <c r="F126" t="s">
        <v>681</v>
      </c>
      <c r="G126" t="s">
        <v>47</v>
      </c>
      <c r="H126" t="s">
        <v>113</v>
      </c>
      <c r="I126" t="s">
        <v>36</v>
      </c>
      <c r="J126" t="s">
        <v>50</v>
      </c>
      <c r="K126" t="s">
        <v>194</v>
      </c>
      <c r="L126" t="s">
        <v>52</v>
      </c>
      <c r="M126" t="s">
        <v>90</v>
      </c>
      <c r="N126" t="s">
        <v>91</v>
      </c>
      <c r="O126" s="3">
        <v>505000</v>
      </c>
      <c r="P126" s="4">
        <v>55</v>
      </c>
      <c r="Q126" s="2">
        <v>46169</v>
      </c>
      <c r="R126" s="2">
        <v>46217</v>
      </c>
      <c r="S126" s="2">
        <v>46121</v>
      </c>
      <c r="T126" s="2"/>
      <c r="U126" t="str">
        <f t="shared" si="7"/>
        <v>No</v>
      </c>
      <c r="W1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" t="str">
        <f t="shared" ca="1" si="8"/>
        <v>Due/Open</v>
      </c>
      <c r="Y126" t="str">
        <f t="shared" si="9"/>
        <v>Open</v>
      </c>
      <c r="Z126" t="str">
        <f t="shared" si="10"/>
        <v>Mar-2026</v>
      </c>
      <c r="AA126" t="str">
        <f t="shared" si="11"/>
        <v>Q1 2026</v>
      </c>
      <c r="AB126" s="4">
        <f t="shared" ca="1" si="12"/>
        <v>94</v>
      </c>
      <c r="AC126" t="str">
        <f t="shared" si="13"/>
        <v>High</v>
      </c>
    </row>
    <row r="127" spans="1:29">
      <c r="A127" t="s">
        <v>682</v>
      </c>
      <c r="B127" s="2">
        <v>45948</v>
      </c>
      <c r="C127" t="s">
        <v>683</v>
      </c>
      <c r="D127" t="s">
        <v>684</v>
      </c>
      <c r="E127" t="s">
        <v>685</v>
      </c>
      <c r="F127" t="s">
        <v>686</v>
      </c>
      <c r="G127" t="s">
        <v>34</v>
      </c>
      <c r="H127" t="s">
        <v>35</v>
      </c>
      <c r="I127" t="s">
        <v>148</v>
      </c>
      <c r="J127" t="s">
        <v>62</v>
      </c>
      <c r="K127" t="s">
        <v>71</v>
      </c>
      <c r="L127" t="s">
        <v>52</v>
      </c>
      <c r="M127" t="s">
        <v>133</v>
      </c>
      <c r="N127" t="s">
        <v>134</v>
      </c>
      <c r="O127" s="3">
        <v>240000</v>
      </c>
      <c r="P127" s="4">
        <v>0</v>
      </c>
      <c r="Q127" s="2">
        <v>45994</v>
      </c>
      <c r="R127" s="2"/>
      <c r="S127" s="2">
        <v>45969</v>
      </c>
      <c r="T127" s="2">
        <v>45994</v>
      </c>
      <c r="U127" t="str">
        <f t="shared" si="7"/>
        <v>No</v>
      </c>
      <c r="V127" t="s">
        <v>319</v>
      </c>
      <c r="W12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127" t="str">
        <f t="shared" ca="1" si="8"/>
        <v>Closed</v>
      </c>
      <c r="Y127" t="str">
        <f t="shared" si="9"/>
        <v>Closed</v>
      </c>
      <c r="Z127" t="str">
        <f t="shared" si="10"/>
        <v>Oct-2025</v>
      </c>
      <c r="AA127" t="str">
        <f t="shared" si="11"/>
        <v>Q4 2025</v>
      </c>
      <c r="AB127" s="4">
        <f t="shared" ca="1" si="12"/>
        <v>251</v>
      </c>
      <c r="AC127" t="str">
        <f t="shared" si="13"/>
        <v>Medium</v>
      </c>
    </row>
    <row r="128" spans="1:29">
      <c r="A128" t="s">
        <v>687</v>
      </c>
      <c r="B128" s="2">
        <v>45921</v>
      </c>
      <c r="C128" t="s">
        <v>688</v>
      </c>
      <c r="D128" t="s">
        <v>332</v>
      </c>
      <c r="E128" t="s">
        <v>689</v>
      </c>
      <c r="F128" t="s">
        <v>690</v>
      </c>
      <c r="G128" t="s">
        <v>79</v>
      </c>
      <c r="H128" t="s">
        <v>97</v>
      </c>
      <c r="I128" t="s">
        <v>36</v>
      </c>
      <c r="J128" t="s">
        <v>124</v>
      </c>
      <c r="K128" t="s">
        <v>114</v>
      </c>
      <c r="L128" t="s">
        <v>39</v>
      </c>
      <c r="M128" t="s">
        <v>40</v>
      </c>
      <c r="N128" t="s">
        <v>41</v>
      </c>
      <c r="O128" s="3">
        <v>315000</v>
      </c>
      <c r="P128" s="4">
        <v>100</v>
      </c>
      <c r="Q128" s="2">
        <v>45974</v>
      </c>
      <c r="R128" s="2"/>
      <c r="S128" s="2">
        <v>45930</v>
      </c>
      <c r="T128" s="2">
        <v>45974</v>
      </c>
      <c r="U128" t="str">
        <f t="shared" si="7"/>
        <v>Yes</v>
      </c>
      <c r="W12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128" t="str">
        <f t="shared" ca="1" si="8"/>
        <v>Closed</v>
      </c>
      <c r="Y128" t="str">
        <f t="shared" si="9"/>
        <v>Closed</v>
      </c>
      <c r="Z128" t="str">
        <f t="shared" si="10"/>
        <v>Sep-2025</v>
      </c>
      <c r="AA128" t="str">
        <f t="shared" si="11"/>
        <v>Q3 2025</v>
      </c>
      <c r="AB128" s="4">
        <f t="shared" ca="1" si="12"/>
        <v>278</v>
      </c>
      <c r="AC128" t="str">
        <f t="shared" si="13"/>
        <v>High</v>
      </c>
    </row>
    <row r="129" spans="1:29">
      <c r="A129" t="s">
        <v>691</v>
      </c>
      <c r="B129" s="2">
        <v>45915</v>
      </c>
      <c r="C129" t="s">
        <v>692</v>
      </c>
      <c r="D129" t="s">
        <v>443</v>
      </c>
      <c r="E129" t="s">
        <v>693</v>
      </c>
      <c r="F129" t="s">
        <v>694</v>
      </c>
      <c r="G129" t="s">
        <v>34</v>
      </c>
      <c r="H129" t="s">
        <v>173</v>
      </c>
      <c r="I129" t="s">
        <v>36</v>
      </c>
      <c r="J129" t="s">
        <v>124</v>
      </c>
      <c r="K129" t="s">
        <v>114</v>
      </c>
      <c r="L129" t="s">
        <v>154</v>
      </c>
      <c r="M129" t="s">
        <v>116</v>
      </c>
      <c r="N129" t="s">
        <v>54</v>
      </c>
      <c r="O129" s="3">
        <v>235000</v>
      </c>
      <c r="P129" s="4">
        <v>15</v>
      </c>
      <c r="Q129" s="2">
        <v>45980</v>
      </c>
      <c r="R129" s="2">
        <v>46226</v>
      </c>
      <c r="S129" s="2">
        <v>45926</v>
      </c>
      <c r="T129" s="2"/>
      <c r="U129" t="str">
        <f t="shared" si="7"/>
        <v>No</v>
      </c>
      <c r="W1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" t="str">
        <f t="shared" ca="1" si="8"/>
        <v>Due/Open</v>
      </c>
      <c r="Y129" t="str">
        <f t="shared" si="9"/>
        <v>Open</v>
      </c>
      <c r="Z129" t="str">
        <f t="shared" si="10"/>
        <v>Sep-2025</v>
      </c>
      <c r="AA129" t="str">
        <f t="shared" si="11"/>
        <v>Q3 2025</v>
      </c>
      <c r="AB129" s="4">
        <f t="shared" ca="1" si="12"/>
        <v>284</v>
      </c>
      <c r="AC129" t="str">
        <f t="shared" si="13"/>
        <v>Medium</v>
      </c>
    </row>
    <row r="130" spans="1:29">
      <c r="A130" t="s">
        <v>695</v>
      </c>
      <c r="B130" s="2">
        <v>46009</v>
      </c>
      <c r="C130" t="s">
        <v>696</v>
      </c>
      <c r="D130" t="s">
        <v>697</v>
      </c>
      <c r="E130" t="s">
        <v>698</v>
      </c>
      <c r="F130" t="s">
        <v>699</v>
      </c>
      <c r="G130" t="s">
        <v>179</v>
      </c>
      <c r="H130" t="s">
        <v>436</v>
      </c>
      <c r="I130" t="s">
        <v>49</v>
      </c>
      <c r="J130" t="s">
        <v>99</v>
      </c>
      <c r="K130" t="s">
        <v>51</v>
      </c>
      <c r="L130" t="s">
        <v>154</v>
      </c>
      <c r="M130" t="s">
        <v>53</v>
      </c>
      <c r="N130" t="s">
        <v>54</v>
      </c>
      <c r="O130" s="3">
        <v>600000</v>
      </c>
      <c r="P130" s="4">
        <v>25</v>
      </c>
      <c r="Q130" s="2">
        <v>46053</v>
      </c>
      <c r="R130" s="2">
        <v>46217</v>
      </c>
      <c r="S130" s="2">
        <v>46011</v>
      </c>
      <c r="T130" s="2"/>
      <c r="U130" t="str">
        <f t="shared" ref="U130:U193" si="14">IF(M130="Converted","Yes","No")</f>
        <v>No</v>
      </c>
      <c r="W1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" t="str">
        <f t="shared" ref="X130:X193" ca="1" si="15">IF(OR(M130="Converted",M130="Lost",M130="Not Interested"),"Closed",IF(R130&lt;TODAY(),"Overdue","Due/Open"))</f>
        <v>Due/Open</v>
      </c>
      <c r="Y130" t="str">
        <f t="shared" ref="Y130:Y193" si="16">IF(OR(M130="Converted",M130="Lost",M130="Not Interested"),"Closed","Open")</f>
        <v>Open</v>
      </c>
      <c r="Z130" t="str">
        <f t="shared" ref="Z130:Z193" si="17">TEXT(B130,"mmm-yyyy")</f>
        <v>Dec-2025</v>
      </c>
      <c r="AA130" t="str">
        <f t="shared" ref="AA130:AA193" si="18">"Q"&amp;ROUNDUP(MONTH(B130)/3,0)&amp;" "&amp;YEAR(B130)</f>
        <v>Q4 2025</v>
      </c>
      <c r="AB130" s="4">
        <f t="shared" ref="AB130:AB193" ca="1" si="19">TODAY()-B130</f>
        <v>190</v>
      </c>
      <c r="AC130" t="str">
        <f t="shared" ref="AC130:AC193" si="20">IF(O130&gt;=300000,"High",IF(O130&gt;=120000,"Medium","Low"))</f>
        <v>High</v>
      </c>
    </row>
    <row r="131" spans="1:29">
      <c r="A131" t="s">
        <v>700</v>
      </c>
      <c r="B131" s="2">
        <v>45850</v>
      </c>
      <c r="C131" t="s">
        <v>251</v>
      </c>
      <c r="D131" t="s">
        <v>701</v>
      </c>
      <c r="E131" t="s">
        <v>702</v>
      </c>
      <c r="F131" t="s">
        <v>703</v>
      </c>
      <c r="G131" t="s">
        <v>34</v>
      </c>
      <c r="H131" t="s">
        <v>446</v>
      </c>
      <c r="I131" t="s">
        <v>148</v>
      </c>
      <c r="J131" t="s">
        <v>62</v>
      </c>
      <c r="K131" t="s">
        <v>71</v>
      </c>
      <c r="L131" t="s">
        <v>107</v>
      </c>
      <c r="M131" t="s">
        <v>133</v>
      </c>
      <c r="N131" t="s">
        <v>134</v>
      </c>
      <c r="O131" s="3">
        <v>260000</v>
      </c>
      <c r="P131" s="4">
        <v>0</v>
      </c>
      <c r="Q131" s="2">
        <v>45910</v>
      </c>
      <c r="R131" s="2"/>
      <c r="S131" s="2">
        <v>45870</v>
      </c>
      <c r="T131" s="2">
        <v>45910</v>
      </c>
      <c r="U131" t="str">
        <f t="shared" si="14"/>
        <v>No</v>
      </c>
      <c r="V131" t="s">
        <v>135</v>
      </c>
      <c r="W13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31" t="str">
        <f t="shared" ca="1" si="15"/>
        <v>Closed</v>
      </c>
      <c r="Y131" t="str">
        <f t="shared" si="16"/>
        <v>Closed</v>
      </c>
      <c r="Z131" t="str">
        <f t="shared" si="17"/>
        <v>Jul-2025</v>
      </c>
      <c r="AA131" t="str">
        <f t="shared" si="18"/>
        <v>Q3 2025</v>
      </c>
      <c r="AB131" s="4">
        <f t="shared" ca="1" si="19"/>
        <v>349</v>
      </c>
      <c r="AC131" t="str">
        <f t="shared" si="20"/>
        <v>Medium</v>
      </c>
    </row>
    <row r="132" spans="1:29">
      <c r="A132" t="s">
        <v>704</v>
      </c>
      <c r="B132" s="2">
        <v>45957</v>
      </c>
      <c r="C132" t="s">
        <v>393</v>
      </c>
      <c r="D132" t="s">
        <v>705</v>
      </c>
      <c r="E132" t="s">
        <v>706</v>
      </c>
      <c r="F132" t="s">
        <v>707</v>
      </c>
      <c r="G132" t="s">
        <v>79</v>
      </c>
      <c r="H132" t="s">
        <v>228</v>
      </c>
      <c r="I132" t="s">
        <v>36</v>
      </c>
      <c r="J132" t="s">
        <v>37</v>
      </c>
      <c r="K132" t="s">
        <v>100</v>
      </c>
      <c r="L132" t="s">
        <v>81</v>
      </c>
      <c r="M132" t="s">
        <v>133</v>
      </c>
      <c r="N132" t="s">
        <v>134</v>
      </c>
      <c r="O132" s="3">
        <v>140000</v>
      </c>
      <c r="P132" s="4">
        <v>0</v>
      </c>
      <c r="Q132" s="2">
        <v>45991</v>
      </c>
      <c r="R132" s="2"/>
      <c r="S132" s="2">
        <v>45963</v>
      </c>
      <c r="T132" s="2">
        <v>45991</v>
      </c>
      <c r="U132" t="str">
        <f t="shared" si="14"/>
        <v>No</v>
      </c>
      <c r="V132" t="s">
        <v>452</v>
      </c>
      <c r="W13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34</v>
      </c>
      <c r="X132" t="str">
        <f t="shared" ca="1" si="15"/>
        <v>Closed</v>
      </c>
      <c r="Y132" t="str">
        <f t="shared" si="16"/>
        <v>Closed</v>
      </c>
      <c r="Z132" t="str">
        <f t="shared" si="17"/>
        <v>Oct-2025</v>
      </c>
      <c r="AA132" t="str">
        <f t="shared" si="18"/>
        <v>Q4 2025</v>
      </c>
      <c r="AB132" s="4">
        <f t="shared" ca="1" si="19"/>
        <v>242</v>
      </c>
      <c r="AC132" t="str">
        <f t="shared" si="20"/>
        <v>Medium</v>
      </c>
    </row>
    <row r="133" spans="1:29">
      <c r="A133" t="s">
        <v>708</v>
      </c>
      <c r="B133" s="2">
        <v>46128</v>
      </c>
      <c r="C133" t="s">
        <v>709</v>
      </c>
      <c r="D133" t="s">
        <v>710</v>
      </c>
      <c r="E133" t="s">
        <v>711</v>
      </c>
      <c r="F133" t="s">
        <v>712</v>
      </c>
      <c r="G133" t="s">
        <v>79</v>
      </c>
      <c r="H133" t="s">
        <v>97</v>
      </c>
      <c r="I133" t="s">
        <v>61</v>
      </c>
      <c r="J133" t="s">
        <v>50</v>
      </c>
      <c r="K133" t="s">
        <v>100</v>
      </c>
      <c r="L133" t="s">
        <v>142</v>
      </c>
      <c r="M133" t="s">
        <v>53</v>
      </c>
      <c r="N133" t="s">
        <v>54</v>
      </c>
      <c r="O133" s="3">
        <v>475000</v>
      </c>
      <c r="P133" s="4">
        <v>35</v>
      </c>
      <c r="Q133" s="2">
        <v>46174</v>
      </c>
      <c r="R133" s="2">
        <v>46223</v>
      </c>
      <c r="S133" s="2">
        <v>46145</v>
      </c>
      <c r="T133" s="2"/>
      <c r="U133" t="str">
        <f t="shared" si="14"/>
        <v>No</v>
      </c>
      <c r="W1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" t="str">
        <f t="shared" ca="1" si="15"/>
        <v>Due/Open</v>
      </c>
      <c r="Y133" t="str">
        <f t="shared" si="16"/>
        <v>Open</v>
      </c>
      <c r="Z133" t="str">
        <f t="shared" si="17"/>
        <v>Apr-2026</v>
      </c>
      <c r="AA133" t="str">
        <f t="shared" si="18"/>
        <v>Q2 2026</v>
      </c>
      <c r="AB133" s="4">
        <f t="shared" ca="1" si="19"/>
        <v>71</v>
      </c>
      <c r="AC133" t="str">
        <f t="shared" si="20"/>
        <v>High</v>
      </c>
    </row>
    <row r="134" spans="1:29">
      <c r="A134" t="s">
        <v>713</v>
      </c>
      <c r="B134" s="2">
        <v>45902</v>
      </c>
      <c r="C134" t="s">
        <v>714</v>
      </c>
      <c r="D134" t="s">
        <v>715</v>
      </c>
      <c r="E134" t="s">
        <v>716</v>
      </c>
      <c r="F134" t="s">
        <v>717</v>
      </c>
      <c r="G134" t="s">
        <v>34</v>
      </c>
      <c r="H134" t="s">
        <v>173</v>
      </c>
      <c r="I134" t="s">
        <v>49</v>
      </c>
      <c r="J134" t="s">
        <v>124</v>
      </c>
      <c r="K134" t="s">
        <v>51</v>
      </c>
      <c r="L134" t="s">
        <v>52</v>
      </c>
      <c r="M134" t="s">
        <v>90</v>
      </c>
      <c r="N134" t="s">
        <v>91</v>
      </c>
      <c r="O134" s="3">
        <v>230000</v>
      </c>
      <c r="P134" s="4">
        <v>40</v>
      </c>
      <c r="Q134" s="2">
        <v>45936</v>
      </c>
      <c r="R134" s="2">
        <v>46154</v>
      </c>
      <c r="S134" s="2">
        <v>45914</v>
      </c>
      <c r="T134" s="2"/>
      <c r="U134" t="str">
        <f t="shared" si="14"/>
        <v>No</v>
      </c>
      <c r="W1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" t="str">
        <f t="shared" ca="1" si="15"/>
        <v>Overdue</v>
      </c>
      <c r="Y134" t="str">
        <f t="shared" si="16"/>
        <v>Open</v>
      </c>
      <c r="Z134" t="str">
        <f t="shared" si="17"/>
        <v>Sep-2025</v>
      </c>
      <c r="AA134" t="str">
        <f t="shared" si="18"/>
        <v>Q3 2025</v>
      </c>
      <c r="AB134" s="4">
        <f t="shared" ca="1" si="19"/>
        <v>297</v>
      </c>
      <c r="AC134" t="str">
        <f t="shared" si="20"/>
        <v>Medium</v>
      </c>
    </row>
    <row r="135" spans="1:29">
      <c r="A135" t="s">
        <v>718</v>
      </c>
      <c r="B135" s="2">
        <v>45918</v>
      </c>
      <c r="C135" t="s">
        <v>336</v>
      </c>
      <c r="D135" t="s">
        <v>86</v>
      </c>
      <c r="E135" t="s">
        <v>719</v>
      </c>
      <c r="F135" t="s">
        <v>720</v>
      </c>
      <c r="G135" t="s">
        <v>79</v>
      </c>
      <c r="H135" t="s">
        <v>228</v>
      </c>
      <c r="I135" t="s">
        <v>98</v>
      </c>
      <c r="J135" t="s">
        <v>62</v>
      </c>
      <c r="K135" t="s">
        <v>114</v>
      </c>
      <c r="L135" t="s">
        <v>154</v>
      </c>
      <c r="M135" t="s">
        <v>82</v>
      </c>
      <c r="N135" t="s">
        <v>83</v>
      </c>
      <c r="O135" s="3">
        <v>340000</v>
      </c>
      <c r="P135" s="4">
        <v>10</v>
      </c>
      <c r="Q135" s="2">
        <v>45957</v>
      </c>
      <c r="R135" s="2">
        <v>46223</v>
      </c>
      <c r="S135" s="2">
        <v>45935</v>
      </c>
      <c r="T135" s="2"/>
      <c r="U135" t="str">
        <f t="shared" si="14"/>
        <v>No</v>
      </c>
      <c r="W1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" t="str">
        <f t="shared" ca="1" si="15"/>
        <v>Due/Open</v>
      </c>
      <c r="Y135" t="str">
        <f t="shared" si="16"/>
        <v>Open</v>
      </c>
      <c r="Z135" t="str">
        <f t="shared" si="17"/>
        <v>Sep-2025</v>
      </c>
      <c r="AA135" t="str">
        <f t="shared" si="18"/>
        <v>Q3 2025</v>
      </c>
      <c r="AB135" s="4">
        <f t="shared" ca="1" si="19"/>
        <v>281</v>
      </c>
      <c r="AC135" t="str">
        <f t="shared" si="20"/>
        <v>High</v>
      </c>
    </row>
    <row r="136" spans="1:29">
      <c r="A136" t="s">
        <v>721</v>
      </c>
      <c r="B136" s="2">
        <v>46011</v>
      </c>
      <c r="C136" t="s">
        <v>722</v>
      </c>
      <c r="D136" t="s">
        <v>710</v>
      </c>
      <c r="E136" t="s">
        <v>723</v>
      </c>
      <c r="F136" t="s">
        <v>724</v>
      </c>
      <c r="G136" t="s">
        <v>47</v>
      </c>
      <c r="H136" t="s">
        <v>113</v>
      </c>
      <c r="I136" t="s">
        <v>141</v>
      </c>
      <c r="J136" t="s">
        <v>124</v>
      </c>
      <c r="K136" t="s">
        <v>114</v>
      </c>
      <c r="L136" t="s">
        <v>52</v>
      </c>
      <c r="M136" t="s">
        <v>40</v>
      </c>
      <c r="N136" t="s">
        <v>41</v>
      </c>
      <c r="O136" s="3">
        <v>335000</v>
      </c>
      <c r="P136" s="4">
        <v>100</v>
      </c>
      <c r="Q136" s="2">
        <v>46095</v>
      </c>
      <c r="R136" s="2"/>
      <c r="S136" s="2">
        <v>46019</v>
      </c>
      <c r="T136" s="2">
        <v>46095</v>
      </c>
      <c r="U136" t="str">
        <f t="shared" si="14"/>
        <v>Yes</v>
      </c>
      <c r="W13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84</v>
      </c>
      <c r="X136" t="str">
        <f t="shared" ca="1" si="15"/>
        <v>Closed</v>
      </c>
      <c r="Y136" t="str">
        <f t="shared" si="16"/>
        <v>Closed</v>
      </c>
      <c r="Z136" t="str">
        <f t="shared" si="17"/>
        <v>Dec-2025</v>
      </c>
      <c r="AA136" t="str">
        <f t="shared" si="18"/>
        <v>Q4 2025</v>
      </c>
      <c r="AB136" s="4">
        <f t="shared" ca="1" si="19"/>
        <v>188</v>
      </c>
      <c r="AC136" t="str">
        <f t="shared" si="20"/>
        <v>High</v>
      </c>
    </row>
    <row r="137" spans="1:29">
      <c r="A137" t="s">
        <v>725</v>
      </c>
      <c r="B137" s="2">
        <v>45900</v>
      </c>
      <c r="C137" t="s">
        <v>156</v>
      </c>
      <c r="D137" t="s">
        <v>252</v>
      </c>
      <c r="E137" t="s">
        <v>726</v>
      </c>
      <c r="F137" t="s">
        <v>727</v>
      </c>
      <c r="G137" t="s">
        <v>179</v>
      </c>
      <c r="H137" t="s">
        <v>296</v>
      </c>
      <c r="I137" t="s">
        <v>49</v>
      </c>
      <c r="J137" t="s">
        <v>62</v>
      </c>
      <c r="K137" t="s">
        <v>114</v>
      </c>
      <c r="L137" t="s">
        <v>132</v>
      </c>
      <c r="M137" t="s">
        <v>90</v>
      </c>
      <c r="N137" t="s">
        <v>91</v>
      </c>
      <c r="O137" s="3">
        <v>155000</v>
      </c>
      <c r="P137" s="4">
        <v>55</v>
      </c>
      <c r="Q137" s="2">
        <v>45929</v>
      </c>
      <c r="R137" s="2">
        <v>46232</v>
      </c>
      <c r="S137" s="2">
        <v>45909</v>
      </c>
      <c r="T137" s="2"/>
      <c r="U137" t="str">
        <f t="shared" si="14"/>
        <v>No</v>
      </c>
      <c r="W1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" t="str">
        <f t="shared" ca="1" si="15"/>
        <v>Due/Open</v>
      </c>
      <c r="Y137" t="str">
        <f t="shared" si="16"/>
        <v>Open</v>
      </c>
      <c r="Z137" t="str">
        <f t="shared" si="17"/>
        <v>Aug-2025</v>
      </c>
      <c r="AA137" t="str">
        <f t="shared" si="18"/>
        <v>Q3 2025</v>
      </c>
      <c r="AB137" s="4">
        <f t="shared" ca="1" si="19"/>
        <v>299</v>
      </c>
      <c r="AC137" t="str">
        <f t="shared" si="20"/>
        <v>Medium</v>
      </c>
    </row>
    <row r="138" spans="1:29">
      <c r="A138" t="s">
        <v>728</v>
      </c>
      <c r="B138" s="2">
        <v>45862</v>
      </c>
      <c r="C138" t="s">
        <v>729</v>
      </c>
      <c r="D138" t="s">
        <v>170</v>
      </c>
      <c r="E138" t="s">
        <v>730</v>
      </c>
      <c r="F138" t="s">
        <v>731</v>
      </c>
      <c r="G138" t="s">
        <v>34</v>
      </c>
      <c r="H138" t="s">
        <v>60</v>
      </c>
      <c r="I138" t="s">
        <v>49</v>
      </c>
      <c r="J138" t="s">
        <v>37</v>
      </c>
      <c r="K138" t="s">
        <v>114</v>
      </c>
      <c r="L138" t="s">
        <v>132</v>
      </c>
      <c r="M138" t="s">
        <v>166</v>
      </c>
      <c r="N138" t="s">
        <v>167</v>
      </c>
      <c r="O138" s="3">
        <v>110000</v>
      </c>
      <c r="P138" s="4">
        <v>65</v>
      </c>
      <c r="Q138" s="2">
        <v>45882</v>
      </c>
      <c r="R138" s="2">
        <v>46239</v>
      </c>
      <c r="S138" s="2">
        <v>45887</v>
      </c>
      <c r="T138" s="2"/>
      <c r="U138" t="str">
        <f t="shared" si="14"/>
        <v>No</v>
      </c>
      <c r="W1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" t="str">
        <f t="shared" ca="1" si="15"/>
        <v>Due/Open</v>
      </c>
      <c r="Y138" t="str">
        <f t="shared" si="16"/>
        <v>Open</v>
      </c>
      <c r="Z138" t="str">
        <f t="shared" si="17"/>
        <v>Jul-2025</v>
      </c>
      <c r="AA138" t="str">
        <f t="shared" si="18"/>
        <v>Q3 2025</v>
      </c>
      <c r="AB138" s="4">
        <f t="shared" ca="1" si="19"/>
        <v>337</v>
      </c>
      <c r="AC138" t="str">
        <f t="shared" si="20"/>
        <v>Low</v>
      </c>
    </row>
    <row r="139" spans="1:29">
      <c r="A139" t="s">
        <v>732</v>
      </c>
      <c r="B139" s="2">
        <v>45920</v>
      </c>
      <c r="C139" t="s">
        <v>733</v>
      </c>
      <c r="D139" t="s">
        <v>151</v>
      </c>
      <c r="E139" t="s">
        <v>734</v>
      </c>
      <c r="F139" t="s">
        <v>735</v>
      </c>
      <c r="G139" t="s">
        <v>34</v>
      </c>
      <c r="H139" t="s">
        <v>238</v>
      </c>
      <c r="I139" t="s">
        <v>49</v>
      </c>
      <c r="J139" t="s">
        <v>62</v>
      </c>
      <c r="K139" t="s">
        <v>38</v>
      </c>
      <c r="L139" t="s">
        <v>52</v>
      </c>
      <c r="M139" t="s">
        <v>82</v>
      </c>
      <c r="N139" t="s">
        <v>83</v>
      </c>
      <c r="O139" s="3">
        <v>325000</v>
      </c>
      <c r="P139" s="4">
        <v>10</v>
      </c>
      <c r="Q139" s="2">
        <v>46013</v>
      </c>
      <c r="R139" s="2">
        <v>46182</v>
      </c>
      <c r="S139" s="2">
        <v>45943</v>
      </c>
      <c r="T139" s="2"/>
      <c r="U139" t="str">
        <f t="shared" si="14"/>
        <v>No</v>
      </c>
      <c r="W1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" t="str">
        <f t="shared" ca="1" si="15"/>
        <v>Overdue</v>
      </c>
      <c r="Y139" t="str">
        <f t="shared" si="16"/>
        <v>Open</v>
      </c>
      <c r="Z139" t="str">
        <f t="shared" si="17"/>
        <v>Sep-2025</v>
      </c>
      <c r="AA139" t="str">
        <f t="shared" si="18"/>
        <v>Q3 2025</v>
      </c>
      <c r="AB139" s="4">
        <f t="shared" ca="1" si="19"/>
        <v>279</v>
      </c>
      <c r="AC139" t="str">
        <f t="shared" si="20"/>
        <v>High</v>
      </c>
    </row>
    <row r="140" spans="1:29">
      <c r="A140" t="s">
        <v>736</v>
      </c>
      <c r="B140" s="2">
        <v>46108</v>
      </c>
      <c r="C140" t="s">
        <v>737</v>
      </c>
      <c r="D140" t="s">
        <v>322</v>
      </c>
      <c r="E140" t="s">
        <v>738</v>
      </c>
      <c r="F140" t="s">
        <v>739</v>
      </c>
      <c r="G140" t="s">
        <v>79</v>
      </c>
      <c r="H140" t="s">
        <v>228</v>
      </c>
      <c r="I140" t="s">
        <v>61</v>
      </c>
      <c r="J140" t="s">
        <v>124</v>
      </c>
      <c r="K140" t="s">
        <v>38</v>
      </c>
      <c r="L140" t="s">
        <v>239</v>
      </c>
      <c r="M140" t="s">
        <v>90</v>
      </c>
      <c r="N140" t="s">
        <v>91</v>
      </c>
      <c r="O140" s="3">
        <v>210000</v>
      </c>
      <c r="P140" s="4">
        <v>50</v>
      </c>
      <c r="Q140" s="2">
        <v>46188</v>
      </c>
      <c r="R140" s="2">
        <v>46206</v>
      </c>
      <c r="S140" s="2">
        <v>46120</v>
      </c>
      <c r="T140" s="2"/>
      <c r="U140" t="str">
        <f t="shared" si="14"/>
        <v>No</v>
      </c>
      <c r="W1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" t="str">
        <f t="shared" ca="1" si="15"/>
        <v>Due/Open</v>
      </c>
      <c r="Y140" t="str">
        <f t="shared" si="16"/>
        <v>Open</v>
      </c>
      <c r="Z140" t="str">
        <f t="shared" si="17"/>
        <v>Mar-2026</v>
      </c>
      <c r="AA140" t="str">
        <f t="shared" si="18"/>
        <v>Q1 2026</v>
      </c>
      <c r="AB140" s="4">
        <f t="shared" ca="1" si="19"/>
        <v>91</v>
      </c>
      <c r="AC140" t="str">
        <f t="shared" si="20"/>
        <v>Medium</v>
      </c>
    </row>
    <row r="141" spans="1:29">
      <c r="A141" t="s">
        <v>740</v>
      </c>
      <c r="B141" s="2">
        <v>46054</v>
      </c>
      <c r="C141" t="s">
        <v>741</v>
      </c>
      <c r="D141" t="s">
        <v>742</v>
      </c>
      <c r="E141" t="s">
        <v>743</v>
      </c>
      <c r="F141" t="s">
        <v>744</v>
      </c>
      <c r="G141" t="s">
        <v>47</v>
      </c>
      <c r="H141" t="s">
        <v>493</v>
      </c>
      <c r="I141" t="s">
        <v>148</v>
      </c>
      <c r="J141" t="s">
        <v>131</v>
      </c>
      <c r="K141" t="s">
        <v>194</v>
      </c>
      <c r="L141" t="s">
        <v>239</v>
      </c>
      <c r="M141" t="s">
        <v>90</v>
      </c>
      <c r="N141" t="s">
        <v>91</v>
      </c>
      <c r="O141" s="3">
        <v>200000</v>
      </c>
      <c r="P141" s="4">
        <v>55</v>
      </c>
      <c r="Q141" s="2">
        <v>46107</v>
      </c>
      <c r="R141" s="2">
        <v>46179</v>
      </c>
      <c r="S141" s="2">
        <v>46061</v>
      </c>
      <c r="T141" s="2"/>
      <c r="U141" t="str">
        <f t="shared" si="14"/>
        <v>No</v>
      </c>
      <c r="W1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" t="str">
        <f t="shared" ca="1" si="15"/>
        <v>Overdue</v>
      </c>
      <c r="Y141" t="str">
        <f t="shared" si="16"/>
        <v>Open</v>
      </c>
      <c r="Z141" t="str">
        <f t="shared" si="17"/>
        <v>Feb-2026</v>
      </c>
      <c r="AA141" t="str">
        <f t="shared" si="18"/>
        <v>Q1 2026</v>
      </c>
      <c r="AB141" s="4">
        <f t="shared" ca="1" si="19"/>
        <v>145</v>
      </c>
      <c r="AC141" t="str">
        <f t="shared" si="20"/>
        <v>Medium</v>
      </c>
    </row>
    <row r="142" spans="1:29">
      <c r="A142" t="s">
        <v>745</v>
      </c>
      <c r="B142" s="2">
        <v>46150</v>
      </c>
      <c r="C142" t="s">
        <v>746</v>
      </c>
      <c r="D142" t="s">
        <v>747</v>
      </c>
      <c r="E142" t="s">
        <v>748</v>
      </c>
      <c r="F142" t="s">
        <v>749</v>
      </c>
      <c r="G142" t="s">
        <v>47</v>
      </c>
      <c r="H142" t="s">
        <v>113</v>
      </c>
      <c r="I142" t="s">
        <v>36</v>
      </c>
      <c r="J142" t="s">
        <v>37</v>
      </c>
      <c r="K142" t="s">
        <v>51</v>
      </c>
      <c r="L142" t="s">
        <v>39</v>
      </c>
      <c r="M142" t="s">
        <v>40</v>
      </c>
      <c r="N142" t="s">
        <v>41</v>
      </c>
      <c r="O142" s="3">
        <v>80000</v>
      </c>
      <c r="P142" s="4">
        <v>100</v>
      </c>
      <c r="Q142" s="2">
        <v>46175</v>
      </c>
      <c r="R142" s="2"/>
      <c r="S142" s="2">
        <v>46160</v>
      </c>
      <c r="T142" s="2">
        <v>46175</v>
      </c>
      <c r="U142" t="str">
        <f t="shared" si="14"/>
        <v>Yes</v>
      </c>
      <c r="W1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142" t="str">
        <f t="shared" ca="1" si="15"/>
        <v>Closed</v>
      </c>
      <c r="Y142" t="str">
        <f t="shared" si="16"/>
        <v>Closed</v>
      </c>
      <c r="Z142" t="str">
        <f t="shared" si="17"/>
        <v>May-2026</v>
      </c>
      <c r="AA142" t="str">
        <f t="shared" si="18"/>
        <v>Q2 2026</v>
      </c>
      <c r="AB142" s="4">
        <f t="shared" ca="1" si="19"/>
        <v>49</v>
      </c>
      <c r="AC142" t="str">
        <f t="shared" si="20"/>
        <v>Low</v>
      </c>
    </row>
    <row r="143" spans="1:29">
      <c r="A143" t="s">
        <v>750</v>
      </c>
      <c r="B143" s="2">
        <v>45838</v>
      </c>
      <c r="C143" t="s">
        <v>499</v>
      </c>
      <c r="D143" t="s">
        <v>697</v>
      </c>
      <c r="E143" t="s">
        <v>751</v>
      </c>
      <c r="F143" t="s">
        <v>752</v>
      </c>
      <c r="G143" t="s">
        <v>79</v>
      </c>
      <c r="H143" t="s">
        <v>217</v>
      </c>
      <c r="I143" t="s">
        <v>98</v>
      </c>
      <c r="J143" t="s">
        <v>62</v>
      </c>
      <c r="K143" t="s">
        <v>114</v>
      </c>
      <c r="L143" t="s">
        <v>239</v>
      </c>
      <c r="M143" t="s">
        <v>53</v>
      </c>
      <c r="N143" t="s">
        <v>54</v>
      </c>
      <c r="O143" s="3">
        <v>145000</v>
      </c>
      <c r="P143" s="4">
        <v>25</v>
      </c>
      <c r="Q143" s="2">
        <v>45927</v>
      </c>
      <c r="R143" s="2">
        <v>46209</v>
      </c>
      <c r="S143" s="2">
        <v>45846</v>
      </c>
      <c r="T143" s="2"/>
      <c r="U143" t="str">
        <f t="shared" si="14"/>
        <v>No</v>
      </c>
      <c r="W1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" t="str">
        <f t="shared" ca="1" si="15"/>
        <v>Due/Open</v>
      </c>
      <c r="Y143" t="str">
        <f t="shared" si="16"/>
        <v>Open</v>
      </c>
      <c r="Z143" t="str">
        <f t="shared" si="17"/>
        <v>Jun-2025</v>
      </c>
      <c r="AA143" t="str">
        <f t="shared" si="18"/>
        <v>Q2 2025</v>
      </c>
      <c r="AB143" s="4">
        <f t="shared" ca="1" si="19"/>
        <v>361</v>
      </c>
      <c r="AC143" t="str">
        <f t="shared" si="20"/>
        <v>Medium</v>
      </c>
    </row>
    <row r="144" spans="1:29">
      <c r="A144" t="s">
        <v>753</v>
      </c>
      <c r="B144" s="2">
        <v>45889</v>
      </c>
      <c r="C144" t="s">
        <v>754</v>
      </c>
      <c r="D144" t="s">
        <v>755</v>
      </c>
      <c r="E144" t="s">
        <v>756</v>
      </c>
      <c r="F144" t="s">
        <v>757</v>
      </c>
      <c r="G144" t="s">
        <v>79</v>
      </c>
      <c r="H144" t="s">
        <v>106</v>
      </c>
      <c r="I144" t="s">
        <v>148</v>
      </c>
      <c r="J144" t="s">
        <v>50</v>
      </c>
      <c r="K144" t="s">
        <v>71</v>
      </c>
      <c r="L144" t="s">
        <v>39</v>
      </c>
      <c r="M144" t="s">
        <v>116</v>
      </c>
      <c r="N144" t="s">
        <v>54</v>
      </c>
      <c r="O144" s="3">
        <v>165000</v>
      </c>
      <c r="P144" s="4">
        <v>20</v>
      </c>
      <c r="Q144" s="2">
        <v>45953</v>
      </c>
      <c r="R144" s="2">
        <v>46199</v>
      </c>
      <c r="S144" s="2">
        <v>45900</v>
      </c>
      <c r="T144" s="2"/>
      <c r="U144" t="str">
        <f t="shared" si="14"/>
        <v>No</v>
      </c>
      <c r="W1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" t="str">
        <f t="shared" ca="1" si="15"/>
        <v>Due/Open</v>
      </c>
      <c r="Y144" t="str">
        <f t="shared" si="16"/>
        <v>Open</v>
      </c>
      <c r="Z144" t="str">
        <f t="shared" si="17"/>
        <v>Aug-2025</v>
      </c>
      <c r="AA144" t="str">
        <f t="shared" si="18"/>
        <v>Q3 2025</v>
      </c>
      <c r="AB144" s="4">
        <f t="shared" ca="1" si="19"/>
        <v>310</v>
      </c>
      <c r="AC144" t="str">
        <f t="shared" si="20"/>
        <v>Medium</v>
      </c>
    </row>
    <row r="145" spans="1:29">
      <c r="A145" t="s">
        <v>758</v>
      </c>
      <c r="B145" s="2">
        <v>45865</v>
      </c>
      <c r="C145" t="s">
        <v>759</v>
      </c>
      <c r="D145" t="s">
        <v>128</v>
      </c>
      <c r="E145" t="s">
        <v>760</v>
      </c>
      <c r="F145" t="s">
        <v>761</v>
      </c>
      <c r="G145" t="s">
        <v>179</v>
      </c>
      <c r="H145" t="s">
        <v>186</v>
      </c>
      <c r="I145" t="s">
        <v>98</v>
      </c>
      <c r="J145" t="s">
        <v>37</v>
      </c>
      <c r="K145" t="s">
        <v>100</v>
      </c>
      <c r="L145" t="s">
        <v>132</v>
      </c>
      <c r="M145" t="s">
        <v>166</v>
      </c>
      <c r="N145" t="s">
        <v>167</v>
      </c>
      <c r="O145" s="3">
        <v>120000</v>
      </c>
      <c r="P145" s="4">
        <v>70</v>
      </c>
      <c r="Q145" s="2">
        <v>45925</v>
      </c>
      <c r="R145" s="2">
        <v>46210</v>
      </c>
      <c r="S145" s="2">
        <v>45879</v>
      </c>
      <c r="T145" s="2"/>
      <c r="U145" t="str">
        <f t="shared" si="14"/>
        <v>No</v>
      </c>
      <c r="W1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" t="str">
        <f t="shared" ca="1" si="15"/>
        <v>Due/Open</v>
      </c>
      <c r="Y145" t="str">
        <f t="shared" si="16"/>
        <v>Open</v>
      </c>
      <c r="Z145" t="str">
        <f t="shared" si="17"/>
        <v>Jul-2025</v>
      </c>
      <c r="AA145" t="str">
        <f t="shared" si="18"/>
        <v>Q3 2025</v>
      </c>
      <c r="AB145" s="4">
        <f t="shared" ca="1" si="19"/>
        <v>334</v>
      </c>
      <c r="AC145" t="str">
        <f t="shared" si="20"/>
        <v>Medium</v>
      </c>
    </row>
    <row r="146" spans="1:29">
      <c r="A146" t="s">
        <v>762</v>
      </c>
      <c r="B146" s="2">
        <v>45749</v>
      </c>
      <c r="C146" t="s">
        <v>763</v>
      </c>
      <c r="D146" t="s">
        <v>128</v>
      </c>
      <c r="E146" t="s">
        <v>764</v>
      </c>
      <c r="F146" t="s">
        <v>765</v>
      </c>
      <c r="G146" t="s">
        <v>79</v>
      </c>
      <c r="H146" t="s">
        <v>80</v>
      </c>
      <c r="I146" t="s">
        <v>49</v>
      </c>
      <c r="J146" t="s">
        <v>37</v>
      </c>
      <c r="K146" t="s">
        <v>38</v>
      </c>
      <c r="L146" t="s">
        <v>52</v>
      </c>
      <c r="M146" t="s">
        <v>82</v>
      </c>
      <c r="N146" t="s">
        <v>83</v>
      </c>
      <c r="O146" s="3">
        <v>175000</v>
      </c>
      <c r="P146" s="4">
        <v>5</v>
      </c>
      <c r="Q146" s="2">
        <v>45844</v>
      </c>
      <c r="R146" s="2">
        <v>46177</v>
      </c>
      <c r="S146" s="2">
        <v>45770</v>
      </c>
      <c r="T146" s="2"/>
      <c r="U146" t="str">
        <f t="shared" si="14"/>
        <v>No</v>
      </c>
      <c r="W1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" t="str">
        <f t="shared" ca="1" si="15"/>
        <v>Overdue</v>
      </c>
      <c r="Y146" t="str">
        <f t="shared" si="16"/>
        <v>Open</v>
      </c>
      <c r="Z146" t="str">
        <f t="shared" si="17"/>
        <v>Apr-2025</v>
      </c>
      <c r="AA146" t="str">
        <f t="shared" si="18"/>
        <v>Q2 2025</v>
      </c>
      <c r="AB146" s="4">
        <f t="shared" ca="1" si="19"/>
        <v>450</v>
      </c>
      <c r="AC146" t="str">
        <f t="shared" si="20"/>
        <v>Medium</v>
      </c>
    </row>
    <row r="147" spans="1:29">
      <c r="A147" t="s">
        <v>766</v>
      </c>
      <c r="B147" s="2">
        <v>45733</v>
      </c>
      <c r="C147" t="s">
        <v>635</v>
      </c>
      <c r="D147" t="s">
        <v>767</v>
      </c>
      <c r="E147" t="s">
        <v>768</v>
      </c>
      <c r="F147" t="s">
        <v>769</v>
      </c>
      <c r="G147" t="s">
        <v>34</v>
      </c>
      <c r="H147" t="s">
        <v>60</v>
      </c>
      <c r="I147" t="s">
        <v>141</v>
      </c>
      <c r="J147" t="s">
        <v>131</v>
      </c>
      <c r="K147" t="s">
        <v>194</v>
      </c>
      <c r="L147" t="s">
        <v>81</v>
      </c>
      <c r="M147" t="s">
        <v>90</v>
      </c>
      <c r="N147" t="s">
        <v>91</v>
      </c>
      <c r="O147" s="3">
        <v>135000</v>
      </c>
      <c r="P147" s="4">
        <v>40</v>
      </c>
      <c r="Q147" s="2">
        <v>45754</v>
      </c>
      <c r="R147" s="2">
        <v>46200</v>
      </c>
      <c r="S147" s="2">
        <v>45756</v>
      </c>
      <c r="T147" s="2"/>
      <c r="U147" t="str">
        <f t="shared" si="14"/>
        <v>No</v>
      </c>
      <c r="W1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" t="str">
        <f t="shared" ca="1" si="15"/>
        <v>Due/Open</v>
      </c>
      <c r="Y147" t="str">
        <f t="shared" si="16"/>
        <v>Open</v>
      </c>
      <c r="Z147" t="str">
        <f t="shared" si="17"/>
        <v>Mar-2025</v>
      </c>
      <c r="AA147" t="str">
        <f t="shared" si="18"/>
        <v>Q1 2025</v>
      </c>
      <c r="AB147" s="4">
        <f t="shared" ca="1" si="19"/>
        <v>466</v>
      </c>
      <c r="AC147" t="str">
        <f t="shared" si="20"/>
        <v>Medium</v>
      </c>
    </row>
    <row r="148" spans="1:29">
      <c r="A148" t="s">
        <v>770</v>
      </c>
      <c r="B148" s="2">
        <v>45858</v>
      </c>
      <c r="C148" t="s">
        <v>771</v>
      </c>
      <c r="D148" t="s">
        <v>701</v>
      </c>
      <c r="E148" t="s">
        <v>772</v>
      </c>
      <c r="F148" t="s">
        <v>773</v>
      </c>
      <c r="G148" t="s">
        <v>79</v>
      </c>
      <c r="H148" t="s">
        <v>97</v>
      </c>
      <c r="I148" t="s">
        <v>141</v>
      </c>
      <c r="J148" t="s">
        <v>99</v>
      </c>
      <c r="K148" t="s">
        <v>114</v>
      </c>
      <c r="L148" t="s">
        <v>125</v>
      </c>
      <c r="M148" t="s">
        <v>40</v>
      </c>
      <c r="N148" t="s">
        <v>41</v>
      </c>
      <c r="O148" s="3">
        <v>235000</v>
      </c>
      <c r="P148" s="4">
        <v>100</v>
      </c>
      <c r="Q148" s="2">
        <v>45895</v>
      </c>
      <c r="R148" s="2"/>
      <c r="S148" s="2">
        <v>45872</v>
      </c>
      <c r="T148" s="2">
        <v>45895</v>
      </c>
      <c r="U148" t="str">
        <f t="shared" si="14"/>
        <v>Yes</v>
      </c>
      <c r="W14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48" t="str">
        <f t="shared" ca="1" si="15"/>
        <v>Closed</v>
      </c>
      <c r="Y148" t="str">
        <f t="shared" si="16"/>
        <v>Closed</v>
      </c>
      <c r="Z148" t="str">
        <f t="shared" si="17"/>
        <v>Jul-2025</v>
      </c>
      <c r="AA148" t="str">
        <f t="shared" si="18"/>
        <v>Q3 2025</v>
      </c>
      <c r="AB148" s="4">
        <f t="shared" ca="1" si="19"/>
        <v>341</v>
      </c>
      <c r="AC148" t="str">
        <f t="shared" si="20"/>
        <v>Medium</v>
      </c>
    </row>
    <row r="149" spans="1:29">
      <c r="A149" t="s">
        <v>774</v>
      </c>
      <c r="B149" s="2">
        <v>45669</v>
      </c>
      <c r="C149" t="s">
        <v>534</v>
      </c>
      <c r="D149" t="s">
        <v>775</v>
      </c>
      <c r="E149" t="s">
        <v>776</v>
      </c>
      <c r="F149" t="s">
        <v>777</v>
      </c>
      <c r="G149" t="s">
        <v>34</v>
      </c>
      <c r="H149" t="s">
        <v>160</v>
      </c>
      <c r="I149" t="s">
        <v>98</v>
      </c>
      <c r="J149" t="s">
        <v>62</v>
      </c>
      <c r="K149" t="s">
        <v>100</v>
      </c>
      <c r="L149" t="s">
        <v>125</v>
      </c>
      <c r="M149" t="s">
        <v>53</v>
      </c>
      <c r="N149" t="s">
        <v>54</v>
      </c>
      <c r="O149" s="3">
        <v>310000</v>
      </c>
      <c r="P149" s="4">
        <v>30</v>
      </c>
      <c r="Q149" s="2">
        <v>45689</v>
      </c>
      <c r="R149" s="2">
        <v>46153</v>
      </c>
      <c r="S149" s="2">
        <v>45680</v>
      </c>
      <c r="T149" s="2"/>
      <c r="U149" t="str">
        <f t="shared" si="14"/>
        <v>No</v>
      </c>
      <c r="W1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" t="str">
        <f t="shared" ca="1" si="15"/>
        <v>Overdue</v>
      </c>
      <c r="Y149" t="str">
        <f t="shared" si="16"/>
        <v>Open</v>
      </c>
      <c r="Z149" t="str">
        <f t="shared" si="17"/>
        <v>Jan-2025</v>
      </c>
      <c r="AA149" t="str">
        <f t="shared" si="18"/>
        <v>Q1 2025</v>
      </c>
      <c r="AB149" s="4">
        <f t="shared" ca="1" si="19"/>
        <v>530</v>
      </c>
      <c r="AC149" t="str">
        <f t="shared" si="20"/>
        <v>High</v>
      </c>
    </row>
    <row r="150" spans="1:29">
      <c r="A150" t="s">
        <v>778</v>
      </c>
      <c r="B150" s="2">
        <v>46099</v>
      </c>
      <c r="C150" t="s">
        <v>336</v>
      </c>
      <c r="D150" t="s">
        <v>779</v>
      </c>
      <c r="E150" t="s">
        <v>780</v>
      </c>
      <c r="F150" t="s">
        <v>781</v>
      </c>
      <c r="G150" t="s">
        <v>69</v>
      </c>
      <c r="H150" t="s">
        <v>285</v>
      </c>
      <c r="I150" t="s">
        <v>187</v>
      </c>
      <c r="J150" t="s">
        <v>50</v>
      </c>
      <c r="K150" t="s">
        <v>71</v>
      </c>
      <c r="L150" t="s">
        <v>107</v>
      </c>
      <c r="M150" t="s">
        <v>82</v>
      </c>
      <c r="N150" t="s">
        <v>83</v>
      </c>
      <c r="O150" s="3">
        <v>455000</v>
      </c>
      <c r="P150" s="4">
        <v>5</v>
      </c>
      <c r="Q150" s="2">
        <v>46172</v>
      </c>
      <c r="R150" s="2">
        <v>46196</v>
      </c>
      <c r="S150" s="2">
        <v>46105</v>
      </c>
      <c r="T150" s="2"/>
      <c r="U150" t="str">
        <f t="shared" si="14"/>
        <v>No</v>
      </c>
      <c r="W1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" t="str">
        <f t="shared" ca="1" si="15"/>
        <v>Overdue</v>
      </c>
      <c r="Y150" t="str">
        <f t="shared" si="16"/>
        <v>Open</v>
      </c>
      <c r="Z150" t="str">
        <f t="shared" si="17"/>
        <v>Mar-2026</v>
      </c>
      <c r="AA150" t="str">
        <f t="shared" si="18"/>
        <v>Q1 2026</v>
      </c>
      <c r="AB150" s="4">
        <f t="shared" ca="1" si="19"/>
        <v>100</v>
      </c>
      <c r="AC150" t="str">
        <f t="shared" si="20"/>
        <v>High</v>
      </c>
    </row>
    <row r="151" spans="1:29">
      <c r="A151" t="s">
        <v>782</v>
      </c>
      <c r="B151" s="2">
        <v>46117</v>
      </c>
      <c r="C151" t="s">
        <v>783</v>
      </c>
      <c r="D151" t="s">
        <v>784</v>
      </c>
      <c r="E151" t="s">
        <v>785</v>
      </c>
      <c r="F151" t="s">
        <v>786</v>
      </c>
      <c r="G151" t="s">
        <v>34</v>
      </c>
      <c r="H151" t="s">
        <v>35</v>
      </c>
      <c r="I151" t="s">
        <v>148</v>
      </c>
      <c r="J151" t="s">
        <v>99</v>
      </c>
      <c r="K151" t="s">
        <v>51</v>
      </c>
      <c r="L151" t="s">
        <v>52</v>
      </c>
      <c r="M151" t="s">
        <v>82</v>
      </c>
      <c r="N151" t="s">
        <v>83</v>
      </c>
      <c r="O151" s="3">
        <v>605000</v>
      </c>
      <c r="P151" s="4">
        <v>5</v>
      </c>
      <c r="Q151" s="2">
        <v>46146</v>
      </c>
      <c r="R151" s="2">
        <v>46181</v>
      </c>
      <c r="S151" s="2">
        <v>46136</v>
      </c>
      <c r="T151" s="2"/>
      <c r="U151" t="str">
        <f t="shared" si="14"/>
        <v>No</v>
      </c>
      <c r="W1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" t="str">
        <f t="shared" ca="1" si="15"/>
        <v>Overdue</v>
      </c>
      <c r="Y151" t="str">
        <f t="shared" si="16"/>
        <v>Open</v>
      </c>
      <c r="Z151" t="str">
        <f t="shared" si="17"/>
        <v>Apr-2026</v>
      </c>
      <c r="AA151" t="str">
        <f t="shared" si="18"/>
        <v>Q2 2026</v>
      </c>
      <c r="AB151" s="4">
        <f t="shared" ca="1" si="19"/>
        <v>82</v>
      </c>
      <c r="AC151" t="str">
        <f t="shared" si="20"/>
        <v>High</v>
      </c>
    </row>
    <row r="152" spans="1:29">
      <c r="A152" t="s">
        <v>787</v>
      </c>
      <c r="B152" s="2">
        <v>45666</v>
      </c>
      <c r="C152" t="s">
        <v>788</v>
      </c>
      <c r="D152" t="s">
        <v>684</v>
      </c>
      <c r="E152" t="s">
        <v>789</v>
      </c>
      <c r="F152" t="s">
        <v>790</v>
      </c>
      <c r="G152" t="s">
        <v>34</v>
      </c>
      <c r="H152" t="s">
        <v>238</v>
      </c>
      <c r="I152" t="s">
        <v>141</v>
      </c>
      <c r="J152" t="s">
        <v>99</v>
      </c>
      <c r="K152" t="s">
        <v>38</v>
      </c>
      <c r="L152" t="s">
        <v>142</v>
      </c>
      <c r="M152" t="s">
        <v>40</v>
      </c>
      <c r="N152" t="s">
        <v>41</v>
      </c>
      <c r="O152" s="3">
        <v>595000</v>
      </c>
      <c r="P152" s="4">
        <v>100</v>
      </c>
      <c r="Q152" s="2">
        <v>45740</v>
      </c>
      <c r="R152" s="2"/>
      <c r="S152" s="2">
        <v>45667</v>
      </c>
      <c r="T152" s="2">
        <v>45740</v>
      </c>
      <c r="U152" t="str">
        <f t="shared" si="14"/>
        <v>Yes</v>
      </c>
      <c r="W15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74</v>
      </c>
      <c r="X152" t="str">
        <f t="shared" ca="1" si="15"/>
        <v>Closed</v>
      </c>
      <c r="Y152" t="str">
        <f t="shared" si="16"/>
        <v>Closed</v>
      </c>
      <c r="Z152" t="str">
        <f t="shared" si="17"/>
        <v>Jan-2025</v>
      </c>
      <c r="AA152" t="str">
        <f t="shared" si="18"/>
        <v>Q1 2025</v>
      </c>
      <c r="AB152" s="4">
        <f t="shared" ca="1" si="19"/>
        <v>533</v>
      </c>
      <c r="AC152" t="str">
        <f t="shared" si="20"/>
        <v>High</v>
      </c>
    </row>
    <row r="153" spans="1:29">
      <c r="A153" t="s">
        <v>791</v>
      </c>
      <c r="B153" s="2">
        <v>45786</v>
      </c>
      <c r="C153" t="s">
        <v>792</v>
      </c>
      <c r="D153" t="s">
        <v>352</v>
      </c>
      <c r="E153" t="s">
        <v>793</v>
      </c>
      <c r="F153" t="s">
        <v>794</v>
      </c>
      <c r="G153" t="s">
        <v>69</v>
      </c>
      <c r="H153" t="s">
        <v>270</v>
      </c>
      <c r="I153" t="s">
        <v>123</v>
      </c>
      <c r="J153" t="s">
        <v>37</v>
      </c>
      <c r="K153" t="s">
        <v>71</v>
      </c>
      <c r="L153" t="s">
        <v>132</v>
      </c>
      <c r="M153" t="s">
        <v>40</v>
      </c>
      <c r="N153" t="s">
        <v>41</v>
      </c>
      <c r="O153" s="3">
        <v>80000</v>
      </c>
      <c r="P153" s="4">
        <v>100</v>
      </c>
      <c r="Q153" s="2">
        <v>45817</v>
      </c>
      <c r="R153" s="2"/>
      <c r="S153" s="2">
        <v>45799</v>
      </c>
      <c r="T153" s="2">
        <v>45817</v>
      </c>
      <c r="U153" t="str">
        <f t="shared" si="14"/>
        <v>Yes</v>
      </c>
      <c r="W15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53" t="str">
        <f t="shared" ca="1" si="15"/>
        <v>Closed</v>
      </c>
      <c r="Y153" t="str">
        <f t="shared" si="16"/>
        <v>Closed</v>
      </c>
      <c r="Z153" t="str">
        <f t="shared" si="17"/>
        <v>May-2025</v>
      </c>
      <c r="AA153" t="str">
        <f t="shared" si="18"/>
        <v>Q2 2025</v>
      </c>
      <c r="AB153" s="4">
        <f t="shared" ca="1" si="19"/>
        <v>413</v>
      </c>
      <c r="AC153" t="str">
        <f t="shared" si="20"/>
        <v>Low</v>
      </c>
    </row>
    <row r="154" spans="1:29">
      <c r="A154" t="s">
        <v>795</v>
      </c>
      <c r="B154" s="2">
        <v>45841</v>
      </c>
      <c r="C154" t="s">
        <v>796</v>
      </c>
      <c r="D154" t="s">
        <v>797</v>
      </c>
      <c r="E154" t="s">
        <v>798</v>
      </c>
      <c r="F154" t="s">
        <v>799</v>
      </c>
      <c r="G154" t="s">
        <v>69</v>
      </c>
      <c r="H154" t="s">
        <v>312</v>
      </c>
      <c r="I154" t="s">
        <v>148</v>
      </c>
      <c r="J154" t="s">
        <v>50</v>
      </c>
      <c r="K154" t="s">
        <v>100</v>
      </c>
      <c r="L154" t="s">
        <v>115</v>
      </c>
      <c r="M154" t="s">
        <v>82</v>
      </c>
      <c r="N154" t="s">
        <v>83</v>
      </c>
      <c r="O154" s="3">
        <v>465000</v>
      </c>
      <c r="P154" s="4">
        <v>10</v>
      </c>
      <c r="Q154" s="2">
        <v>45902</v>
      </c>
      <c r="R154" s="2">
        <v>46166</v>
      </c>
      <c r="S154" s="2">
        <v>45863</v>
      </c>
      <c r="T154" s="2"/>
      <c r="U154" t="str">
        <f t="shared" si="14"/>
        <v>No</v>
      </c>
      <c r="W1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" t="str">
        <f t="shared" ca="1" si="15"/>
        <v>Overdue</v>
      </c>
      <c r="Y154" t="str">
        <f t="shared" si="16"/>
        <v>Open</v>
      </c>
      <c r="Z154" t="str">
        <f t="shared" si="17"/>
        <v>Jul-2025</v>
      </c>
      <c r="AA154" t="str">
        <f t="shared" si="18"/>
        <v>Q3 2025</v>
      </c>
      <c r="AB154" s="4">
        <f t="shared" ca="1" si="19"/>
        <v>358</v>
      </c>
      <c r="AC154" t="str">
        <f t="shared" si="20"/>
        <v>High</v>
      </c>
    </row>
    <row r="155" spans="1:29">
      <c r="A155" t="s">
        <v>800</v>
      </c>
      <c r="B155" s="2">
        <v>45956</v>
      </c>
      <c r="C155" t="s">
        <v>801</v>
      </c>
      <c r="D155" t="s">
        <v>282</v>
      </c>
      <c r="E155" t="s">
        <v>802</v>
      </c>
      <c r="F155" t="s">
        <v>803</v>
      </c>
      <c r="G155" t="s">
        <v>47</v>
      </c>
      <c r="H155" t="s">
        <v>122</v>
      </c>
      <c r="I155" t="s">
        <v>148</v>
      </c>
      <c r="J155" t="s">
        <v>99</v>
      </c>
      <c r="K155" t="s">
        <v>51</v>
      </c>
      <c r="L155" t="s">
        <v>239</v>
      </c>
      <c r="M155" t="s">
        <v>116</v>
      </c>
      <c r="N155" t="s">
        <v>54</v>
      </c>
      <c r="O155" s="3">
        <v>470000</v>
      </c>
      <c r="P155" s="4">
        <v>25</v>
      </c>
      <c r="Q155" s="2">
        <v>46001</v>
      </c>
      <c r="R155" s="2">
        <v>46210</v>
      </c>
      <c r="S155" s="2">
        <v>45972</v>
      </c>
      <c r="T155" s="2"/>
      <c r="U155" t="str">
        <f t="shared" si="14"/>
        <v>No</v>
      </c>
      <c r="W1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" t="str">
        <f t="shared" ca="1" si="15"/>
        <v>Due/Open</v>
      </c>
      <c r="Y155" t="str">
        <f t="shared" si="16"/>
        <v>Open</v>
      </c>
      <c r="Z155" t="str">
        <f t="shared" si="17"/>
        <v>Oct-2025</v>
      </c>
      <c r="AA155" t="str">
        <f t="shared" si="18"/>
        <v>Q4 2025</v>
      </c>
      <c r="AB155" s="4">
        <f t="shared" ca="1" si="19"/>
        <v>243</v>
      </c>
      <c r="AC155" t="str">
        <f t="shared" si="20"/>
        <v>High</v>
      </c>
    </row>
    <row r="156" spans="1:29">
      <c r="A156" t="s">
        <v>804</v>
      </c>
      <c r="B156" s="2">
        <v>45734</v>
      </c>
      <c r="C156" t="s">
        <v>805</v>
      </c>
      <c r="D156" t="s">
        <v>526</v>
      </c>
      <c r="E156" t="s">
        <v>806</v>
      </c>
      <c r="F156" t="s">
        <v>807</v>
      </c>
      <c r="G156" t="s">
        <v>47</v>
      </c>
      <c r="H156" t="s">
        <v>113</v>
      </c>
      <c r="I156" t="s">
        <v>49</v>
      </c>
      <c r="J156" t="s">
        <v>124</v>
      </c>
      <c r="K156" t="s">
        <v>100</v>
      </c>
      <c r="L156" t="s">
        <v>52</v>
      </c>
      <c r="M156" t="s">
        <v>90</v>
      </c>
      <c r="N156" t="s">
        <v>91</v>
      </c>
      <c r="O156" s="3">
        <v>330000</v>
      </c>
      <c r="P156" s="4">
        <v>55</v>
      </c>
      <c r="Q156" s="2">
        <v>45761</v>
      </c>
      <c r="R156" s="2">
        <v>46241</v>
      </c>
      <c r="S156" s="2">
        <v>45754</v>
      </c>
      <c r="T156" s="2"/>
      <c r="U156" t="str">
        <f t="shared" si="14"/>
        <v>No</v>
      </c>
      <c r="W1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" t="str">
        <f t="shared" ca="1" si="15"/>
        <v>Due/Open</v>
      </c>
      <c r="Y156" t="str">
        <f t="shared" si="16"/>
        <v>Open</v>
      </c>
      <c r="Z156" t="str">
        <f t="shared" si="17"/>
        <v>Mar-2025</v>
      </c>
      <c r="AA156" t="str">
        <f t="shared" si="18"/>
        <v>Q1 2025</v>
      </c>
      <c r="AB156" s="4">
        <f t="shared" ca="1" si="19"/>
        <v>465</v>
      </c>
      <c r="AC156" t="str">
        <f t="shared" si="20"/>
        <v>High</v>
      </c>
    </row>
    <row r="157" spans="1:29">
      <c r="A157" t="s">
        <v>808</v>
      </c>
      <c r="B157" s="2">
        <v>46152</v>
      </c>
      <c r="C157" t="s">
        <v>809</v>
      </c>
      <c r="D157" t="s">
        <v>242</v>
      </c>
      <c r="E157" t="s">
        <v>810</v>
      </c>
      <c r="F157" t="s">
        <v>811</v>
      </c>
      <c r="G157" t="s">
        <v>179</v>
      </c>
      <c r="H157" t="s">
        <v>180</v>
      </c>
      <c r="I157" t="s">
        <v>123</v>
      </c>
      <c r="J157" t="s">
        <v>124</v>
      </c>
      <c r="K157" t="s">
        <v>71</v>
      </c>
      <c r="L157" t="s">
        <v>52</v>
      </c>
      <c r="M157" t="s">
        <v>116</v>
      </c>
      <c r="N157" t="s">
        <v>54</v>
      </c>
      <c r="O157" s="3">
        <v>245000</v>
      </c>
      <c r="P157" s="4">
        <v>25</v>
      </c>
      <c r="Q157" s="2">
        <v>46210</v>
      </c>
      <c r="R157" s="2">
        <v>46186</v>
      </c>
      <c r="S157" s="2">
        <v>46155</v>
      </c>
      <c r="T157" s="2"/>
      <c r="U157" t="str">
        <f t="shared" si="14"/>
        <v>No</v>
      </c>
      <c r="W1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" t="str">
        <f t="shared" ca="1" si="15"/>
        <v>Overdue</v>
      </c>
      <c r="Y157" t="str">
        <f t="shared" si="16"/>
        <v>Open</v>
      </c>
      <c r="Z157" t="str">
        <f t="shared" si="17"/>
        <v>May-2026</v>
      </c>
      <c r="AA157" t="str">
        <f t="shared" si="18"/>
        <v>Q2 2026</v>
      </c>
      <c r="AB157" s="4">
        <f t="shared" ca="1" si="19"/>
        <v>47</v>
      </c>
      <c r="AC157" t="str">
        <f t="shared" si="20"/>
        <v>Medium</v>
      </c>
    </row>
    <row r="158" spans="1:29">
      <c r="A158" t="s">
        <v>812</v>
      </c>
      <c r="B158" s="2">
        <v>45894</v>
      </c>
      <c r="C158" t="s">
        <v>771</v>
      </c>
      <c r="D158" t="s">
        <v>715</v>
      </c>
      <c r="E158" t="s">
        <v>813</v>
      </c>
      <c r="F158" t="s">
        <v>814</v>
      </c>
      <c r="G158" t="s">
        <v>34</v>
      </c>
      <c r="H158" t="s">
        <v>446</v>
      </c>
      <c r="I158" t="s">
        <v>148</v>
      </c>
      <c r="J158" t="s">
        <v>37</v>
      </c>
      <c r="K158" t="s">
        <v>194</v>
      </c>
      <c r="L158" t="s">
        <v>72</v>
      </c>
      <c r="M158" t="s">
        <v>133</v>
      </c>
      <c r="N158" t="s">
        <v>134</v>
      </c>
      <c r="O158" s="3">
        <v>135000</v>
      </c>
      <c r="P158" s="4">
        <v>0</v>
      </c>
      <c r="Q158" s="2">
        <v>45933</v>
      </c>
      <c r="R158" s="2"/>
      <c r="S158" s="2">
        <v>45908</v>
      </c>
      <c r="T158" s="2">
        <v>45933</v>
      </c>
      <c r="U158" t="str">
        <f t="shared" si="14"/>
        <v>No</v>
      </c>
      <c r="V158" t="s">
        <v>211</v>
      </c>
      <c r="W15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39</v>
      </c>
      <c r="X158" t="str">
        <f t="shared" ca="1" si="15"/>
        <v>Closed</v>
      </c>
      <c r="Y158" t="str">
        <f t="shared" si="16"/>
        <v>Closed</v>
      </c>
      <c r="Z158" t="str">
        <f t="shared" si="17"/>
        <v>Aug-2025</v>
      </c>
      <c r="AA158" t="str">
        <f t="shared" si="18"/>
        <v>Q3 2025</v>
      </c>
      <c r="AB158" s="4">
        <f t="shared" ca="1" si="19"/>
        <v>305</v>
      </c>
      <c r="AC158" t="str">
        <f t="shared" si="20"/>
        <v>Medium</v>
      </c>
    </row>
    <row r="159" spans="1:29">
      <c r="A159" t="s">
        <v>815</v>
      </c>
      <c r="B159" s="2">
        <v>45815</v>
      </c>
      <c r="C159" t="s">
        <v>427</v>
      </c>
      <c r="D159" t="s">
        <v>565</v>
      </c>
      <c r="E159" t="s">
        <v>816</v>
      </c>
      <c r="F159" t="s">
        <v>817</v>
      </c>
      <c r="G159" t="s">
        <v>79</v>
      </c>
      <c r="H159" t="s">
        <v>228</v>
      </c>
      <c r="I159" t="s">
        <v>98</v>
      </c>
      <c r="J159" t="s">
        <v>37</v>
      </c>
      <c r="K159" t="s">
        <v>194</v>
      </c>
      <c r="L159" t="s">
        <v>52</v>
      </c>
      <c r="M159" t="s">
        <v>82</v>
      </c>
      <c r="N159" t="s">
        <v>83</v>
      </c>
      <c r="O159" s="3">
        <v>70000</v>
      </c>
      <c r="P159" s="4">
        <v>10</v>
      </c>
      <c r="Q159" s="2">
        <v>45884</v>
      </c>
      <c r="R159" s="2">
        <v>46213</v>
      </c>
      <c r="S159" s="2">
        <v>45822</v>
      </c>
      <c r="T159" s="2"/>
      <c r="U159" t="str">
        <f t="shared" si="14"/>
        <v>No</v>
      </c>
      <c r="W1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" t="str">
        <f t="shared" ca="1" si="15"/>
        <v>Due/Open</v>
      </c>
      <c r="Y159" t="str">
        <f t="shared" si="16"/>
        <v>Open</v>
      </c>
      <c r="Z159" t="str">
        <f t="shared" si="17"/>
        <v>Jun-2025</v>
      </c>
      <c r="AA159" t="str">
        <f t="shared" si="18"/>
        <v>Q2 2025</v>
      </c>
      <c r="AB159" s="4">
        <f t="shared" ca="1" si="19"/>
        <v>384</v>
      </c>
      <c r="AC159" t="str">
        <f t="shared" si="20"/>
        <v>Low</v>
      </c>
    </row>
    <row r="160" spans="1:29">
      <c r="A160" t="s">
        <v>818</v>
      </c>
      <c r="B160" s="2">
        <v>45730</v>
      </c>
      <c r="C160" t="s">
        <v>819</v>
      </c>
      <c r="D160" t="s">
        <v>257</v>
      </c>
      <c r="E160" t="s">
        <v>820</v>
      </c>
      <c r="F160" t="s">
        <v>821</v>
      </c>
      <c r="G160" t="s">
        <v>34</v>
      </c>
      <c r="H160" t="s">
        <v>160</v>
      </c>
      <c r="I160" t="s">
        <v>187</v>
      </c>
      <c r="J160" t="s">
        <v>131</v>
      </c>
      <c r="K160" t="s">
        <v>194</v>
      </c>
      <c r="L160" t="s">
        <v>52</v>
      </c>
      <c r="M160" t="s">
        <v>116</v>
      </c>
      <c r="N160" t="s">
        <v>54</v>
      </c>
      <c r="O160" s="3">
        <v>310000</v>
      </c>
      <c r="P160" s="4">
        <v>20</v>
      </c>
      <c r="Q160" s="2">
        <v>45786</v>
      </c>
      <c r="R160" s="2">
        <v>46204</v>
      </c>
      <c r="S160" s="2">
        <v>45757</v>
      </c>
      <c r="T160" s="2"/>
      <c r="U160" t="str">
        <f t="shared" si="14"/>
        <v>No</v>
      </c>
      <c r="W1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" t="str">
        <f t="shared" ca="1" si="15"/>
        <v>Due/Open</v>
      </c>
      <c r="Y160" t="str">
        <f t="shared" si="16"/>
        <v>Open</v>
      </c>
      <c r="Z160" t="str">
        <f t="shared" si="17"/>
        <v>Mar-2025</v>
      </c>
      <c r="AA160" t="str">
        <f t="shared" si="18"/>
        <v>Q1 2025</v>
      </c>
      <c r="AB160" s="4">
        <f t="shared" ca="1" si="19"/>
        <v>469</v>
      </c>
      <c r="AC160" t="str">
        <f t="shared" si="20"/>
        <v>High</v>
      </c>
    </row>
    <row r="161" spans="1:29">
      <c r="A161" t="s">
        <v>822</v>
      </c>
      <c r="B161" s="2">
        <v>45742</v>
      </c>
      <c r="C161" t="s">
        <v>626</v>
      </c>
      <c r="D161" t="s">
        <v>110</v>
      </c>
      <c r="E161" t="s">
        <v>823</v>
      </c>
      <c r="F161" t="s">
        <v>824</v>
      </c>
      <c r="G161" t="s">
        <v>69</v>
      </c>
      <c r="H161" t="s">
        <v>285</v>
      </c>
      <c r="I161" t="s">
        <v>49</v>
      </c>
      <c r="J161" t="s">
        <v>37</v>
      </c>
      <c r="K161" t="s">
        <v>71</v>
      </c>
      <c r="L161" t="s">
        <v>39</v>
      </c>
      <c r="M161" t="s">
        <v>40</v>
      </c>
      <c r="N161" t="s">
        <v>41</v>
      </c>
      <c r="O161" s="3">
        <v>175000</v>
      </c>
      <c r="P161" s="4">
        <v>100</v>
      </c>
      <c r="Q161" s="2">
        <v>45802</v>
      </c>
      <c r="R161" s="2"/>
      <c r="S161" s="2">
        <v>45744</v>
      </c>
      <c r="T161" s="2">
        <v>45802</v>
      </c>
      <c r="U161" t="str">
        <f t="shared" si="14"/>
        <v>Yes</v>
      </c>
      <c r="W16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61" t="str">
        <f t="shared" ca="1" si="15"/>
        <v>Closed</v>
      </c>
      <c r="Y161" t="str">
        <f t="shared" si="16"/>
        <v>Closed</v>
      </c>
      <c r="Z161" t="str">
        <f t="shared" si="17"/>
        <v>Mar-2025</v>
      </c>
      <c r="AA161" t="str">
        <f t="shared" si="18"/>
        <v>Q1 2025</v>
      </c>
      <c r="AB161" s="4">
        <f t="shared" ca="1" si="19"/>
        <v>457</v>
      </c>
      <c r="AC161" t="str">
        <f t="shared" si="20"/>
        <v>Medium</v>
      </c>
    </row>
    <row r="162" spans="1:29">
      <c r="A162" t="s">
        <v>825</v>
      </c>
      <c r="B162" s="2">
        <v>45992</v>
      </c>
      <c r="C162" t="s">
        <v>826</v>
      </c>
      <c r="D162" t="s">
        <v>797</v>
      </c>
      <c r="E162" t="s">
        <v>827</v>
      </c>
      <c r="F162" t="s">
        <v>828</v>
      </c>
      <c r="G162" t="s">
        <v>79</v>
      </c>
      <c r="H162" t="s">
        <v>217</v>
      </c>
      <c r="I162" t="s">
        <v>141</v>
      </c>
      <c r="J162" t="s">
        <v>62</v>
      </c>
      <c r="K162" t="s">
        <v>100</v>
      </c>
      <c r="L162" t="s">
        <v>239</v>
      </c>
      <c r="M162" t="s">
        <v>116</v>
      </c>
      <c r="N162" t="s">
        <v>54</v>
      </c>
      <c r="O162" s="3">
        <v>245000</v>
      </c>
      <c r="P162" s="4">
        <v>20</v>
      </c>
      <c r="Q162" s="2">
        <v>46059</v>
      </c>
      <c r="R162" s="2">
        <v>46206</v>
      </c>
      <c r="S162" s="2">
        <v>46015</v>
      </c>
      <c r="T162" s="2"/>
      <c r="U162" t="str">
        <f t="shared" si="14"/>
        <v>No</v>
      </c>
      <c r="W1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" t="str">
        <f t="shared" ca="1" si="15"/>
        <v>Due/Open</v>
      </c>
      <c r="Y162" t="str">
        <f t="shared" si="16"/>
        <v>Open</v>
      </c>
      <c r="Z162" t="str">
        <f t="shared" si="17"/>
        <v>Dec-2025</v>
      </c>
      <c r="AA162" t="str">
        <f t="shared" si="18"/>
        <v>Q4 2025</v>
      </c>
      <c r="AB162" s="4">
        <f t="shared" ca="1" si="19"/>
        <v>207</v>
      </c>
      <c r="AC162" t="str">
        <f t="shared" si="20"/>
        <v>Medium</v>
      </c>
    </row>
    <row r="163" spans="1:29">
      <c r="A163" t="s">
        <v>829</v>
      </c>
      <c r="B163" s="2">
        <v>45824</v>
      </c>
      <c r="C163" t="s">
        <v>830</v>
      </c>
      <c r="D163" t="s">
        <v>831</v>
      </c>
      <c r="E163" t="s">
        <v>832</v>
      </c>
      <c r="F163" t="s">
        <v>833</v>
      </c>
      <c r="G163" t="s">
        <v>69</v>
      </c>
      <c r="H163" t="s">
        <v>200</v>
      </c>
      <c r="I163" t="s">
        <v>36</v>
      </c>
      <c r="J163" t="s">
        <v>50</v>
      </c>
      <c r="K163" t="s">
        <v>51</v>
      </c>
      <c r="L163" t="s">
        <v>115</v>
      </c>
      <c r="M163" t="s">
        <v>90</v>
      </c>
      <c r="N163" t="s">
        <v>91</v>
      </c>
      <c r="O163" s="3">
        <v>125000</v>
      </c>
      <c r="P163" s="4">
        <v>55</v>
      </c>
      <c r="Q163" s="2">
        <v>45917</v>
      </c>
      <c r="R163" s="2">
        <v>46239</v>
      </c>
      <c r="S163" s="2">
        <v>45835</v>
      </c>
      <c r="T163" s="2"/>
      <c r="U163" t="str">
        <f t="shared" si="14"/>
        <v>No</v>
      </c>
      <c r="W1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" t="str">
        <f t="shared" ca="1" si="15"/>
        <v>Due/Open</v>
      </c>
      <c r="Y163" t="str">
        <f t="shared" si="16"/>
        <v>Open</v>
      </c>
      <c r="Z163" t="str">
        <f t="shared" si="17"/>
        <v>Jun-2025</v>
      </c>
      <c r="AA163" t="str">
        <f t="shared" si="18"/>
        <v>Q2 2025</v>
      </c>
      <c r="AB163" s="4">
        <f t="shared" ca="1" si="19"/>
        <v>375</v>
      </c>
      <c r="AC163" t="str">
        <f t="shared" si="20"/>
        <v>Medium</v>
      </c>
    </row>
    <row r="164" spans="1:29">
      <c r="A164" t="s">
        <v>834</v>
      </c>
      <c r="B164" s="2">
        <v>45929</v>
      </c>
      <c r="C164" t="s">
        <v>835</v>
      </c>
      <c r="D164" t="s">
        <v>151</v>
      </c>
      <c r="E164" t="s">
        <v>836</v>
      </c>
      <c r="F164" t="s">
        <v>837</v>
      </c>
      <c r="G164" t="s">
        <v>47</v>
      </c>
      <c r="H164" t="s">
        <v>89</v>
      </c>
      <c r="I164" t="s">
        <v>123</v>
      </c>
      <c r="J164" t="s">
        <v>37</v>
      </c>
      <c r="K164" t="s">
        <v>51</v>
      </c>
      <c r="L164" t="s">
        <v>142</v>
      </c>
      <c r="M164" t="s">
        <v>73</v>
      </c>
      <c r="N164" t="s">
        <v>73</v>
      </c>
      <c r="O164" s="3">
        <v>115000</v>
      </c>
      <c r="P164" s="4">
        <v>80</v>
      </c>
      <c r="Q164" s="2">
        <v>45963</v>
      </c>
      <c r="R164" s="2">
        <v>46182</v>
      </c>
      <c r="S164" s="2">
        <v>45958</v>
      </c>
      <c r="T164" s="2"/>
      <c r="U164" t="str">
        <f t="shared" si="14"/>
        <v>No</v>
      </c>
      <c r="W1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" t="str">
        <f t="shared" ca="1" si="15"/>
        <v>Overdue</v>
      </c>
      <c r="Y164" t="str">
        <f t="shared" si="16"/>
        <v>Open</v>
      </c>
      <c r="Z164" t="str">
        <f t="shared" si="17"/>
        <v>Sep-2025</v>
      </c>
      <c r="AA164" t="str">
        <f t="shared" si="18"/>
        <v>Q3 2025</v>
      </c>
      <c r="AB164" s="4">
        <f t="shared" ca="1" si="19"/>
        <v>270</v>
      </c>
      <c r="AC164" t="str">
        <f t="shared" si="20"/>
        <v>Low</v>
      </c>
    </row>
    <row r="165" spans="1:29">
      <c r="A165" t="s">
        <v>838</v>
      </c>
      <c r="B165" s="2">
        <v>45760</v>
      </c>
      <c r="C165" t="s">
        <v>839</v>
      </c>
      <c r="D165" t="s">
        <v>214</v>
      </c>
      <c r="E165" t="s">
        <v>840</v>
      </c>
      <c r="F165" t="s">
        <v>841</v>
      </c>
      <c r="G165" t="s">
        <v>47</v>
      </c>
      <c r="H165" t="s">
        <v>113</v>
      </c>
      <c r="I165" t="s">
        <v>98</v>
      </c>
      <c r="J165" t="s">
        <v>99</v>
      </c>
      <c r="K165" t="s">
        <v>114</v>
      </c>
      <c r="L165" t="s">
        <v>63</v>
      </c>
      <c r="M165" t="s">
        <v>166</v>
      </c>
      <c r="N165" t="s">
        <v>167</v>
      </c>
      <c r="O165" s="3">
        <v>695000</v>
      </c>
      <c r="P165" s="4">
        <v>65</v>
      </c>
      <c r="Q165" s="2">
        <v>45792</v>
      </c>
      <c r="R165" s="2">
        <v>46199</v>
      </c>
      <c r="S165" s="2">
        <v>45766</v>
      </c>
      <c r="T165" s="2"/>
      <c r="U165" t="str">
        <f t="shared" si="14"/>
        <v>No</v>
      </c>
      <c r="W1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" t="str">
        <f t="shared" ca="1" si="15"/>
        <v>Due/Open</v>
      </c>
      <c r="Y165" t="str">
        <f t="shared" si="16"/>
        <v>Open</v>
      </c>
      <c r="Z165" t="str">
        <f t="shared" si="17"/>
        <v>Apr-2025</v>
      </c>
      <c r="AA165" t="str">
        <f t="shared" si="18"/>
        <v>Q2 2025</v>
      </c>
      <c r="AB165" s="4">
        <f t="shared" ca="1" si="19"/>
        <v>439</v>
      </c>
      <c r="AC165" t="str">
        <f t="shared" si="20"/>
        <v>High</v>
      </c>
    </row>
    <row r="166" spans="1:29">
      <c r="A166" t="s">
        <v>842</v>
      </c>
      <c r="B166" s="2">
        <v>46113</v>
      </c>
      <c r="C166" t="s">
        <v>843</v>
      </c>
      <c r="D166" t="s">
        <v>443</v>
      </c>
      <c r="E166" t="s">
        <v>844</v>
      </c>
      <c r="F166" t="s">
        <v>845</v>
      </c>
      <c r="G166" t="s">
        <v>79</v>
      </c>
      <c r="H166" t="s">
        <v>228</v>
      </c>
      <c r="I166" t="s">
        <v>36</v>
      </c>
      <c r="J166" t="s">
        <v>62</v>
      </c>
      <c r="K166" t="s">
        <v>51</v>
      </c>
      <c r="L166" t="s">
        <v>63</v>
      </c>
      <c r="M166" t="s">
        <v>166</v>
      </c>
      <c r="N166" t="s">
        <v>167</v>
      </c>
      <c r="O166" s="3">
        <v>100000</v>
      </c>
      <c r="P166" s="4">
        <v>60</v>
      </c>
      <c r="Q166" s="2">
        <v>46194</v>
      </c>
      <c r="R166" s="2">
        <v>46218</v>
      </c>
      <c r="S166" s="2">
        <v>46132</v>
      </c>
      <c r="T166" s="2"/>
      <c r="U166" t="str">
        <f t="shared" si="14"/>
        <v>No</v>
      </c>
      <c r="W1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" t="str">
        <f t="shared" ca="1" si="15"/>
        <v>Due/Open</v>
      </c>
      <c r="Y166" t="str">
        <f t="shared" si="16"/>
        <v>Open</v>
      </c>
      <c r="Z166" t="str">
        <f t="shared" si="17"/>
        <v>Apr-2026</v>
      </c>
      <c r="AA166" t="str">
        <f t="shared" si="18"/>
        <v>Q2 2026</v>
      </c>
      <c r="AB166" s="4">
        <f t="shared" ca="1" si="19"/>
        <v>86</v>
      </c>
      <c r="AC166" t="str">
        <f t="shared" si="20"/>
        <v>Low</v>
      </c>
    </row>
    <row r="167" spans="1:29">
      <c r="A167" t="s">
        <v>846</v>
      </c>
      <c r="B167" s="2">
        <v>46056</v>
      </c>
      <c r="C167" t="s">
        <v>847</v>
      </c>
      <c r="D167" t="s">
        <v>342</v>
      </c>
      <c r="E167" t="s">
        <v>848</v>
      </c>
      <c r="F167" t="s">
        <v>849</v>
      </c>
      <c r="G167" t="s">
        <v>34</v>
      </c>
      <c r="H167" t="s">
        <v>160</v>
      </c>
      <c r="I167" t="s">
        <v>36</v>
      </c>
      <c r="J167" t="s">
        <v>99</v>
      </c>
      <c r="K167" t="s">
        <v>114</v>
      </c>
      <c r="L167" t="s">
        <v>142</v>
      </c>
      <c r="M167" t="s">
        <v>90</v>
      </c>
      <c r="N167" t="s">
        <v>91</v>
      </c>
      <c r="O167" s="3">
        <v>555000</v>
      </c>
      <c r="P167" s="4">
        <v>40</v>
      </c>
      <c r="Q167" s="2">
        <v>46115</v>
      </c>
      <c r="R167" s="2">
        <v>46229</v>
      </c>
      <c r="S167" s="2">
        <v>46074</v>
      </c>
      <c r="T167" s="2"/>
      <c r="U167" t="str">
        <f t="shared" si="14"/>
        <v>No</v>
      </c>
      <c r="W1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" t="str">
        <f t="shared" ca="1" si="15"/>
        <v>Due/Open</v>
      </c>
      <c r="Y167" t="str">
        <f t="shared" si="16"/>
        <v>Open</v>
      </c>
      <c r="Z167" t="str">
        <f t="shared" si="17"/>
        <v>Feb-2026</v>
      </c>
      <c r="AA167" t="str">
        <f t="shared" si="18"/>
        <v>Q1 2026</v>
      </c>
      <c r="AB167" s="4">
        <f t="shared" ca="1" si="19"/>
        <v>143</v>
      </c>
      <c r="AC167" t="str">
        <f t="shared" si="20"/>
        <v>High</v>
      </c>
    </row>
    <row r="168" spans="1:29">
      <c r="A168" t="s">
        <v>850</v>
      </c>
      <c r="B168" s="2">
        <v>46060</v>
      </c>
      <c r="C168" t="s">
        <v>851</v>
      </c>
      <c r="D168" t="s">
        <v>852</v>
      </c>
      <c r="E168" t="s">
        <v>853</v>
      </c>
      <c r="F168" t="s">
        <v>854</v>
      </c>
      <c r="G168" t="s">
        <v>47</v>
      </c>
      <c r="H168" t="s">
        <v>113</v>
      </c>
      <c r="I168" t="s">
        <v>98</v>
      </c>
      <c r="J168" t="s">
        <v>50</v>
      </c>
      <c r="K168" t="s">
        <v>71</v>
      </c>
      <c r="L168" t="s">
        <v>239</v>
      </c>
      <c r="M168" t="s">
        <v>40</v>
      </c>
      <c r="N168" t="s">
        <v>41</v>
      </c>
      <c r="O168" s="3">
        <v>260000</v>
      </c>
      <c r="P168" s="4">
        <v>100</v>
      </c>
      <c r="Q168" s="2">
        <v>46123</v>
      </c>
      <c r="R168" s="2"/>
      <c r="S168" s="2">
        <v>46073</v>
      </c>
      <c r="T168" s="2">
        <v>46123</v>
      </c>
      <c r="U168" t="str">
        <f t="shared" si="14"/>
        <v>Yes</v>
      </c>
      <c r="W1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168" t="str">
        <f t="shared" ca="1" si="15"/>
        <v>Closed</v>
      </c>
      <c r="Y168" t="str">
        <f t="shared" si="16"/>
        <v>Closed</v>
      </c>
      <c r="Z168" t="str">
        <f t="shared" si="17"/>
        <v>Feb-2026</v>
      </c>
      <c r="AA168" t="str">
        <f t="shared" si="18"/>
        <v>Q1 2026</v>
      </c>
      <c r="AB168" s="4">
        <f t="shared" ca="1" si="19"/>
        <v>139</v>
      </c>
      <c r="AC168" t="str">
        <f t="shared" si="20"/>
        <v>Medium</v>
      </c>
    </row>
    <row r="169" spans="1:29">
      <c r="A169" t="s">
        <v>855</v>
      </c>
      <c r="B169" s="2">
        <v>45834</v>
      </c>
      <c r="C169" t="s">
        <v>856</v>
      </c>
      <c r="D169" t="s">
        <v>645</v>
      </c>
      <c r="E169" t="s">
        <v>857</v>
      </c>
      <c r="F169" t="s">
        <v>858</v>
      </c>
      <c r="G169" t="s">
        <v>79</v>
      </c>
      <c r="H169" t="s">
        <v>106</v>
      </c>
      <c r="I169" t="s">
        <v>98</v>
      </c>
      <c r="J169" t="s">
        <v>37</v>
      </c>
      <c r="K169" t="s">
        <v>71</v>
      </c>
      <c r="L169" t="s">
        <v>39</v>
      </c>
      <c r="M169" t="s">
        <v>116</v>
      </c>
      <c r="N169" t="s">
        <v>54</v>
      </c>
      <c r="O169" s="3">
        <v>110000</v>
      </c>
      <c r="P169" s="4">
        <v>15</v>
      </c>
      <c r="Q169" s="2">
        <v>45917</v>
      </c>
      <c r="R169" s="2">
        <v>46216</v>
      </c>
      <c r="S169" s="2">
        <v>45847</v>
      </c>
      <c r="T169" s="2"/>
      <c r="U169" t="str">
        <f t="shared" si="14"/>
        <v>No</v>
      </c>
      <c r="W1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" t="str">
        <f t="shared" ca="1" si="15"/>
        <v>Due/Open</v>
      </c>
      <c r="Y169" t="str">
        <f t="shared" si="16"/>
        <v>Open</v>
      </c>
      <c r="Z169" t="str">
        <f t="shared" si="17"/>
        <v>Jun-2025</v>
      </c>
      <c r="AA169" t="str">
        <f t="shared" si="18"/>
        <v>Q2 2025</v>
      </c>
      <c r="AB169" s="4">
        <f t="shared" ca="1" si="19"/>
        <v>365</v>
      </c>
      <c r="AC169" t="str">
        <f t="shared" si="20"/>
        <v>Low</v>
      </c>
    </row>
    <row r="170" spans="1:29">
      <c r="A170" t="s">
        <v>859</v>
      </c>
      <c r="B170" s="2">
        <v>45676</v>
      </c>
      <c r="C170" t="s">
        <v>860</v>
      </c>
      <c r="D170" t="s">
        <v>547</v>
      </c>
      <c r="E170" t="s">
        <v>861</v>
      </c>
      <c r="F170" t="s">
        <v>862</v>
      </c>
      <c r="G170" t="s">
        <v>179</v>
      </c>
      <c r="H170" t="s">
        <v>318</v>
      </c>
      <c r="I170" t="s">
        <v>187</v>
      </c>
      <c r="J170" t="s">
        <v>37</v>
      </c>
      <c r="K170" t="s">
        <v>114</v>
      </c>
      <c r="L170" t="s">
        <v>81</v>
      </c>
      <c r="M170" t="s">
        <v>82</v>
      </c>
      <c r="N170" t="s">
        <v>83</v>
      </c>
      <c r="O170" s="3">
        <v>160000</v>
      </c>
      <c r="P170" s="4">
        <v>10</v>
      </c>
      <c r="Q170" s="2">
        <v>45734</v>
      </c>
      <c r="R170" s="2">
        <v>46159</v>
      </c>
      <c r="S170" s="2">
        <v>45704</v>
      </c>
      <c r="T170" s="2"/>
      <c r="U170" t="str">
        <f t="shared" si="14"/>
        <v>No</v>
      </c>
      <c r="W1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" t="str">
        <f t="shared" ca="1" si="15"/>
        <v>Overdue</v>
      </c>
      <c r="Y170" t="str">
        <f t="shared" si="16"/>
        <v>Open</v>
      </c>
      <c r="Z170" t="str">
        <f t="shared" si="17"/>
        <v>Jan-2025</v>
      </c>
      <c r="AA170" t="str">
        <f t="shared" si="18"/>
        <v>Q1 2025</v>
      </c>
      <c r="AB170" s="4">
        <f t="shared" ca="1" si="19"/>
        <v>523</v>
      </c>
      <c r="AC170" t="str">
        <f t="shared" si="20"/>
        <v>Medium</v>
      </c>
    </row>
    <row r="171" spans="1:29">
      <c r="A171" t="s">
        <v>863</v>
      </c>
      <c r="B171" s="2">
        <v>45943</v>
      </c>
      <c r="C171" t="s">
        <v>864</v>
      </c>
      <c r="D171" t="s">
        <v>337</v>
      </c>
      <c r="E171" t="s">
        <v>865</v>
      </c>
      <c r="F171" t="s">
        <v>866</v>
      </c>
      <c r="G171" t="s">
        <v>47</v>
      </c>
      <c r="H171" t="s">
        <v>48</v>
      </c>
      <c r="I171" t="s">
        <v>123</v>
      </c>
      <c r="J171" t="s">
        <v>50</v>
      </c>
      <c r="K171" t="s">
        <v>100</v>
      </c>
      <c r="L171" t="s">
        <v>115</v>
      </c>
      <c r="M171" t="s">
        <v>73</v>
      </c>
      <c r="N171" t="s">
        <v>73</v>
      </c>
      <c r="O171" s="3">
        <v>295000</v>
      </c>
      <c r="P171" s="4">
        <v>85</v>
      </c>
      <c r="Q171" s="2">
        <v>45963</v>
      </c>
      <c r="R171" s="2">
        <v>46153</v>
      </c>
      <c r="S171" s="2">
        <v>45968</v>
      </c>
      <c r="T171" s="2"/>
      <c r="U171" t="str">
        <f t="shared" si="14"/>
        <v>No</v>
      </c>
      <c r="W1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" t="str">
        <f t="shared" ca="1" si="15"/>
        <v>Overdue</v>
      </c>
      <c r="Y171" t="str">
        <f t="shared" si="16"/>
        <v>Open</v>
      </c>
      <c r="Z171" t="str">
        <f t="shared" si="17"/>
        <v>Oct-2025</v>
      </c>
      <c r="AA171" t="str">
        <f t="shared" si="18"/>
        <v>Q4 2025</v>
      </c>
      <c r="AB171" s="4">
        <f t="shared" ca="1" si="19"/>
        <v>256</v>
      </c>
      <c r="AC171" t="str">
        <f t="shared" si="20"/>
        <v>Medium</v>
      </c>
    </row>
    <row r="172" spans="1:29">
      <c r="A172" t="s">
        <v>867</v>
      </c>
      <c r="B172" s="2">
        <v>45823</v>
      </c>
      <c r="C172" t="s">
        <v>868</v>
      </c>
      <c r="D172" t="s">
        <v>715</v>
      </c>
      <c r="E172" t="s">
        <v>869</v>
      </c>
      <c r="F172" t="s">
        <v>870</v>
      </c>
      <c r="G172" t="s">
        <v>47</v>
      </c>
      <c r="H172" t="s">
        <v>48</v>
      </c>
      <c r="I172" t="s">
        <v>187</v>
      </c>
      <c r="J172" t="s">
        <v>62</v>
      </c>
      <c r="K172" t="s">
        <v>71</v>
      </c>
      <c r="L172" t="s">
        <v>81</v>
      </c>
      <c r="M172" t="s">
        <v>53</v>
      </c>
      <c r="N172" t="s">
        <v>54</v>
      </c>
      <c r="O172" s="3">
        <v>230000</v>
      </c>
      <c r="P172" s="4">
        <v>30</v>
      </c>
      <c r="Q172" s="2">
        <v>45854</v>
      </c>
      <c r="R172" s="2">
        <v>46242</v>
      </c>
      <c r="S172" s="2">
        <v>45841</v>
      </c>
      <c r="T172" s="2"/>
      <c r="U172" t="str">
        <f t="shared" si="14"/>
        <v>No</v>
      </c>
      <c r="W1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" t="str">
        <f t="shared" ca="1" si="15"/>
        <v>Due/Open</v>
      </c>
      <c r="Y172" t="str">
        <f t="shared" si="16"/>
        <v>Open</v>
      </c>
      <c r="Z172" t="str">
        <f t="shared" si="17"/>
        <v>Jun-2025</v>
      </c>
      <c r="AA172" t="str">
        <f t="shared" si="18"/>
        <v>Q2 2025</v>
      </c>
      <c r="AB172" s="4">
        <f t="shared" ca="1" si="19"/>
        <v>376</v>
      </c>
      <c r="AC172" t="str">
        <f t="shared" si="20"/>
        <v>Medium</v>
      </c>
    </row>
    <row r="173" spans="1:29">
      <c r="A173" t="s">
        <v>871</v>
      </c>
      <c r="B173" s="2">
        <v>45677</v>
      </c>
      <c r="C173" t="s">
        <v>872</v>
      </c>
      <c r="D173" t="s">
        <v>207</v>
      </c>
      <c r="E173" t="s">
        <v>873</v>
      </c>
      <c r="F173" t="s">
        <v>874</v>
      </c>
      <c r="G173" t="s">
        <v>34</v>
      </c>
      <c r="H173" t="s">
        <v>446</v>
      </c>
      <c r="I173" t="s">
        <v>36</v>
      </c>
      <c r="J173" t="s">
        <v>62</v>
      </c>
      <c r="K173" t="s">
        <v>114</v>
      </c>
      <c r="L173" t="s">
        <v>115</v>
      </c>
      <c r="M173" t="s">
        <v>53</v>
      </c>
      <c r="N173" t="s">
        <v>54</v>
      </c>
      <c r="O173" s="3">
        <v>235000</v>
      </c>
      <c r="P173" s="4">
        <v>25</v>
      </c>
      <c r="Q173" s="2">
        <v>45725</v>
      </c>
      <c r="R173" s="2">
        <v>46212</v>
      </c>
      <c r="S173" s="2">
        <v>45690</v>
      </c>
      <c r="T173" s="2"/>
      <c r="U173" t="str">
        <f t="shared" si="14"/>
        <v>No</v>
      </c>
      <c r="W1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" t="str">
        <f t="shared" ca="1" si="15"/>
        <v>Due/Open</v>
      </c>
      <c r="Y173" t="str">
        <f t="shared" si="16"/>
        <v>Open</v>
      </c>
      <c r="Z173" t="str">
        <f t="shared" si="17"/>
        <v>Jan-2025</v>
      </c>
      <c r="AA173" t="str">
        <f t="shared" si="18"/>
        <v>Q1 2025</v>
      </c>
      <c r="AB173" s="4">
        <f t="shared" ca="1" si="19"/>
        <v>522</v>
      </c>
      <c r="AC173" t="str">
        <f t="shared" si="20"/>
        <v>Medium</v>
      </c>
    </row>
    <row r="174" spans="1:29">
      <c r="A174" t="s">
        <v>875</v>
      </c>
      <c r="B174" s="2">
        <v>46123</v>
      </c>
      <c r="C174" t="s">
        <v>876</v>
      </c>
      <c r="D174" t="s">
        <v>852</v>
      </c>
      <c r="E174" t="s">
        <v>877</v>
      </c>
      <c r="F174" t="s">
        <v>878</v>
      </c>
      <c r="G174" t="s">
        <v>79</v>
      </c>
      <c r="H174" t="s">
        <v>106</v>
      </c>
      <c r="I174" t="s">
        <v>49</v>
      </c>
      <c r="J174" t="s">
        <v>37</v>
      </c>
      <c r="K174" t="s">
        <v>51</v>
      </c>
      <c r="L174" t="s">
        <v>107</v>
      </c>
      <c r="M174" t="s">
        <v>82</v>
      </c>
      <c r="N174" t="s">
        <v>83</v>
      </c>
      <c r="O174" s="3">
        <v>135000</v>
      </c>
      <c r="P174" s="4">
        <v>10</v>
      </c>
      <c r="Q174" s="2">
        <v>46175</v>
      </c>
      <c r="R174" s="2">
        <v>46218</v>
      </c>
      <c r="S174" s="2">
        <v>46149</v>
      </c>
      <c r="T174" s="2"/>
      <c r="U174" t="str">
        <f t="shared" si="14"/>
        <v>No</v>
      </c>
      <c r="W1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" t="str">
        <f t="shared" ca="1" si="15"/>
        <v>Due/Open</v>
      </c>
      <c r="Y174" t="str">
        <f t="shared" si="16"/>
        <v>Open</v>
      </c>
      <c r="Z174" t="str">
        <f t="shared" si="17"/>
        <v>Apr-2026</v>
      </c>
      <c r="AA174" t="str">
        <f t="shared" si="18"/>
        <v>Q2 2026</v>
      </c>
      <c r="AB174" s="4">
        <f t="shared" ca="1" si="19"/>
        <v>76</v>
      </c>
      <c r="AC174" t="str">
        <f t="shared" si="20"/>
        <v>Medium</v>
      </c>
    </row>
    <row r="175" spans="1:29">
      <c r="A175" t="s">
        <v>879</v>
      </c>
      <c r="B175" s="2">
        <v>46040</v>
      </c>
      <c r="C175" t="s">
        <v>880</v>
      </c>
      <c r="D175" t="s">
        <v>252</v>
      </c>
      <c r="E175" t="s">
        <v>881</v>
      </c>
      <c r="F175" t="s">
        <v>882</v>
      </c>
      <c r="G175" t="s">
        <v>79</v>
      </c>
      <c r="H175" t="s">
        <v>80</v>
      </c>
      <c r="I175" t="s">
        <v>61</v>
      </c>
      <c r="J175" t="s">
        <v>131</v>
      </c>
      <c r="K175" t="s">
        <v>71</v>
      </c>
      <c r="L175" t="s">
        <v>72</v>
      </c>
      <c r="M175" t="s">
        <v>90</v>
      </c>
      <c r="N175" t="s">
        <v>91</v>
      </c>
      <c r="O175" s="3">
        <v>290000</v>
      </c>
      <c r="P175" s="4">
        <v>50</v>
      </c>
      <c r="Q175" s="2">
        <v>46066</v>
      </c>
      <c r="R175" s="2">
        <v>46169</v>
      </c>
      <c r="S175" s="2">
        <v>46069</v>
      </c>
      <c r="T175" s="2"/>
      <c r="U175" t="str">
        <f t="shared" si="14"/>
        <v>No</v>
      </c>
      <c r="W1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" t="str">
        <f t="shared" ca="1" si="15"/>
        <v>Overdue</v>
      </c>
      <c r="Y175" t="str">
        <f t="shared" si="16"/>
        <v>Open</v>
      </c>
      <c r="Z175" t="str">
        <f t="shared" si="17"/>
        <v>Jan-2026</v>
      </c>
      <c r="AA175" t="str">
        <f t="shared" si="18"/>
        <v>Q1 2026</v>
      </c>
      <c r="AB175" s="4">
        <f t="shared" ca="1" si="19"/>
        <v>159</v>
      </c>
      <c r="AC175" t="str">
        <f t="shared" si="20"/>
        <v>Medium</v>
      </c>
    </row>
    <row r="176" spans="1:29">
      <c r="A176" t="s">
        <v>883</v>
      </c>
      <c r="B176" s="2">
        <v>46150</v>
      </c>
      <c r="C176" t="s">
        <v>230</v>
      </c>
      <c r="D176" t="s">
        <v>282</v>
      </c>
      <c r="E176" t="s">
        <v>884</v>
      </c>
      <c r="F176" t="s">
        <v>885</v>
      </c>
      <c r="G176" t="s">
        <v>47</v>
      </c>
      <c r="H176" t="s">
        <v>48</v>
      </c>
      <c r="I176" t="s">
        <v>141</v>
      </c>
      <c r="J176" t="s">
        <v>99</v>
      </c>
      <c r="K176" t="s">
        <v>51</v>
      </c>
      <c r="L176" t="s">
        <v>63</v>
      </c>
      <c r="M176" t="s">
        <v>73</v>
      </c>
      <c r="N176" t="s">
        <v>73</v>
      </c>
      <c r="O176" s="3">
        <v>485000</v>
      </c>
      <c r="P176" s="4">
        <v>85</v>
      </c>
      <c r="Q176" s="2">
        <v>46197</v>
      </c>
      <c r="R176" s="2">
        <v>46210</v>
      </c>
      <c r="S176" s="2">
        <v>46157</v>
      </c>
      <c r="T176" s="2"/>
      <c r="U176" t="str">
        <f t="shared" si="14"/>
        <v>No</v>
      </c>
      <c r="W1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" t="str">
        <f t="shared" ca="1" si="15"/>
        <v>Due/Open</v>
      </c>
      <c r="Y176" t="str">
        <f t="shared" si="16"/>
        <v>Open</v>
      </c>
      <c r="Z176" t="str">
        <f t="shared" si="17"/>
        <v>May-2026</v>
      </c>
      <c r="AA176" t="str">
        <f t="shared" si="18"/>
        <v>Q2 2026</v>
      </c>
      <c r="AB176" s="4">
        <f t="shared" ca="1" si="19"/>
        <v>49</v>
      </c>
      <c r="AC176" t="str">
        <f t="shared" si="20"/>
        <v>High</v>
      </c>
    </row>
    <row r="177" spans="1:29">
      <c r="A177" t="s">
        <v>886</v>
      </c>
      <c r="B177" s="2">
        <v>45944</v>
      </c>
      <c r="C177" t="s">
        <v>156</v>
      </c>
      <c r="D177" t="s">
        <v>887</v>
      </c>
      <c r="E177" t="s">
        <v>888</v>
      </c>
      <c r="F177" t="s">
        <v>889</v>
      </c>
      <c r="G177" t="s">
        <v>69</v>
      </c>
      <c r="H177" t="s">
        <v>312</v>
      </c>
      <c r="I177" t="s">
        <v>49</v>
      </c>
      <c r="J177" t="s">
        <v>37</v>
      </c>
      <c r="K177" t="s">
        <v>114</v>
      </c>
      <c r="L177" t="s">
        <v>39</v>
      </c>
      <c r="M177" t="s">
        <v>90</v>
      </c>
      <c r="N177" t="s">
        <v>91</v>
      </c>
      <c r="O177" s="3">
        <v>50000</v>
      </c>
      <c r="P177" s="4">
        <v>50</v>
      </c>
      <c r="Q177" s="2">
        <v>45999</v>
      </c>
      <c r="R177" s="2">
        <v>46197</v>
      </c>
      <c r="S177" s="2">
        <v>45961</v>
      </c>
      <c r="T177" s="2"/>
      <c r="U177" t="str">
        <f t="shared" si="14"/>
        <v>No</v>
      </c>
      <c r="W1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" t="str">
        <f t="shared" ca="1" si="15"/>
        <v>Overdue</v>
      </c>
      <c r="Y177" t="str">
        <f t="shared" si="16"/>
        <v>Open</v>
      </c>
      <c r="Z177" t="str">
        <f t="shared" si="17"/>
        <v>Oct-2025</v>
      </c>
      <c r="AA177" t="str">
        <f t="shared" si="18"/>
        <v>Q4 2025</v>
      </c>
      <c r="AB177" s="4">
        <f t="shared" ca="1" si="19"/>
        <v>255</v>
      </c>
      <c r="AC177" t="str">
        <f t="shared" si="20"/>
        <v>Low</v>
      </c>
    </row>
    <row r="178" spans="1:29">
      <c r="A178" t="s">
        <v>890</v>
      </c>
      <c r="B178" s="2">
        <v>46036</v>
      </c>
      <c r="C178" t="s">
        <v>479</v>
      </c>
      <c r="D178" t="s">
        <v>581</v>
      </c>
      <c r="E178" t="s">
        <v>891</v>
      </c>
      <c r="F178" t="s">
        <v>892</v>
      </c>
      <c r="G178" t="s">
        <v>69</v>
      </c>
      <c r="H178" t="s">
        <v>312</v>
      </c>
      <c r="I178" t="s">
        <v>148</v>
      </c>
      <c r="J178" t="s">
        <v>37</v>
      </c>
      <c r="K178" t="s">
        <v>51</v>
      </c>
      <c r="L178" t="s">
        <v>107</v>
      </c>
      <c r="M178" t="s">
        <v>116</v>
      </c>
      <c r="N178" t="s">
        <v>54</v>
      </c>
      <c r="O178" s="3">
        <v>160000</v>
      </c>
      <c r="P178" s="4">
        <v>20</v>
      </c>
      <c r="Q178" s="2">
        <v>46126</v>
      </c>
      <c r="R178" s="2">
        <v>46180</v>
      </c>
      <c r="S178" s="2">
        <v>46055</v>
      </c>
      <c r="T178" s="2"/>
      <c r="U178" t="str">
        <f t="shared" si="14"/>
        <v>No</v>
      </c>
      <c r="W1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" t="str">
        <f t="shared" ca="1" si="15"/>
        <v>Overdue</v>
      </c>
      <c r="Y178" t="str">
        <f t="shared" si="16"/>
        <v>Open</v>
      </c>
      <c r="Z178" t="str">
        <f t="shared" si="17"/>
        <v>Jan-2026</v>
      </c>
      <c r="AA178" t="str">
        <f t="shared" si="18"/>
        <v>Q1 2026</v>
      </c>
      <c r="AB178" s="4">
        <f t="shared" ca="1" si="19"/>
        <v>163</v>
      </c>
      <c r="AC178" t="str">
        <f t="shared" si="20"/>
        <v>Medium</v>
      </c>
    </row>
    <row r="179" spans="1:29">
      <c r="A179" t="s">
        <v>893</v>
      </c>
      <c r="B179" s="2">
        <v>45858</v>
      </c>
      <c r="C179" t="s">
        <v>894</v>
      </c>
      <c r="D179" t="s">
        <v>895</v>
      </c>
      <c r="E179" t="s">
        <v>896</v>
      </c>
      <c r="F179" t="s">
        <v>897</v>
      </c>
      <c r="G179" t="s">
        <v>179</v>
      </c>
      <c r="H179" t="s">
        <v>186</v>
      </c>
      <c r="I179" t="s">
        <v>141</v>
      </c>
      <c r="J179" t="s">
        <v>50</v>
      </c>
      <c r="K179" t="s">
        <v>194</v>
      </c>
      <c r="L179" t="s">
        <v>63</v>
      </c>
      <c r="M179" t="s">
        <v>133</v>
      </c>
      <c r="N179" t="s">
        <v>134</v>
      </c>
      <c r="O179" s="3">
        <v>470000</v>
      </c>
      <c r="P179" s="4">
        <v>0</v>
      </c>
      <c r="Q179" s="2">
        <v>45932</v>
      </c>
      <c r="R179" s="2"/>
      <c r="S179" s="2">
        <v>45863</v>
      </c>
      <c r="T179" s="2">
        <v>45932</v>
      </c>
      <c r="U179" t="str">
        <f t="shared" si="14"/>
        <v>No</v>
      </c>
      <c r="V179" t="s">
        <v>452</v>
      </c>
      <c r="W1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74</v>
      </c>
      <c r="X179" t="str">
        <f t="shared" ca="1" si="15"/>
        <v>Closed</v>
      </c>
      <c r="Y179" t="str">
        <f t="shared" si="16"/>
        <v>Closed</v>
      </c>
      <c r="Z179" t="str">
        <f t="shared" si="17"/>
        <v>Jul-2025</v>
      </c>
      <c r="AA179" t="str">
        <f t="shared" si="18"/>
        <v>Q3 2025</v>
      </c>
      <c r="AB179" s="4">
        <f t="shared" ca="1" si="19"/>
        <v>341</v>
      </c>
      <c r="AC179" t="str">
        <f t="shared" si="20"/>
        <v>High</v>
      </c>
    </row>
    <row r="180" spans="1:29">
      <c r="A180" t="s">
        <v>898</v>
      </c>
      <c r="B180" s="2">
        <v>45957</v>
      </c>
      <c r="C180" t="s">
        <v>899</v>
      </c>
      <c r="D180" t="s">
        <v>895</v>
      </c>
      <c r="E180" t="s">
        <v>900</v>
      </c>
      <c r="F180" t="s">
        <v>901</v>
      </c>
      <c r="G180" t="s">
        <v>69</v>
      </c>
      <c r="H180" t="s">
        <v>270</v>
      </c>
      <c r="I180" t="s">
        <v>148</v>
      </c>
      <c r="J180" t="s">
        <v>37</v>
      </c>
      <c r="K180" t="s">
        <v>38</v>
      </c>
      <c r="L180" t="s">
        <v>132</v>
      </c>
      <c r="M180" t="s">
        <v>166</v>
      </c>
      <c r="N180" t="s">
        <v>167</v>
      </c>
      <c r="O180" s="3">
        <v>55000</v>
      </c>
      <c r="P180" s="4">
        <v>60</v>
      </c>
      <c r="Q180" s="2">
        <v>46000</v>
      </c>
      <c r="R180" s="2">
        <v>46154</v>
      </c>
      <c r="S180" s="2">
        <v>45985</v>
      </c>
      <c r="T180" s="2"/>
      <c r="U180" t="str">
        <f t="shared" si="14"/>
        <v>No</v>
      </c>
      <c r="W1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" t="str">
        <f t="shared" ca="1" si="15"/>
        <v>Overdue</v>
      </c>
      <c r="Y180" t="str">
        <f t="shared" si="16"/>
        <v>Open</v>
      </c>
      <c r="Z180" t="str">
        <f t="shared" si="17"/>
        <v>Oct-2025</v>
      </c>
      <c r="AA180" t="str">
        <f t="shared" si="18"/>
        <v>Q4 2025</v>
      </c>
      <c r="AB180" s="4">
        <f t="shared" ca="1" si="19"/>
        <v>242</v>
      </c>
      <c r="AC180" t="str">
        <f t="shared" si="20"/>
        <v>Low</v>
      </c>
    </row>
    <row r="181" spans="1:29">
      <c r="A181" t="s">
        <v>902</v>
      </c>
      <c r="B181" s="2">
        <v>46177</v>
      </c>
      <c r="C181" t="s">
        <v>903</v>
      </c>
      <c r="D181" t="s">
        <v>904</v>
      </c>
      <c r="E181" t="s">
        <v>905</v>
      </c>
      <c r="F181" t="s">
        <v>906</v>
      </c>
      <c r="G181" t="s">
        <v>47</v>
      </c>
      <c r="H181" t="s">
        <v>493</v>
      </c>
      <c r="I181" t="s">
        <v>148</v>
      </c>
      <c r="J181" t="s">
        <v>99</v>
      </c>
      <c r="K181" t="s">
        <v>51</v>
      </c>
      <c r="L181" t="s">
        <v>115</v>
      </c>
      <c r="M181" t="s">
        <v>73</v>
      </c>
      <c r="N181" t="s">
        <v>73</v>
      </c>
      <c r="O181" s="3">
        <v>175000</v>
      </c>
      <c r="P181" s="4">
        <v>85</v>
      </c>
      <c r="Q181" s="2">
        <v>46245</v>
      </c>
      <c r="R181" s="2">
        <v>46191</v>
      </c>
      <c r="S181" s="2">
        <v>46194</v>
      </c>
      <c r="T181" s="2"/>
      <c r="U181" t="str">
        <f t="shared" si="14"/>
        <v>No</v>
      </c>
      <c r="W1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" t="str">
        <f t="shared" ca="1" si="15"/>
        <v>Overdue</v>
      </c>
      <c r="Y181" t="str">
        <f t="shared" si="16"/>
        <v>Open</v>
      </c>
      <c r="Z181" t="str">
        <f t="shared" si="17"/>
        <v>Jun-2026</v>
      </c>
      <c r="AA181" t="str">
        <f t="shared" si="18"/>
        <v>Q2 2026</v>
      </c>
      <c r="AB181" s="4">
        <f t="shared" ca="1" si="19"/>
        <v>22</v>
      </c>
      <c r="AC181" t="str">
        <f t="shared" si="20"/>
        <v>Medium</v>
      </c>
    </row>
    <row r="182" spans="1:29">
      <c r="A182" t="s">
        <v>907</v>
      </c>
      <c r="B182" s="2">
        <v>46140</v>
      </c>
      <c r="C182" t="s">
        <v>908</v>
      </c>
      <c r="D182" t="s">
        <v>909</v>
      </c>
      <c r="E182" t="s">
        <v>910</v>
      </c>
      <c r="F182" t="s">
        <v>911</v>
      </c>
      <c r="G182" t="s">
        <v>47</v>
      </c>
      <c r="H182" t="s">
        <v>493</v>
      </c>
      <c r="I182" t="s">
        <v>36</v>
      </c>
      <c r="J182" t="s">
        <v>124</v>
      </c>
      <c r="K182" t="s">
        <v>51</v>
      </c>
      <c r="L182" t="s">
        <v>52</v>
      </c>
      <c r="M182" t="s">
        <v>90</v>
      </c>
      <c r="N182" t="s">
        <v>91</v>
      </c>
      <c r="O182" s="3">
        <v>235000</v>
      </c>
      <c r="P182" s="4">
        <v>40</v>
      </c>
      <c r="Q182" s="2">
        <v>46166</v>
      </c>
      <c r="R182" s="2">
        <v>46235</v>
      </c>
      <c r="S182" s="2">
        <v>46144</v>
      </c>
      <c r="T182" s="2"/>
      <c r="U182" t="str">
        <f t="shared" si="14"/>
        <v>No</v>
      </c>
      <c r="W1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" t="str">
        <f t="shared" ca="1" si="15"/>
        <v>Due/Open</v>
      </c>
      <c r="Y182" t="str">
        <f t="shared" si="16"/>
        <v>Open</v>
      </c>
      <c r="Z182" t="str">
        <f t="shared" si="17"/>
        <v>Apr-2026</v>
      </c>
      <c r="AA182" t="str">
        <f t="shared" si="18"/>
        <v>Q2 2026</v>
      </c>
      <c r="AB182" s="4">
        <f t="shared" ca="1" si="19"/>
        <v>59</v>
      </c>
      <c r="AC182" t="str">
        <f t="shared" si="20"/>
        <v>Medium</v>
      </c>
    </row>
    <row r="183" spans="1:29">
      <c r="A183" t="s">
        <v>912</v>
      </c>
      <c r="B183" s="2">
        <v>46092</v>
      </c>
      <c r="C183" t="s">
        <v>913</v>
      </c>
      <c r="D183" t="s">
        <v>914</v>
      </c>
      <c r="E183" t="s">
        <v>915</v>
      </c>
      <c r="F183" t="s">
        <v>916</v>
      </c>
      <c r="G183" t="s">
        <v>79</v>
      </c>
      <c r="H183" t="s">
        <v>260</v>
      </c>
      <c r="I183" t="s">
        <v>141</v>
      </c>
      <c r="J183" t="s">
        <v>37</v>
      </c>
      <c r="K183" t="s">
        <v>51</v>
      </c>
      <c r="L183" t="s">
        <v>63</v>
      </c>
      <c r="M183" t="s">
        <v>90</v>
      </c>
      <c r="N183" t="s">
        <v>91</v>
      </c>
      <c r="O183" s="3">
        <v>160000</v>
      </c>
      <c r="P183" s="4">
        <v>50</v>
      </c>
      <c r="Q183" s="2">
        <v>46115</v>
      </c>
      <c r="R183" s="2">
        <v>46156</v>
      </c>
      <c r="S183" s="2">
        <v>46113</v>
      </c>
      <c r="T183" s="2"/>
      <c r="U183" t="str">
        <f t="shared" si="14"/>
        <v>No</v>
      </c>
      <c r="W1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" t="str">
        <f t="shared" ca="1" si="15"/>
        <v>Overdue</v>
      </c>
      <c r="Y183" t="str">
        <f t="shared" si="16"/>
        <v>Open</v>
      </c>
      <c r="Z183" t="str">
        <f t="shared" si="17"/>
        <v>Mar-2026</v>
      </c>
      <c r="AA183" t="str">
        <f t="shared" si="18"/>
        <v>Q1 2026</v>
      </c>
      <c r="AB183" s="4">
        <f t="shared" ca="1" si="19"/>
        <v>107</v>
      </c>
      <c r="AC183" t="str">
        <f t="shared" si="20"/>
        <v>Medium</v>
      </c>
    </row>
    <row r="184" spans="1:29">
      <c r="A184" t="s">
        <v>917</v>
      </c>
      <c r="B184" s="2">
        <v>45897</v>
      </c>
      <c r="C184" t="s">
        <v>341</v>
      </c>
      <c r="D184" t="s">
        <v>697</v>
      </c>
      <c r="E184" t="s">
        <v>918</v>
      </c>
      <c r="F184" t="s">
        <v>919</v>
      </c>
      <c r="G184" t="s">
        <v>79</v>
      </c>
      <c r="H184" t="s">
        <v>260</v>
      </c>
      <c r="I184" t="s">
        <v>36</v>
      </c>
      <c r="J184" t="s">
        <v>124</v>
      </c>
      <c r="K184" t="s">
        <v>114</v>
      </c>
      <c r="L184" t="s">
        <v>72</v>
      </c>
      <c r="M184" t="s">
        <v>82</v>
      </c>
      <c r="N184" t="s">
        <v>83</v>
      </c>
      <c r="O184" s="3">
        <v>195000</v>
      </c>
      <c r="P184" s="4">
        <v>10</v>
      </c>
      <c r="Q184" s="2">
        <v>45976</v>
      </c>
      <c r="R184" s="2">
        <v>46234</v>
      </c>
      <c r="S184" s="2">
        <v>45918</v>
      </c>
      <c r="T184" s="2"/>
      <c r="U184" t="str">
        <f t="shared" si="14"/>
        <v>No</v>
      </c>
      <c r="W1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" t="str">
        <f t="shared" ca="1" si="15"/>
        <v>Due/Open</v>
      </c>
      <c r="Y184" t="str">
        <f t="shared" si="16"/>
        <v>Open</v>
      </c>
      <c r="Z184" t="str">
        <f t="shared" si="17"/>
        <v>Aug-2025</v>
      </c>
      <c r="AA184" t="str">
        <f t="shared" si="18"/>
        <v>Q3 2025</v>
      </c>
      <c r="AB184" s="4">
        <f t="shared" ca="1" si="19"/>
        <v>302</v>
      </c>
      <c r="AC184" t="str">
        <f t="shared" si="20"/>
        <v>Medium</v>
      </c>
    </row>
    <row r="185" spans="1:29">
      <c r="A185" t="s">
        <v>920</v>
      </c>
      <c r="B185" s="2">
        <v>46193</v>
      </c>
      <c r="C185" t="s">
        <v>921</v>
      </c>
      <c r="D185" t="s">
        <v>361</v>
      </c>
      <c r="E185" t="s">
        <v>922</v>
      </c>
      <c r="F185" t="s">
        <v>923</v>
      </c>
      <c r="G185" t="s">
        <v>69</v>
      </c>
      <c r="H185" t="s">
        <v>70</v>
      </c>
      <c r="I185" t="s">
        <v>141</v>
      </c>
      <c r="J185" t="s">
        <v>131</v>
      </c>
      <c r="K185" t="s">
        <v>100</v>
      </c>
      <c r="L185" t="s">
        <v>63</v>
      </c>
      <c r="M185" t="s">
        <v>73</v>
      </c>
      <c r="N185" t="s">
        <v>73</v>
      </c>
      <c r="O185" s="3">
        <v>135000</v>
      </c>
      <c r="P185" s="4">
        <v>85</v>
      </c>
      <c r="Q185" s="2">
        <v>46234</v>
      </c>
      <c r="R185" s="2">
        <v>46221</v>
      </c>
      <c r="S185" s="2">
        <v>46194</v>
      </c>
      <c r="T185" s="2"/>
      <c r="U185" t="str">
        <f t="shared" si="14"/>
        <v>No</v>
      </c>
      <c r="W1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" t="str">
        <f t="shared" ca="1" si="15"/>
        <v>Due/Open</v>
      </c>
      <c r="Y185" t="str">
        <f t="shared" si="16"/>
        <v>Open</v>
      </c>
      <c r="Z185" t="str">
        <f t="shared" si="17"/>
        <v>Jun-2026</v>
      </c>
      <c r="AA185" t="str">
        <f t="shared" si="18"/>
        <v>Q2 2026</v>
      </c>
      <c r="AB185" s="4">
        <f t="shared" ca="1" si="19"/>
        <v>6</v>
      </c>
      <c r="AC185" t="str">
        <f t="shared" si="20"/>
        <v>Medium</v>
      </c>
    </row>
    <row r="186" spans="1:29">
      <c r="A186" t="s">
        <v>924</v>
      </c>
      <c r="B186" s="2">
        <v>45690</v>
      </c>
      <c r="C186" t="s">
        <v>925</v>
      </c>
      <c r="D186" t="s">
        <v>926</v>
      </c>
      <c r="E186" t="s">
        <v>927</v>
      </c>
      <c r="F186" t="s">
        <v>928</v>
      </c>
      <c r="G186" t="s">
        <v>79</v>
      </c>
      <c r="H186" t="s">
        <v>80</v>
      </c>
      <c r="I186" t="s">
        <v>123</v>
      </c>
      <c r="J186" t="s">
        <v>62</v>
      </c>
      <c r="K186" t="s">
        <v>100</v>
      </c>
      <c r="L186" t="s">
        <v>63</v>
      </c>
      <c r="M186" t="s">
        <v>40</v>
      </c>
      <c r="N186" t="s">
        <v>41</v>
      </c>
      <c r="O186" s="3">
        <v>210000</v>
      </c>
      <c r="P186" s="4">
        <v>100</v>
      </c>
      <c r="Q186" s="2">
        <v>45715</v>
      </c>
      <c r="R186" s="2"/>
      <c r="S186" s="2">
        <v>45714</v>
      </c>
      <c r="T186" s="2">
        <v>45715</v>
      </c>
      <c r="U186" t="str">
        <f t="shared" si="14"/>
        <v>Yes</v>
      </c>
      <c r="W18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186" t="str">
        <f t="shared" ca="1" si="15"/>
        <v>Closed</v>
      </c>
      <c r="Y186" t="str">
        <f t="shared" si="16"/>
        <v>Closed</v>
      </c>
      <c r="Z186" t="str">
        <f t="shared" si="17"/>
        <v>Feb-2025</v>
      </c>
      <c r="AA186" t="str">
        <f t="shared" si="18"/>
        <v>Q1 2025</v>
      </c>
      <c r="AB186" s="4">
        <f t="shared" ca="1" si="19"/>
        <v>509</v>
      </c>
      <c r="AC186" t="str">
        <f t="shared" si="20"/>
        <v>Medium</v>
      </c>
    </row>
    <row r="187" spans="1:29">
      <c r="A187" t="s">
        <v>929</v>
      </c>
      <c r="B187" s="2">
        <v>46054</v>
      </c>
      <c r="C187" t="s">
        <v>272</v>
      </c>
      <c r="D187" t="s">
        <v>676</v>
      </c>
      <c r="E187" t="s">
        <v>930</v>
      </c>
      <c r="F187" t="s">
        <v>931</v>
      </c>
      <c r="G187" t="s">
        <v>69</v>
      </c>
      <c r="H187" t="s">
        <v>70</v>
      </c>
      <c r="I187" t="s">
        <v>98</v>
      </c>
      <c r="J187" t="s">
        <v>62</v>
      </c>
      <c r="K187" t="s">
        <v>38</v>
      </c>
      <c r="L187" t="s">
        <v>239</v>
      </c>
      <c r="M187" t="s">
        <v>90</v>
      </c>
      <c r="N187" t="s">
        <v>91</v>
      </c>
      <c r="O187" s="3">
        <v>275000</v>
      </c>
      <c r="P187" s="4">
        <v>50</v>
      </c>
      <c r="Q187" s="2">
        <v>46108</v>
      </c>
      <c r="R187" s="2">
        <v>46238</v>
      </c>
      <c r="S187" s="2">
        <v>46066</v>
      </c>
      <c r="T187" s="2"/>
      <c r="U187" t="str">
        <f t="shared" si="14"/>
        <v>No</v>
      </c>
      <c r="W1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" t="str">
        <f t="shared" ca="1" si="15"/>
        <v>Due/Open</v>
      </c>
      <c r="Y187" t="str">
        <f t="shared" si="16"/>
        <v>Open</v>
      </c>
      <c r="Z187" t="str">
        <f t="shared" si="17"/>
        <v>Feb-2026</v>
      </c>
      <c r="AA187" t="str">
        <f t="shared" si="18"/>
        <v>Q1 2026</v>
      </c>
      <c r="AB187" s="4">
        <f t="shared" ca="1" si="19"/>
        <v>145</v>
      </c>
      <c r="AC187" t="str">
        <f t="shared" si="20"/>
        <v>Medium</v>
      </c>
    </row>
    <row r="188" spans="1:29">
      <c r="A188" t="s">
        <v>932</v>
      </c>
      <c r="B188" s="2">
        <v>45989</v>
      </c>
      <c r="C188" t="s">
        <v>933</v>
      </c>
      <c r="D188" t="s">
        <v>934</v>
      </c>
      <c r="E188" t="s">
        <v>935</v>
      </c>
      <c r="F188" t="s">
        <v>936</v>
      </c>
      <c r="G188" t="s">
        <v>79</v>
      </c>
      <c r="H188" t="s">
        <v>106</v>
      </c>
      <c r="I188" t="s">
        <v>148</v>
      </c>
      <c r="J188" t="s">
        <v>124</v>
      </c>
      <c r="K188" t="s">
        <v>100</v>
      </c>
      <c r="L188" t="s">
        <v>63</v>
      </c>
      <c r="M188" t="s">
        <v>53</v>
      </c>
      <c r="N188" t="s">
        <v>54</v>
      </c>
      <c r="O188" s="3">
        <v>255000</v>
      </c>
      <c r="P188" s="4">
        <v>35</v>
      </c>
      <c r="Q188" s="2">
        <v>46012</v>
      </c>
      <c r="R188" s="2">
        <v>46207</v>
      </c>
      <c r="S188" s="2">
        <v>45996</v>
      </c>
      <c r="T188" s="2"/>
      <c r="U188" t="str">
        <f t="shared" si="14"/>
        <v>No</v>
      </c>
      <c r="W1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" t="str">
        <f t="shared" ca="1" si="15"/>
        <v>Due/Open</v>
      </c>
      <c r="Y188" t="str">
        <f t="shared" si="16"/>
        <v>Open</v>
      </c>
      <c r="Z188" t="str">
        <f t="shared" si="17"/>
        <v>Nov-2025</v>
      </c>
      <c r="AA188" t="str">
        <f t="shared" si="18"/>
        <v>Q4 2025</v>
      </c>
      <c r="AB188" s="4">
        <f t="shared" ca="1" si="19"/>
        <v>210</v>
      </c>
      <c r="AC188" t="str">
        <f t="shared" si="20"/>
        <v>Medium</v>
      </c>
    </row>
    <row r="189" spans="1:29">
      <c r="A189" t="s">
        <v>937</v>
      </c>
      <c r="B189" s="2">
        <v>46166</v>
      </c>
      <c r="C189" t="s">
        <v>938</v>
      </c>
      <c r="D189" t="s">
        <v>443</v>
      </c>
      <c r="E189" t="s">
        <v>939</v>
      </c>
      <c r="F189" t="s">
        <v>940</v>
      </c>
      <c r="G189" t="s">
        <v>179</v>
      </c>
      <c r="H189" t="s">
        <v>296</v>
      </c>
      <c r="I189" t="s">
        <v>36</v>
      </c>
      <c r="J189" t="s">
        <v>131</v>
      </c>
      <c r="K189" t="s">
        <v>38</v>
      </c>
      <c r="L189" t="s">
        <v>63</v>
      </c>
      <c r="M189" t="s">
        <v>133</v>
      </c>
      <c r="N189" t="s">
        <v>134</v>
      </c>
      <c r="O189" s="3">
        <v>195000</v>
      </c>
      <c r="P189" s="4">
        <v>0</v>
      </c>
      <c r="Q189" s="2">
        <v>46191</v>
      </c>
      <c r="R189" s="2"/>
      <c r="S189" s="2">
        <v>46175</v>
      </c>
      <c r="T189" s="2">
        <v>46191</v>
      </c>
      <c r="U189" t="str">
        <f t="shared" si="14"/>
        <v>No</v>
      </c>
      <c r="V189" t="s">
        <v>452</v>
      </c>
      <c r="W1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189" t="str">
        <f t="shared" ca="1" si="15"/>
        <v>Closed</v>
      </c>
      <c r="Y189" t="str">
        <f t="shared" si="16"/>
        <v>Closed</v>
      </c>
      <c r="Z189" t="str">
        <f t="shared" si="17"/>
        <v>May-2026</v>
      </c>
      <c r="AA189" t="str">
        <f t="shared" si="18"/>
        <v>Q2 2026</v>
      </c>
      <c r="AB189" s="4">
        <f t="shared" ca="1" si="19"/>
        <v>33</v>
      </c>
      <c r="AC189" t="str">
        <f t="shared" si="20"/>
        <v>Medium</v>
      </c>
    </row>
    <row r="190" spans="1:29">
      <c r="A190" t="s">
        <v>941</v>
      </c>
      <c r="B190" s="2">
        <v>45712</v>
      </c>
      <c r="C190" t="s">
        <v>942</v>
      </c>
      <c r="D190" t="s">
        <v>943</v>
      </c>
      <c r="E190" t="s">
        <v>944</v>
      </c>
      <c r="F190" t="s">
        <v>945</v>
      </c>
      <c r="G190" t="s">
        <v>47</v>
      </c>
      <c r="H190" t="s">
        <v>418</v>
      </c>
      <c r="I190" t="s">
        <v>141</v>
      </c>
      <c r="J190" t="s">
        <v>124</v>
      </c>
      <c r="K190" t="s">
        <v>71</v>
      </c>
      <c r="L190" t="s">
        <v>142</v>
      </c>
      <c r="M190" t="s">
        <v>90</v>
      </c>
      <c r="N190" t="s">
        <v>91</v>
      </c>
      <c r="O190" s="3">
        <v>220000</v>
      </c>
      <c r="P190" s="4">
        <v>55</v>
      </c>
      <c r="Q190" s="2">
        <v>45771</v>
      </c>
      <c r="R190" s="2">
        <v>46241</v>
      </c>
      <c r="S190" s="2">
        <v>45741</v>
      </c>
      <c r="T190" s="2"/>
      <c r="U190" t="str">
        <f t="shared" si="14"/>
        <v>No</v>
      </c>
      <c r="W1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" t="str">
        <f t="shared" ca="1" si="15"/>
        <v>Due/Open</v>
      </c>
      <c r="Y190" t="str">
        <f t="shared" si="16"/>
        <v>Open</v>
      </c>
      <c r="Z190" t="str">
        <f t="shared" si="17"/>
        <v>Feb-2025</v>
      </c>
      <c r="AA190" t="str">
        <f t="shared" si="18"/>
        <v>Q1 2025</v>
      </c>
      <c r="AB190" s="4">
        <f t="shared" ca="1" si="19"/>
        <v>487</v>
      </c>
      <c r="AC190" t="str">
        <f t="shared" si="20"/>
        <v>Medium</v>
      </c>
    </row>
    <row r="191" spans="1:29">
      <c r="A191" t="s">
        <v>946</v>
      </c>
      <c r="B191" s="2">
        <v>46059</v>
      </c>
      <c r="C191" t="s">
        <v>947</v>
      </c>
      <c r="D191" t="s">
        <v>895</v>
      </c>
      <c r="E191" t="s">
        <v>948</v>
      </c>
      <c r="F191" t="s">
        <v>949</v>
      </c>
      <c r="G191" t="s">
        <v>179</v>
      </c>
      <c r="H191" t="s">
        <v>436</v>
      </c>
      <c r="I191" t="s">
        <v>187</v>
      </c>
      <c r="J191" t="s">
        <v>50</v>
      </c>
      <c r="K191" t="s">
        <v>51</v>
      </c>
      <c r="L191" t="s">
        <v>154</v>
      </c>
      <c r="M191" t="s">
        <v>53</v>
      </c>
      <c r="N191" t="s">
        <v>54</v>
      </c>
      <c r="O191" s="3">
        <v>495000</v>
      </c>
      <c r="P191" s="4">
        <v>30</v>
      </c>
      <c r="Q191" s="2">
        <v>46079</v>
      </c>
      <c r="R191" s="2">
        <v>46206</v>
      </c>
      <c r="S191" s="2">
        <v>46075</v>
      </c>
      <c r="T191" s="2"/>
      <c r="U191" t="str">
        <f t="shared" si="14"/>
        <v>No</v>
      </c>
      <c r="W1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" t="str">
        <f t="shared" ca="1" si="15"/>
        <v>Due/Open</v>
      </c>
      <c r="Y191" t="str">
        <f t="shared" si="16"/>
        <v>Open</v>
      </c>
      <c r="Z191" t="str">
        <f t="shared" si="17"/>
        <v>Feb-2026</v>
      </c>
      <c r="AA191" t="str">
        <f t="shared" si="18"/>
        <v>Q1 2026</v>
      </c>
      <c r="AB191" s="4">
        <f t="shared" ca="1" si="19"/>
        <v>140</v>
      </c>
      <c r="AC191" t="str">
        <f t="shared" si="20"/>
        <v>High</v>
      </c>
    </row>
    <row r="192" spans="1:29">
      <c r="A192" t="s">
        <v>950</v>
      </c>
      <c r="B192" s="2">
        <v>45823</v>
      </c>
      <c r="C192" t="s">
        <v>872</v>
      </c>
      <c r="D192" t="s">
        <v>943</v>
      </c>
      <c r="E192" t="s">
        <v>951</v>
      </c>
      <c r="F192" t="s">
        <v>952</v>
      </c>
      <c r="G192" t="s">
        <v>34</v>
      </c>
      <c r="H192" t="s">
        <v>238</v>
      </c>
      <c r="I192" t="s">
        <v>98</v>
      </c>
      <c r="J192" t="s">
        <v>50</v>
      </c>
      <c r="K192" t="s">
        <v>194</v>
      </c>
      <c r="L192" t="s">
        <v>132</v>
      </c>
      <c r="M192" t="s">
        <v>90</v>
      </c>
      <c r="N192" t="s">
        <v>91</v>
      </c>
      <c r="O192" s="3">
        <v>370000</v>
      </c>
      <c r="P192" s="4">
        <v>40</v>
      </c>
      <c r="Q192" s="2">
        <v>45879</v>
      </c>
      <c r="R192" s="2">
        <v>46221</v>
      </c>
      <c r="S192" s="2">
        <v>45851</v>
      </c>
      <c r="T192" s="2"/>
      <c r="U192" t="str">
        <f t="shared" si="14"/>
        <v>No</v>
      </c>
      <c r="W1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" t="str">
        <f t="shared" ca="1" si="15"/>
        <v>Due/Open</v>
      </c>
      <c r="Y192" t="str">
        <f t="shared" si="16"/>
        <v>Open</v>
      </c>
      <c r="Z192" t="str">
        <f t="shared" si="17"/>
        <v>Jun-2025</v>
      </c>
      <c r="AA192" t="str">
        <f t="shared" si="18"/>
        <v>Q2 2025</v>
      </c>
      <c r="AB192" s="4">
        <f t="shared" ca="1" si="19"/>
        <v>376</v>
      </c>
      <c r="AC192" t="str">
        <f t="shared" si="20"/>
        <v>High</v>
      </c>
    </row>
    <row r="193" spans="1:29">
      <c r="A193" t="s">
        <v>953</v>
      </c>
      <c r="B193" s="2">
        <v>45662</v>
      </c>
      <c r="C193" t="s">
        <v>954</v>
      </c>
      <c r="D193" t="s">
        <v>347</v>
      </c>
      <c r="E193" t="s">
        <v>955</v>
      </c>
      <c r="F193" t="s">
        <v>956</v>
      </c>
      <c r="G193" t="s">
        <v>69</v>
      </c>
      <c r="H193" t="s">
        <v>200</v>
      </c>
      <c r="I193" t="s">
        <v>49</v>
      </c>
      <c r="J193" t="s">
        <v>131</v>
      </c>
      <c r="K193" t="s">
        <v>71</v>
      </c>
      <c r="L193" t="s">
        <v>72</v>
      </c>
      <c r="M193" t="s">
        <v>73</v>
      </c>
      <c r="N193" t="s">
        <v>73</v>
      </c>
      <c r="O193" s="3">
        <v>355000</v>
      </c>
      <c r="P193" s="4">
        <v>85</v>
      </c>
      <c r="Q193" s="2">
        <v>45685</v>
      </c>
      <c r="R193" s="2">
        <v>46196</v>
      </c>
      <c r="S193" s="2">
        <v>45671</v>
      </c>
      <c r="T193" s="2"/>
      <c r="U193" t="str">
        <f t="shared" si="14"/>
        <v>No</v>
      </c>
      <c r="W1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" t="str">
        <f t="shared" ca="1" si="15"/>
        <v>Overdue</v>
      </c>
      <c r="Y193" t="str">
        <f t="shared" si="16"/>
        <v>Open</v>
      </c>
      <c r="Z193" t="str">
        <f t="shared" si="17"/>
        <v>Jan-2025</v>
      </c>
      <c r="AA193" t="str">
        <f t="shared" si="18"/>
        <v>Q1 2025</v>
      </c>
      <c r="AB193" s="4">
        <f t="shared" ca="1" si="19"/>
        <v>537</v>
      </c>
      <c r="AC193" t="str">
        <f t="shared" si="20"/>
        <v>High</v>
      </c>
    </row>
    <row r="194" spans="1:29">
      <c r="A194" t="s">
        <v>957</v>
      </c>
      <c r="B194" s="2">
        <v>45884</v>
      </c>
      <c r="C194" t="s">
        <v>958</v>
      </c>
      <c r="D194" t="s">
        <v>145</v>
      </c>
      <c r="E194" t="s">
        <v>959</v>
      </c>
      <c r="F194" t="s">
        <v>960</v>
      </c>
      <c r="G194" t="s">
        <v>69</v>
      </c>
      <c r="H194" t="s">
        <v>285</v>
      </c>
      <c r="I194" t="s">
        <v>141</v>
      </c>
      <c r="J194" t="s">
        <v>131</v>
      </c>
      <c r="K194" t="s">
        <v>51</v>
      </c>
      <c r="L194" t="s">
        <v>125</v>
      </c>
      <c r="M194" t="s">
        <v>40</v>
      </c>
      <c r="N194" t="s">
        <v>41</v>
      </c>
      <c r="O194" s="3">
        <v>275000</v>
      </c>
      <c r="P194" s="4">
        <v>100</v>
      </c>
      <c r="Q194" s="2">
        <v>45903</v>
      </c>
      <c r="R194" s="2"/>
      <c r="S194" s="2">
        <v>45894</v>
      </c>
      <c r="T194" s="2">
        <v>45903</v>
      </c>
      <c r="U194" t="str">
        <f t="shared" ref="U194:U257" si="21">IF(M194="Converted","Yes","No")</f>
        <v>Yes</v>
      </c>
      <c r="W1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194" t="str">
        <f t="shared" ref="X194:X257" ca="1" si="22">IF(OR(M194="Converted",M194="Lost",M194="Not Interested"),"Closed",IF(R194&lt;TODAY(),"Overdue","Due/Open"))</f>
        <v>Closed</v>
      </c>
      <c r="Y194" t="str">
        <f t="shared" ref="Y194:Y257" si="23">IF(OR(M194="Converted",M194="Lost",M194="Not Interested"),"Closed","Open")</f>
        <v>Closed</v>
      </c>
      <c r="Z194" t="str">
        <f t="shared" ref="Z194:Z257" si="24">TEXT(B194,"mmm-yyyy")</f>
        <v>Aug-2025</v>
      </c>
      <c r="AA194" t="str">
        <f t="shared" ref="AA194:AA257" si="25">"Q"&amp;ROUNDUP(MONTH(B194)/3,0)&amp;" "&amp;YEAR(B194)</f>
        <v>Q3 2025</v>
      </c>
      <c r="AB194" s="4">
        <f t="shared" ref="AB194:AB257" ca="1" si="26">TODAY()-B194</f>
        <v>315</v>
      </c>
      <c r="AC194" t="str">
        <f t="shared" ref="AC194:AC257" si="27">IF(O194&gt;=300000,"High",IF(O194&gt;=120000,"Medium","Low"))</f>
        <v>Medium</v>
      </c>
    </row>
    <row r="195" spans="1:29">
      <c r="A195" t="s">
        <v>961</v>
      </c>
      <c r="B195" s="2">
        <v>46128</v>
      </c>
      <c r="C195" t="s">
        <v>156</v>
      </c>
      <c r="D195" t="s">
        <v>375</v>
      </c>
      <c r="E195" t="s">
        <v>962</v>
      </c>
      <c r="F195" t="s">
        <v>963</v>
      </c>
      <c r="G195" t="s">
        <v>47</v>
      </c>
      <c r="H195" t="s">
        <v>122</v>
      </c>
      <c r="I195" t="s">
        <v>141</v>
      </c>
      <c r="J195" t="s">
        <v>62</v>
      </c>
      <c r="K195" t="s">
        <v>71</v>
      </c>
      <c r="L195" t="s">
        <v>39</v>
      </c>
      <c r="M195" t="s">
        <v>53</v>
      </c>
      <c r="N195" t="s">
        <v>54</v>
      </c>
      <c r="O195" s="3">
        <v>435000</v>
      </c>
      <c r="P195" s="4">
        <v>30</v>
      </c>
      <c r="Q195" s="2">
        <v>46219</v>
      </c>
      <c r="R195" s="2">
        <v>46200</v>
      </c>
      <c r="S195" s="2">
        <v>46155</v>
      </c>
      <c r="T195" s="2"/>
      <c r="U195" t="str">
        <f t="shared" si="21"/>
        <v>No</v>
      </c>
      <c r="W1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" t="str">
        <f t="shared" ca="1" si="22"/>
        <v>Due/Open</v>
      </c>
      <c r="Y195" t="str">
        <f t="shared" si="23"/>
        <v>Open</v>
      </c>
      <c r="Z195" t="str">
        <f t="shared" si="24"/>
        <v>Apr-2026</v>
      </c>
      <c r="AA195" t="str">
        <f t="shared" si="25"/>
        <v>Q2 2026</v>
      </c>
      <c r="AB195" s="4">
        <f t="shared" ca="1" si="26"/>
        <v>71</v>
      </c>
      <c r="AC195" t="str">
        <f t="shared" si="27"/>
        <v>High</v>
      </c>
    </row>
    <row r="196" spans="1:29">
      <c r="A196" t="s">
        <v>964</v>
      </c>
      <c r="B196" s="2">
        <v>45674</v>
      </c>
      <c r="C196" t="s">
        <v>965</v>
      </c>
      <c r="D196" t="s">
        <v>909</v>
      </c>
      <c r="E196" t="s">
        <v>966</v>
      </c>
      <c r="F196" t="s">
        <v>967</v>
      </c>
      <c r="G196" t="s">
        <v>79</v>
      </c>
      <c r="H196" t="s">
        <v>106</v>
      </c>
      <c r="I196" t="s">
        <v>98</v>
      </c>
      <c r="J196" t="s">
        <v>37</v>
      </c>
      <c r="K196" t="s">
        <v>100</v>
      </c>
      <c r="L196" t="s">
        <v>52</v>
      </c>
      <c r="M196" t="s">
        <v>90</v>
      </c>
      <c r="N196" t="s">
        <v>91</v>
      </c>
      <c r="O196" s="3">
        <v>160000</v>
      </c>
      <c r="P196" s="4">
        <v>50</v>
      </c>
      <c r="Q196" s="2">
        <v>45765</v>
      </c>
      <c r="R196" s="2">
        <v>46226</v>
      </c>
      <c r="S196" s="2">
        <v>45699</v>
      </c>
      <c r="T196" s="2"/>
      <c r="U196" t="str">
        <f t="shared" si="21"/>
        <v>No</v>
      </c>
      <c r="W1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" t="str">
        <f t="shared" ca="1" si="22"/>
        <v>Due/Open</v>
      </c>
      <c r="Y196" t="str">
        <f t="shared" si="23"/>
        <v>Open</v>
      </c>
      <c r="Z196" t="str">
        <f t="shared" si="24"/>
        <v>Jan-2025</v>
      </c>
      <c r="AA196" t="str">
        <f t="shared" si="25"/>
        <v>Q1 2025</v>
      </c>
      <c r="AB196" s="4">
        <f t="shared" ca="1" si="26"/>
        <v>525</v>
      </c>
      <c r="AC196" t="str">
        <f t="shared" si="27"/>
        <v>Medium</v>
      </c>
    </row>
    <row r="197" spans="1:29">
      <c r="A197" t="s">
        <v>968</v>
      </c>
      <c r="B197" s="2">
        <v>45924</v>
      </c>
      <c r="C197" t="s">
        <v>551</v>
      </c>
      <c r="D197" t="s">
        <v>969</v>
      </c>
      <c r="E197" t="s">
        <v>970</v>
      </c>
      <c r="F197" t="s">
        <v>971</v>
      </c>
      <c r="G197" t="s">
        <v>179</v>
      </c>
      <c r="H197" t="s">
        <v>296</v>
      </c>
      <c r="I197" t="s">
        <v>141</v>
      </c>
      <c r="J197" t="s">
        <v>131</v>
      </c>
      <c r="K197" t="s">
        <v>114</v>
      </c>
      <c r="L197" t="s">
        <v>142</v>
      </c>
      <c r="M197" t="s">
        <v>166</v>
      </c>
      <c r="N197" t="s">
        <v>167</v>
      </c>
      <c r="O197" s="3">
        <v>315000</v>
      </c>
      <c r="P197" s="4">
        <v>70</v>
      </c>
      <c r="Q197" s="2">
        <v>45996</v>
      </c>
      <c r="R197" s="2">
        <v>46188</v>
      </c>
      <c r="S197" s="2">
        <v>45928</v>
      </c>
      <c r="T197" s="2"/>
      <c r="U197" t="str">
        <f t="shared" si="21"/>
        <v>No</v>
      </c>
      <c r="W1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" t="str">
        <f t="shared" ca="1" si="22"/>
        <v>Overdue</v>
      </c>
      <c r="Y197" t="str">
        <f t="shared" si="23"/>
        <v>Open</v>
      </c>
      <c r="Z197" t="str">
        <f t="shared" si="24"/>
        <v>Sep-2025</v>
      </c>
      <c r="AA197" t="str">
        <f t="shared" si="25"/>
        <v>Q3 2025</v>
      </c>
      <c r="AB197" s="4">
        <f t="shared" ca="1" si="26"/>
        <v>275</v>
      </c>
      <c r="AC197" t="str">
        <f t="shared" si="27"/>
        <v>High</v>
      </c>
    </row>
    <row r="198" spans="1:29">
      <c r="A198" t="s">
        <v>972</v>
      </c>
      <c r="B198" s="2">
        <v>46155</v>
      </c>
      <c r="C198" t="s">
        <v>899</v>
      </c>
      <c r="D198" t="s">
        <v>375</v>
      </c>
      <c r="E198" t="s">
        <v>973</v>
      </c>
      <c r="F198" t="s">
        <v>974</v>
      </c>
      <c r="G198" t="s">
        <v>34</v>
      </c>
      <c r="H198" t="s">
        <v>60</v>
      </c>
      <c r="I198" t="s">
        <v>61</v>
      </c>
      <c r="J198" t="s">
        <v>37</v>
      </c>
      <c r="K198" t="s">
        <v>71</v>
      </c>
      <c r="L198" t="s">
        <v>39</v>
      </c>
      <c r="M198" t="s">
        <v>40</v>
      </c>
      <c r="N198" t="s">
        <v>41</v>
      </c>
      <c r="O198" s="3">
        <v>175000</v>
      </c>
      <c r="P198" s="4">
        <v>100</v>
      </c>
      <c r="Q198" s="2">
        <v>46198</v>
      </c>
      <c r="R198" s="2"/>
      <c r="S198" s="2">
        <v>46162</v>
      </c>
      <c r="T198" s="2">
        <v>46198</v>
      </c>
      <c r="U198" t="str">
        <f t="shared" si="21"/>
        <v>Yes</v>
      </c>
      <c r="W1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43</v>
      </c>
      <c r="X198" t="str">
        <f t="shared" ca="1" si="22"/>
        <v>Closed</v>
      </c>
      <c r="Y198" t="str">
        <f t="shared" si="23"/>
        <v>Closed</v>
      </c>
      <c r="Z198" t="str">
        <f t="shared" si="24"/>
        <v>May-2026</v>
      </c>
      <c r="AA198" t="str">
        <f t="shared" si="25"/>
        <v>Q2 2026</v>
      </c>
      <c r="AB198" s="4">
        <f t="shared" ca="1" si="26"/>
        <v>44</v>
      </c>
      <c r="AC198" t="str">
        <f t="shared" si="27"/>
        <v>Medium</v>
      </c>
    </row>
    <row r="199" spans="1:29">
      <c r="A199" t="s">
        <v>975</v>
      </c>
      <c r="B199" s="2">
        <v>46172</v>
      </c>
      <c r="C199" t="s">
        <v>976</v>
      </c>
      <c r="D199" t="s">
        <v>145</v>
      </c>
      <c r="E199" t="s">
        <v>977</v>
      </c>
      <c r="F199" t="s">
        <v>978</v>
      </c>
      <c r="G199" t="s">
        <v>69</v>
      </c>
      <c r="H199" t="s">
        <v>312</v>
      </c>
      <c r="I199" t="s">
        <v>141</v>
      </c>
      <c r="J199" t="s">
        <v>50</v>
      </c>
      <c r="K199" t="s">
        <v>100</v>
      </c>
      <c r="L199" t="s">
        <v>107</v>
      </c>
      <c r="M199" t="s">
        <v>82</v>
      </c>
      <c r="N199" t="s">
        <v>83</v>
      </c>
      <c r="O199" s="3">
        <v>530000</v>
      </c>
      <c r="P199" s="4">
        <v>5</v>
      </c>
      <c r="Q199" s="2">
        <v>46218</v>
      </c>
      <c r="R199" s="2">
        <v>46228</v>
      </c>
      <c r="S199" s="2">
        <v>46186</v>
      </c>
      <c r="T199" s="2"/>
      <c r="U199" t="str">
        <f t="shared" si="21"/>
        <v>No</v>
      </c>
      <c r="W1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" t="str">
        <f t="shared" ca="1" si="22"/>
        <v>Due/Open</v>
      </c>
      <c r="Y199" t="str">
        <f t="shared" si="23"/>
        <v>Open</v>
      </c>
      <c r="Z199" t="str">
        <f t="shared" si="24"/>
        <v>May-2026</v>
      </c>
      <c r="AA199" t="str">
        <f t="shared" si="25"/>
        <v>Q2 2026</v>
      </c>
      <c r="AB199" s="4">
        <f t="shared" ca="1" si="26"/>
        <v>27</v>
      </c>
      <c r="AC199" t="str">
        <f t="shared" si="27"/>
        <v>High</v>
      </c>
    </row>
    <row r="200" spans="1:29">
      <c r="A200" t="s">
        <v>979</v>
      </c>
      <c r="B200" s="2">
        <v>46011</v>
      </c>
      <c r="C200" t="s">
        <v>980</v>
      </c>
      <c r="D200" t="s">
        <v>981</v>
      </c>
      <c r="E200" t="s">
        <v>982</v>
      </c>
      <c r="F200" t="s">
        <v>983</v>
      </c>
      <c r="G200" t="s">
        <v>79</v>
      </c>
      <c r="H200" t="s">
        <v>106</v>
      </c>
      <c r="I200" t="s">
        <v>36</v>
      </c>
      <c r="J200" t="s">
        <v>131</v>
      </c>
      <c r="K200" t="s">
        <v>194</v>
      </c>
      <c r="L200" t="s">
        <v>239</v>
      </c>
      <c r="M200" t="s">
        <v>90</v>
      </c>
      <c r="N200" t="s">
        <v>91</v>
      </c>
      <c r="O200" s="3">
        <v>165000</v>
      </c>
      <c r="P200" s="4">
        <v>50</v>
      </c>
      <c r="Q200" s="2">
        <v>46040</v>
      </c>
      <c r="R200" s="2">
        <v>46174</v>
      </c>
      <c r="S200" s="2">
        <v>46028</v>
      </c>
      <c r="T200" s="2"/>
      <c r="U200" t="str">
        <f t="shared" si="21"/>
        <v>No</v>
      </c>
      <c r="W2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0" t="str">
        <f t="shared" ca="1" si="22"/>
        <v>Overdue</v>
      </c>
      <c r="Y200" t="str">
        <f t="shared" si="23"/>
        <v>Open</v>
      </c>
      <c r="Z200" t="str">
        <f t="shared" si="24"/>
        <v>Dec-2025</v>
      </c>
      <c r="AA200" t="str">
        <f t="shared" si="25"/>
        <v>Q4 2025</v>
      </c>
      <c r="AB200" s="4">
        <f t="shared" ca="1" si="26"/>
        <v>188</v>
      </c>
      <c r="AC200" t="str">
        <f t="shared" si="27"/>
        <v>Medium</v>
      </c>
    </row>
    <row r="201" spans="1:29">
      <c r="A201" t="s">
        <v>984</v>
      </c>
      <c r="B201" s="2">
        <v>46183</v>
      </c>
      <c r="C201" t="s">
        <v>985</v>
      </c>
      <c r="D201" t="s">
        <v>986</v>
      </c>
      <c r="E201" t="s">
        <v>987</v>
      </c>
      <c r="F201" t="s">
        <v>988</v>
      </c>
      <c r="G201" t="s">
        <v>179</v>
      </c>
      <c r="H201" t="s">
        <v>436</v>
      </c>
      <c r="I201" t="s">
        <v>187</v>
      </c>
      <c r="J201" t="s">
        <v>124</v>
      </c>
      <c r="K201" t="s">
        <v>194</v>
      </c>
      <c r="L201" t="s">
        <v>115</v>
      </c>
      <c r="M201" t="s">
        <v>116</v>
      </c>
      <c r="N201" t="s">
        <v>54</v>
      </c>
      <c r="O201" s="3">
        <v>190000</v>
      </c>
      <c r="P201" s="4">
        <v>15</v>
      </c>
      <c r="Q201" s="2">
        <v>46267</v>
      </c>
      <c r="R201" s="2">
        <v>46178</v>
      </c>
      <c r="S201" s="2">
        <v>46194</v>
      </c>
      <c r="T201" s="2"/>
      <c r="U201" t="str">
        <f t="shared" si="21"/>
        <v>No</v>
      </c>
      <c r="W2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1" t="str">
        <f t="shared" ca="1" si="22"/>
        <v>Overdue</v>
      </c>
      <c r="Y201" t="str">
        <f t="shared" si="23"/>
        <v>Open</v>
      </c>
      <c r="Z201" t="str">
        <f t="shared" si="24"/>
        <v>Jun-2026</v>
      </c>
      <c r="AA201" t="str">
        <f t="shared" si="25"/>
        <v>Q2 2026</v>
      </c>
      <c r="AB201" s="4">
        <f t="shared" ca="1" si="26"/>
        <v>16</v>
      </c>
      <c r="AC201" t="str">
        <f t="shared" si="27"/>
        <v>Medium</v>
      </c>
    </row>
    <row r="202" spans="1:29">
      <c r="A202" t="s">
        <v>989</v>
      </c>
      <c r="B202" s="2">
        <v>45821</v>
      </c>
      <c r="C202" t="s">
        <v>843</v>
      </c>
      <c r="D202" t="s">
        <v>66</v>
      </c>
      <c r="E202" t="s">
        <v>990</v>
      </c>
      <c r="F202" t="s">
        <v>991</v>
      </c>
      <c r="G202" t="s">
        <v>34</v>
      </c>
      <c r="H202" t="s">
        <v>446</v>
      </c>
      <c r="I202" t="s">
        <v>49</v>
      </c>
      <c r="J202" t="s">
        <v>62</v>
      </c>
      <c r="K202" t="s">
        <v>51</v>
      </c>
      <c r="L202" t="s">
        <v>239</v>
      </c>
      <c r="M202" t="s">
        <v>90</v>
      </c>
      <c r="N202" t="s">
        <v>91</v>
      </c>
      <c r="O202" s="3">
        <v>220000</v>
      </c>
      <c r="P202" s="4">
        <v>50</v>
      </c>
      <c r="Q202" s="2">
        <v>45856</v>
      </c>
      <c r="R202" s="2">
        <v>46226</v>
      </c>
      <c r="S202" s="2">
        <v>45844</v>
      </c>
      <c r="T202" s="2"/>
      <c r="U202" t="str">
        <f t="shared" si="21"/>
        <v>No</v>
      </c>
      <c r="W2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2" t="str">
        <f t="shared" ca="1" si="22"/>
        <v>Due/Open</v>
      </c>
      <c r="Y202" t="str">
        <f t="shared" si="23"/>
        <v>Open</v>
      </c>
      <c r="Z202" t="str">
        <f t="shared" si="24"/>
        <v>Jun-2025</v>
      </c>
      <c r="AA202" t="str">
        <f t="shared" si="25"/>
        <v>Q2 2025</v>
      </c>
      <c r="AB202" s="4">
        <f t="shared" ca="1" si="26"/>
        <v>378</v>
      </c>
      <c r="AC202" t="str">
        <f t="shared" si="27"/>
        <v>Medium</v>
      </c>
    </row>
    <row r="203" spans="1:29">
      <c r="A203" t="s">
        <v>992</v>
      </c>
      <c r="B203" s="2">
        <v>45863</v>
      </c>
      <c r="C203" t="s">
        <v>993</v>
      </c>
      <c r="D203" t="s">
        <v>526</v>
      </c>
      <c r="E203" t="s">
        <v>994</v>
      </c>
      <c r="F203" t="s">
        <v>995</v>
      </c>
      <c r="G203" t="s">
        <v>179</v>
      </c>
      <c r="H203" t="s">
        <v>318</v>
      </c>
      <c r="I203" t="s">
        <v>49</v>
      </c>
      <c r="J203" t="s">
        <v>131</v>
      </c>
      <c r="K203" t="s">
        <v>38</v>
      </c>
      <c r="L203" t="s">
        <v>52</v>
      </c>
      <c r="M203" t="s">
        <v>133</v>
      </c>
      <c r="N203" t="s">
        <v>134</v>
      </c>
      <c r="O203" s="3">
        <v>230000</v>
      </c>
      <c r="P203" s="4">
        <v>0</v>
      </c>
      <c r="Q203" s="2">
        <v>45905</v>
      </c>
      <c r="R203" s="2"/>
      <c r="S203" s="2">
        <v>45864</v>
      </c>
      <c r="T203" s="2">
        <v>45905</v>
      </c>
      <c r="U203" t="str">
        <f t="shared" si="21"/>
        <v>No</v>
      </c>
      <c r="V203" t="s">
        <v>276</v>
      </c>
      <c r="W20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203" t="str">
        <f t="shared" ca="1" si="22"/>
        <v>Closed</v>
      </c>
      <c r="Y203" t="str">
        <f t="shared" si="23"/>
        <v>Closed</v>
      </c>
      <c r="Z203" t="str">
        <f t="shared" si="24"/>
        <v>Jul-2025</v>
      </c>
      <c r="AA203" t="str">
        <f t="shared" si="25"/>
        <v>Q3 2025</v>
      </c>
      <c r="AB203" s="4">
        <f t="shared" ca="1" si="26"/>
        <v>336</v>
      </c>
      <c r="AC203" t="str">
        <f t="shared" si="27"/>
        <v>Medium</v>
      </c>
    </row>
    <row r="204" spans="1:29">
      <c r="A204" t="s">
        <v>996</v>
      </c>
      <c r="B204" s="2">
        <v>45955</v>
      </c>
      <c r="C204" t="s">
        <v>997</v>
      </c>
      <c r="D204" t="s">
        <v>710</v>
      </c>
      <c r="E204" t="s">
        <v>998</v>
      </c>
      <c r="F204" t="s">
        <v>999</v>
      </c>
      <c r="G204" t="s">
        <v>47</v>
      </c>
      <c r="H204" t="s">
        <v>122</v>
      </c>
      <c r="I204" t="s">
        <v>187</v>
      </c>
      <c r="J204" t="s">
        <v>50</v>
      </c>
      <c r="K204" t="s">
        <v>194</v>
      </c>
      <c r="L204" t="s">
        <v>72</v>
      </c>
      <c r="M204" t="s">
        <v>82</v>
      </c>
      <c r="N204" t="s">
        <v>83</v>
      </c>
      <c r="O204" s="3">
        <v>230000</v>
      </c>
      <c r="P204" s="4">
        <v>10</v>
      </c>
      <c r="Q204" s="2">
        <v>46042</v>
      </c>
      <c r="R204" s="2">
        <v>46174</v>
      </c>
      <c r="S204" s="2">
        <v>45970</v>
      </c>
      <c r="T204" s="2"/>
      <c r="U204" t="str">
        <f t="shared" si="21"/>
        <v>No</v>
      </c>
      <c r="W2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4" t="str">
        <f t="shared" ca="1" si="22"/>
        <v>Overdue</v>
      </c>
      <c r="Y204" t="str">
        <f t="shared" si="23"/>
        <v>Open</v>
      </c>
      <c r="Z204" t="str">
        <f t="shared" si="24"/>
        <v>Oct-2025</v>
      </c>
      <c r="AA204" t="str">
        <f t="shared" si="25"/>
        <v>Q4 2025</v>
      </c>
      <c r="AB204" s="4">
        <f t="shared" ca="1" si="26"/>
        <v>244</v>
      </c>
      <c r="AC204" t="str">
        <f t="shared" si="27"/>
        <v>Medium</v>
      </c>
    </row>
    <row r="205" spans="1:29">
      <c r="A205" t="s">
        <v>1000</v>
      </c>
      <c r="B205" s="2">
        <v>46127</v>
      </c>
      <c r="C205" t="s">
        <v>1001</v>
      </c>
      <c r="D205" t="s">
        <v>197</v>
      </c>
      <c r="E205" t="s">
        <v>1002</v>
      </c>
      <c r="F205" t="s">
        <v>1003</v>
      </c>
      <c r="G205" t="s">
        <v>69</v>
      </c>
      <c r="H205" t="s">
        <v>312</v>
      </c>
      <c r="I205" t="s">
        <v>98</v>
      </c>
      <c r="J205" t="s">
        <v>62</v>
      </c>
      <c r="K205" t="s">
        <v>51</v>
      </c>
      <c r="L205" t="s">
        <v>132</v>
      </c>
      <c r="M205" t="s">
        <v>73</v>
      </c>
      <c r="N205" t="s">
        <v>73</v>
      </c>
      <c r="O205" s="3">
        <v>190000</v>
      </c>
      <c r="P205" s="4">
        <v>80</v>
      </c>
      <c r="Q205" s="2">
        <v>46157</v>
      </c>
      <c r="R205" s="2">
        <v>46210</v>
      </c>
      <c r="S205" s="2">
        <v>46155</v>
      </c>
      <c r="T205" s="2"/>
      <c r="U205" t="str">
        <f t="shared" si="21"/>
        <v>No</v>
      </c>
      <c r="W2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5" t="str">
        <f t="shared" ca="1" si="22"/>
        <v>Due/Open</v>
      </c>
      <c r="Y205" t="str">
        <f t="shared" si="23"/>
        <v>Open</v>
      </c>
      <c r="Z205" t="str">
        <f t="shared" si="24"/>
        <v>Apr-2026</v>
      </c>
      <c r="AA205" t="str">
        <f t="shared" si="25"/>
        <v>Q2 2026</v>
      </c>
      <c r="AB205" s="4">
        <f t="shared" ca="1" si="26"/>
        <v>72</v>
      </c>
      <c r="AC205" t="str">
        <f t="shared" si="27"/>
        <v>Medium</v>
      </c>
    </row>
    <row r="206" spans="1:29">
      <c r="A206" t="s">
        <v>1004</v>
      </c>
      <c r="B206" s="2">
        <v>46060</v>
      </c>
      <c r="C206" t="s">
        <v>585</v>
      </c>
      <c r="D206" t="s">
        <v>94</v>
      </c>
      <c r="E206" t="s">
        <v>1005</v>
      </c>
      <c r="F206" t="s">
        <v>1006</v>
      </c>
      <c r="G206" t="s">
        <v>69</v>
      </c>
      <c r="H206" t="s">
        <v>270</v>
      </c>
      <c r="I206" t="s">
        <v>49</v>
      </c>
      <c r="J206" t="s">
        <v>99</v>
      </c>
      <c r="K206" t="s">
        <v>51</v>
      </c>
      <c r="L206" t="s">
        <v>142</v>
      </c>
      <c r="M206" t="s">
        <v>166</v>
      </c>
      <c r="N206" t="s">
        <v>167</v>
      </c>
      <c r="O206" s="3">
        <v>305000</v>
      </c>
      <c r="P206" s="4">
        <v>70</v>
      </c>
      <c r="Q206" s="2">
        <v>46117</v>
      </c>
      <c r="R206" s="2">
        <v>46232</v>
      </c>
      <c r="S206" s="2">
        <v>46074</v>
      </c>
      <c r="T206" s="2"/>
      <c r="U206" t="str">
        <f t="shared" si="21"/>
        <v>No</v>
      </c>
      <c r="W2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6" t="str">
        <f t="shared" ca="1" si="22"/>
        <v>Due/Open</v>
      </c>
      <c r="Y206" t="str">
        <f t="shared" si="23"/>
        <v>Open</v>
      </c>
      <c r="Z206" t="str">
        <f t="shared" si="24"/>
        <v>Feb-2026</v>
      </c>
      <c r="AA206" t="str">
        <f t="shared" si="25"/>
        <v>Q1 2026</v>
      </c>
      <c r="AB206" s="4">
        <f t="shared" ca="1" si="26"/>
        <v>139</v>
      </c>
      <c r="AC206" t="str">
        <f t="shared" si="27"/>
        <v>High</v>
      </c>
    </row>
    <row r="207" spans="1:29">
      <c r="A207" t="s">
        <v>1007</v>
      </c>
      <c r="B207" s="2">
        <v>45695</v>
      </c>
      <c r="C207" t="s">
        <v>150</v>
      </c>
      <c r="D207" t="s">
        <v>464</v>
      </c>
      <c r="E207" t="s">
        <v>1008</v>
      </c>
      <c r="F207" t="s">
        <v>1009</v>
      </c>
      <c r="G207" t="s">
        <v>69</v>
      </c>
      <c r="H207" t="s">
        <v>200</v>
      </c>
      <c r="I207" t="s">
        <v>49</v>
      </c>
      <c r="J207" t="s">
        <v>62</v>
      </c>
      <c r="K207" t="s">
        <v>100</v>
      </c>
      <c r="L207" t="s">
        <v>154</v>
      </c>
      <c r="M207" t="s">
        <v>82</v>
      </c>
      <c r="N207" t="s">
        <v>83</v>
      </c>
      <c r="O207" s="3">
        <v>425000</v>
      </c>
      <c r="P207" s="4">
        <v>10</v>
      </c>
      <c r="Q207" s="2">
        <v>45744</v>
      </c>
      <c r="R207" s="2">
        <v>46162</v>
      </c>
      <c r="S207" s="2">
        <v>45707</v>
      </c>
      <c r="T207" s="2"/>
      <c r="U207" t="str">
        <f t="shared" si="21"/>
        <v>No</v>
      </c>
      <c r="W2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7" t="str">
        <f t="shared" ca="1" si="22"/>
        <v>Overdue</v>
      </c>
      <c r="Y207" t="str">
        <f t="shared" si="23"/>
        <v>Open</v>
      </c>
      <c r="Z207" t="str">
        <f t="shared" si="24"/>
        <v>Feb-2025</v>
      </c>
      <c r="AA207" t="str">
        <f t="shared" si="25"/>
        <v>Q1 2025</v>
      </c>
      <c r="AB207" s="4">
        <f t="shared" ca="1" si="26"/>
        <v>504</v>
      </c>
      <c r="AC207" t="str">
        <f t="shared" si="27"/>
        <v>High</v>
      </c>
    </row>
    <row r="208" spans="1:29">
      <c r="A208" t="s">
        <v>1010</v>
      </c>
      <c r="B208" s="2">
        <v>45899</v>
      </c>
      <c r="C208" t="s">
        <v>1011</v>
      </c>
      <c r="D208" t="s">
        <v>1012</v>
      </c>
      <c r="E208" t="s">
        <v>1013</v>
      </c>
      <c r="F208" t="s">
        <v>1014</v>
      </c>
      <c r="G208" t="s">
        <v>34</v>
      </c>
      <c r="H208" t="s">
        <v>173</v>
      </c>
      <c r="I208" t="s">
        <v>36</v>
      </c>
      <c r="J208" t="s">
        <v>99</v>
      </c>
      <c r="K208" t="s">
        <v>38</v>
      </c>
      <c r="L208" t="s">
        <v>154</v>
      </c>
      <c r="M208" t="s">
        <v>53</v>
      </c>
      <c r="N208" t="s">
        <v>54</v>
      </c>
      <c r="O208" s="3">
        <v>630000</v>
      </c>
      <c r="P208" s="4">
        <v>30</v>
      </c>
      <c r="Q208" s="2">
        <v>45965</v>
      </c>
      <c r="R208" s="2">
        <v>46221</v>
      </c>
      <c r="S208" s="2">
        <v>45919</v>
      </c>
      <c r="T208" s="2"/>
      <c r="U208" t="str">
        <f t="shared" si="21"/>
        <v>No</v>
      </c>
      <c r="W2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8" t="str">
        <f t="shared" ca="1" si="22"/>
        <v>Due/Open</v>
      </c>
      <c r="Y208" t="str">
        <f t="shared" si="23"/>
        <v>Open</v>
      </c>
      <c r="Z208" t="str">
        <f t="shared" si="24"/>
        <v>Aug-2025</v>
      </c>
      <c r="AA208" t="str">
        <f t="shared" si="25"/>
        <v>Q3 2025</v>
      </c>
      <c r="AB208" s="4">
        <f t="shared" ca="1" si="26"/>
        <v>300</v>
      </c>
      <c r="AC208" t="str">
        <f t="shared" si="27"/>
        <v>High</v>
      </c>
    </row>
    <row r="209" spans="1:29">
      <c r="A209" t="s">
        <v>1015</v>
      </c>
      <c r="B209" s="2">
        <v>45776</v>
      </c>
      <c r="C209" t="s">
        <v>1016</v>
      </c>
      <c r="D209" t="s">
        <v>1017</v>
      </c>
      <c r="E209" t="s">
        <v>1018</v>
      </c>
      <c r="F209" t="s">
        <v>1019</v>
      </c>
      <c r="G209" t="s">
        <v>179</v>
      </c>
      <c r="H209" t="s">
        <v>487</v>
      </c>
      <c r="I209" t="s">
        <v>49</v>
      </c>
      <c r="J209" t="s">
        <v>50</v>
      </c>
      <c r="K209" t="s">
        <v>38</v>
      </c>
      <c r="L209" t="s">
        <v>107</v>
      </c>
      <c r="M209" t="s">
        <v>82</v>
      </c>
      <c r="N209" t="s">
        <v>83</v>
      </c>
      <c r="O209" s="3">
        <v>235000</v>
      </c>
      <c r="P209" s="4">
        <v>5</v>
      </c>
      <c r="Q209" s="2">
        <v>45841</v>
      </c>
      <c r="R209" s="2">
        <v>46230</v>
      </c>
      <c r="S209" s="2">
        <v>45780</v>
      </c>
      <c r="T209" s="2"/>
      <c r="U209" t="str">
        <f t="shared" si="21"/>
        <v>No</v>
      </c>
      <c r="W2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9" t="str">
        <f t="shared" ca="1" si="22"/>
        <v>Due/Open</v>
      </c>
      <c r="Y209" t="str">
        <f t="shared" si="23"/>
        <v>Open</v>
      </c>
      <c r="Z209" t="str">
        <f t="shared" si="24"/>
        <v>Apr-2025</v>
      </c>
      <c r="AA209" t="str">
        <f t="shared" si="25"/>
        <v>Q2 2025</v>
      </c>
      <c r="AB209" s="4">
        <f t="shared" ca="1" si="26"/>
        <v>423</v>
      </c>
      <c r="AC209" t="str">
        <f t="shared" si="27"/>
        <v>Medium</v>
      </c>
    </row>
    <row r="210" spans="1:29">
      <c r="A210" t="s">
        <v>1020</v>
      </c>
      <c r="B210" s="2">
        <v>46022</v>
      </c>
      <c r="C210" t="s">
        <v>985</v>
      </c>
      <c r="D210" t="s">
        <v>1021</v>
      </c>
      <c r="E210" t="s">
        <v>1022</v>
      </c>
      <c r="F210" t="s">
        <v>1023</v>
      </c>
      <c r="G210" t="s">
        <v>34</v>
      </c>
      <c r="H210" t="s">
        <v>160</v>
      </c>
      <c r="I210" t="s">
        <v>123</v>
      </c>
      <c r="J210" t="s">
        <v>131</v>
      </c>
      <c r="K210" t="s">
        <v>71</v>
      </c>
      <c r="L210" t="s">
        <v>239</v>
      </c>
      <c r="M210" t="s">
        <v>90</v>
      </c>
      <c r="N210" t="s">
        <v>91</v>
      </c>
      <c r="O210" s="3">
        <v>345000</v>
      </c>
      <c r="P210" s="4">
        <v>55</v>
      </c>
      <c r="Q210" s="2">
        <v>46116</v>
      </c>
      <c r="R210" s="2">
        <v>46226</v>
      </c>
      <c r="S210" s="2">
        <v>46048</v>
      </c>
      <c r="T210" s="2"/>
      <c r="U210" t="str">
        <f t="shared" si="21"/>
        <v>No</v>
      </c>
      <c r="W2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0" t="str">
        <f t="shared" ca="1" si="22"/>
        <v>Due/Open</v>
      </c>
      <c r="Y210" t="str">
        <f t="shared" si="23"/>
        <v>Open</v>
      </c>
      <c r="Z210" t="str">
        <f t="shared" si="24"/>
        <v>Dec-2025</v>
      </c>
      <c r="AA210" t="str">
        <f t="shared" si="25"/>
        <v>Q4 2025</v>
      </c>
      <c r="AB210" s="4">
        <f t="shared" ca="1" si="26"/>
        <v>177</v>
      </c>
      <c r="AC210" t="str">
        <f t="shared" si="27"/>
        <v>High</v>
      </c>
    </row>
    <row r="211" spans="1:29">
      <c r="A211" t="s">
        <v>1024</v>
      </c>
      <c r="B211" s="2">
        <v>45951</v>
      </c>
      <c r="C211" t="s">
        <v>1025</v>
      </c>
      <c r="D211" t="s">
        <v>151</v>
      </c>
      <c r="E211" t="s">
        <v>1026</v>
      </c>
      <c r="F211" t="s">
        <v>1027</v>
      </c>
      <c r="G211" t="s">
        <v>179</v>
      </c>
      <c r="H211" t="s">
        <v>296</v>
      </c>
      <c r="I211" t="s">
        <v>49</v>
      </c>
      <c r="J211" t="s">
        <v>131</v>
      </c>
      <c r="K211" t="s">
        <v>71</v>
      </c>
      <c r="L211" t="s">
        <v>52</v>
      </c>
      <c r="M211" t="s">
        <v>40</v>
      </c>
      <c r="N211" t="s">
        <v>41</v>
      </c>
      <c r="O211" s="3">
        <v>380000</v>
      </c>
      <c r="P211" s="4">
        <v>100</v>
      </c>
      <c r="Q211" s="2">
        <v>46017</v>
      </c>
      <c r="R211" s="2"/>
      <c r="S211" s="2">
        <v>45954</v>
      </c>
      <c r="T211" s="2">
        <v>46017</v>
      </c>
      <c r="U211" t="str">
        <f t="shared" si="21"/>
        <v>Yes</v>
      </c>
      <c r="W2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211" t="str">
        <f t="shared" ca="1" si="22"/>
        <v>Closed</v>
      </c>
      <c r="Y211" t="str">
        <f t="shared" si="23"/>
        <v>Closed</v>
      </c>
      <c r="Z211" t="str">
        <f t="shared" si="24"/>
        <v>Oct-2025</v>
      </c>
      <c r="AA211" t="str">
        <f t="shared" si="25"/>
        <v>Q4 2025</v>
      </c>
      <c r="AB211" s="4">
        <f t="shared" ca="1" si="26"/>
        <v>248</v>
      </c>
      <c r="AC211" t="str">
        <f t="shared" si="27"/>
        <v>High</v>
      </c>
    </row>
    <row r="212" spans="1:29">
      <c r="A212" t="s">
        <v>1028</v>
      </c>
      <c r="B212" s="2">
        <v>45817</v>
      </c>
      <c r="C212" t="s">
        <v>1029</v>
      </c>
      <c r="D212" t="s">
        <v>1030</v>
      </c>
      <c r="E212" t="s">
        <v>1031</v>
      </c>
      <c r="F212" t="s">
        <v>1032</v>
      </c>
      <c r="G212" t="s">
        <v>69</v>
      </c>
      <c r="H212" t="s">
        <v>200</v>
      </c>
      <c r="I212" t="s">
        <v>98</v>
      </c>
      <c r="J212" t="s">
        <v>99</v>
      </c>
      <c r="K212" t="s">
        <v>51</v>
      </c>
      <c r="L212" t="s">
        <v>154</v>
      </c>
      <c r="M212" t="s">
        <v>53</v>
      </c>
      <c r="N212" t="s">
        <v>54</v>
      </c>
      <c r="O212" s="3">
        <v>460000</v>
      </c>
      <c r="P212" s="4">
        <v>30</v>
      </c>
      <c r="Q212" s="2">
        <v>45848</v>
      </c>
      <c r="R212" s="2">
        <v>46207</v>
      </c>
      <c r="S212" s="2">
        <v>45828</v>
      </c>
      <c r="T212" s="2"/>
      <c r="U212" t="str">
        <f t="shared" si="21"/>
        <v>No</v>
      </c>
      <c r="W2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2" t="str">
        <f t="shared" ca="1" si="22"/>
        <v>Due/Open</v>
      </c>
      <c r="Y212" t="str">
        <f t="shared" si="23"/>
        <v>Open</v>
      </c>
      <c r="Z212" t="str">
        <f t="shared" si="24"/>
        <v>Jun-2025</v>
      </c>
      <c r="AA212" t="str">
        <f t="shared" si="25"/>
        <v>Q2 2025</v>
      </c>
      <c r="AB212" s="4">
        <f t="shared" ca="1" si="26"/>
        <v>382</v>
      </c>
      <c r="AC212" t="str">
        <f t="shared" si="27"/>
        <v>High</v>
      </c>
    </row>
    <row r="213" spans="1:29">
      <c r="A213" t="s">
        <v>1033</v>
      </c>
      <c r="B213" s="2">
        <v>45967</v>
      </c>
      <c r="C213" t="s">
        <v>1034</v>
      </c>
      <c r="D213" t="s">
        <v>1017</v>
      </c>
      <c r="E213" t="s">
        <v>1035</v>
      </c>
      <c r="F213" t="s">
        <v>1036</v>
      </c>
      <c r="G213" t="s">
        <v>47</v>
      </c>
      <c r="H213" t="s">
        <v>48</v>
      </c>
      <c r="I213" t="s">
        <v>36</v>
      </c>
      <c r="J213" t="s">
        <v>62</v>
      </c>
      <c r="K213" t="s">
        <v>71</v>
      </c>
      <c r="L213" t="s">
        <v>52</v>
      </c>
      <c r="M213" t="s">
        <v>116</v>
      </c>
      <c r="N213" t="s">
        <v>54</v>
      </c>
      <c r="O213" s="3">
        <v>280000</v>
      </c>
      <c r="P213" s="4">
        <v>15</v>
      </c>
      <c r="Q213" s="2">
        <v>46001</v>
      </c>
      <c r="R213" s="2">
        <v>46210</v>
      </c>
      <c r="S213" s="2">
        <v>45988</v>
      </c>
      <c r="T213" s="2"/>
      <c r="U213" t="str">
        <f t="shared" si="21"/>
        <v>No</v>
      </c>
      <c r="W2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3" t="str">
        <f t="shared" ca="1" si="22"/>
        <v>Due/Open</v>
      </c>
      <c r="Y213" t="str">
        <f t="shared" si="23"/>
        <v>Open</v>
      </c>
      <c r="Z213" t="str">
        <f t="shared" si="24"/>
        <v>Nov-2025</v>
      </c>
      <c r="AA213" t="str">
        <f t="shared" si="25"/>
        <v>Q4 2025</v>
      </c>
      <c r="AB213" s="4">
        <f t="shared" ca="1" si="26"/>
        <v>232</v>
      </c>
      <c r="AC213" t="str">
        <f t="shared" si="27"/>
        <v>Medium</v>
      </c>
    </row>
    <row r="214" spans="1:29">
      <c r="A214" t="s">
        <v>1037</v>
      </c>
      <c r="B214" s="2">
        <v>45921</v>
      </c>
      <c r="C214" t="s">
        <v>1038</v>
      </c>
      <c r="D214" t="s">
        <v>565</v>
      </c>
      <c r="E214" t="s">
        <v>1039</v>
      </c>
      <c r="F214" t="s">
        <v>1040</v>
      </c>
      <c r="G214" t="s">
        <v>47</v>
      </c>
      <c r="H214" t="s">
        <v>418</v>
      </c>
      <c r="I214" t="s">
        <v>141</v>
      </c>
      <c r="J214" t="s">
        <v>50</v>
      </c>
      <c r="K214" t="s">
        <v>194</v>
      </c>
      <c r="L214" t="s">
        <v>81</v>
      </c>
      <c r="M214" t="s">
        <v>40</v>
      </c>
      <c r="N214" t="s">
        <v>41</v>
      </c>
      <c r="O214" s="3">
        <v>395000</v>
      </c>
      <c r="P214" s="4">
        <v>100</v>
      </c>
      <c r="Q214" s="2">
        <v>45977</v>
      </c>
      <c r="R214" s="2"/>
      <c r="S214" s="2">
        <v>45935</v>
      </c>
      <c r="T214" s="2">
        <v>45977</v>
      </c>
      <c r="U214" t="str">
        <f t="shared" si="21"/>
        <v>Yes</v>
      </c>
      <c r="W2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214" t="str">
        <f t="shared" ca="1" si="22"/>
        <v>Closed</v>
      </c>
      <c r="Y214" t="str">
        <f t="shared" si="23"/>
        <v>Closed</v>
      </c>
      <c r="Z214" t="str">
        <f t="shared" si="24"/>
        <v>Sep-2025</v>
      </c>
      <c r="AA214" t="str">
        <f t="shared" si="25"/>
        <v>Q3 2025</v>
      </c>
      <c r="AB214" s="4">
        <f t="shared" ca="1" si="26"/>
        <v>278</v>
      </c>
      <c r="AC214" t="str">
        <f t="shared" si="27"/>
        <v>High</v>
      </c>
    </row>
    <row r="215" spans="1:29">
      <c r="A215" t="s">
        <v>1041</v>
      </c>
      <c r="B215" s="2">
        <v>45922</v>
      </c>
      <c r="C215" t="s">
        <v>1042</v>
      </c>
      <c r="D215" t="s">
        <v>1043</v>
      </c>
      <c r="E215" t="s">
        <v>1044</v>
      </c>
      <c r="F215" t="s">
        <v>1045</v>
      </c>
      <c r="G215" t="s">
        <v>34</v>
      </c>
      <c r="H215" t="s">
        <v>446</v>
      </c>
      <c r="I215" t="s">
        <v>141</v>
      </c>
      <c r="J215" t="s">
        <v>124</v>
      </c>
      <c r="K215" t="s">
        <v>51</v>
      </c>
      <c r="L215" t="s">
        <v>115</v>
      </c>
      <c r="M215" t="s">
        <v>73</v>
      </c>
      <c r="N215" t="s">
        <v>73</v>
      </c>
      <c r="O215" s="3">
        <v>305000</v>
      </c>
      <c r="P215" s="4">
        <v>75</v>
      </c>
      <c r="Q215" s="2">
        <v>46015</v>
      </c>
      <c r="R215" s="2">
        <v>46176</v>
      </c>
      <c r="S215" s="2">
        <v>45933</v>
      </c>
      <c r="T215" s="2"/>
      <c r="U215" t="str">
        <f t="shared" si="21"/>
        <v>No</v>
      </c>
      <c r="W2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5" t="str">
        <f t="shared" ca="1" si="22"/>
        <v>Overdue</v>
      </c>
      <c r="Y215" t="str">
        <f t="shared" si="23"/>
        <v>Open</v>
      </c>
      <c r="Z215" t="str">
        <f t="shared" si="24"/>
        <v>Sep-2025</v>
      </c>
      <c r="AA215" t="str">
        <f t="shared" si="25"/>
        <v>Q3 2025</v>
      </c>
      <c r="AB215" s="4">
        <f t="shared" ca="1" si="26"/>
        <v>277</v>
      </c>
      <c r="AC215" t="str">
        <f t="shared" si="27"/>
        <v>High</v>
      </c>
    </row>
    <row r="216" spans="1:29">
      <c r="A216" t="s">
        <v>1046</v>
      </c>
      <c r="B216" s="2">
        <v>45996</v>
      </c>
      <c r="C216" t="s">
        <v>1047</v>
      </c>
      <c r="D216" t="s">
        <v>986</v>
      </c>
      <c r="E216" t="s">
        <v>1048</v>
      </c>
      <c r="F216" t="s">
        <v>1049</v>
      </c>
      <c r="G216" t="s">
        <v>79</v>
      </c>
      <c r="H216" t="s">
        <v>228</v>
      </c>
      <c r="I216" t="s">
        <v>187</v>
      </c>
      <c r="J216" t="s">
        <v>50</v>
      </c>
      <c r="K216" t="s">
        <v>51</v>
      </c>
      <c r="L216" t="s">
        <v>72</v>
      </c>
      <c r="M216" t="s">
        <v>82</v>
      </c>
      <c r="N216" t="s">
        <v>83</v>
      </c>
      <c r="O216" s="3">
        <v>155000</v>
      </c>
      <c r="P216" s="4">
        <v>10</v>
      </c>
      <c r="Q216" s="2">
        <v>46068</v>
      </c>
      <c r="R216" s="2">
        <v>46166</v>
      </c>
      <c r="S216" s="2">
        <v>46015</v>
      </c>
      <c r="T216" s="2"/>
      <c r="U216" t="str">
        <f t="shared" si="21"/>
        <v>No</v>
      </c>
      <c r="W2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6" t="str">
        <f t="shared" ca="1" si="22"/>
        <v>Overdue</v>
      </c>
      <c r="Y216" t="str">
        <f t="shared" si="23"/>
        <v>Open</v>
      </c>
      <c r="Z216" t="str">
        <f t="shared" si="24"/>
        <v>Dec-2025</v>
      </c>
      <c r="AA216" t="str">
        <f t="shared" si="25"/>
        <v>Q4 2025</v>
      </c>
      <c r="AB216" s="4">
        <f t="shared" ca="1" si="26"/>
        <v>203</v>
      </c>
      <c r="AC216" t="str">
        <f t="shared" si="27"/>
        <v>Medium</v>
      </c>
    </row>
    <row r="217" spans="1:29">
      <c r="A217" t="s">
        <v>1050</v>
      </c>
      <c r="B217" s="2">
        <v>45849</v>
      </c>
      <c r="C217" t="s">
        <v>1051</v>
      </c>
      <c r="D217" t="s">
        <v>1052</v>
      </c>
      <c r="E217" t="s">
        <v>1053</v>
      </c>
      <c r="F217" t="s">
        <v>1054</v>
      </c>
      <c r="G217" t="s">
        <v>47</v>
      </c>
      <c r="H217" t="s">
        <v>89</v>
      </c>
      <c r="I217" t="s">
        <v>187</v>
      </c>
      <c r="J217" t="s">
        <v>62</v>
      </c>
      <c r="K217" t="s">
        <v>100</v>
      </c>
      <c r="L217" t="s">
        <v>63</v>
      </c>
      <c r="M217" t="s">
        <v>166</v>
      </c>
      <c r="N217" t="s">
        <v>167</v>
      </c>
      <c r="O217" s="3">
        <v>330000</v>
      </c>
      <c r="P217" s="4">
        <v>70</v>
      </c>
      <c r="Q217" s="2">
        <v>45932</v>
      </c>
      <c r="R217" s="2">
        <v>46229</v>
      </c>
      <c r="S217" s="2">
        <v>45859</v>
      </c>
      <c r="T217" s="2"/>
      <c r="U217" t="str">
        <f t="shared" si="21"/>
        <v>No</v>
      </c>
      <c r="W2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7" t="str">
        <f t="shared" ca="1" si="22"/>
        <v>Due/Open</v>
      </c>
      <c r="Y217" t="str">
        <f t="shared" si="23"/>
        <v>Open</v>
      </c>
      <c r="Z217" t="str">
        <f t="shared" si="24"/>
        <v>Jul-2025</v>
      </c>
      <c r="AA217" t="str">
        <f t="shared" si="25"/>
        <v>Q3 2025</v>
      </c>
      <c r="AB217" s="4">
        <f t="shared" ca="1" si="26"/>
        <v>350</v>
      </c>
      <c r="AC217" t="str">
        <f t="shared" si="27"/>
        <v>High</v>
      </c>
    </row>
    <row r="218" spans="1:29">
      <c r="A218" t="s">
        <v>1055</v>
      </c>
      <c r="B218" s="2">
        <v>46109</v>
      </c>
      <c r="C218" t="s">
        <v>1056</v>
      </c>
      <c r="D218" t="s">
        <v>273</v>
      </c>
      <c r="E218" t="s">
        <v>1057</v>
      </c>
      <c r="F218" t="s">
        <v>1058</v>
      </c>
      <c r="G218" t="s">
        <v>47</v>
      </c>
      <c r="H218" t="s">
        <v>48</v>
      </c>
      <c r="I218" t="s">
        <v>98</v>
      </c>
      <c r="J218" t="s">
        <v>37</v>
      </c>
      <c r="K218" t="s">
        <v>71</v>
      </c>
      <c r="L218" t="s">
        <v>81</v>
      </c>
      <c r="M218" t="s">
        <v>82</v>
      </c>
      <c r="N218" t="s">
        <v>83</v>
      </c>
      <c r="O218" s="3">
        <v>125000</v>
      </c>
      <c r="P218" s="4">
        <v>5</v>
      </c>
      <c r="Q218" s="2">
        <v>46144</v>
      </c>
      <c r="R218" s="2">
        <v>46186</v>
      </c>
      <c r="S218" s="2">
        <v>46121</v>
      </c>
      <c r="T218" s="2"/>
      <c r="U218" t="str">
        <f t="shared" si="21"/>
        <v>No</v>
      </c>
      <c r="W2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8" t="str">
        <f t="shared" ca="1" si="22"/>
        <v>Overdue</v>
      </c>
      <c r="Y218" t="str">
        <f t="shared" si="23"/>
        <v>Open</v>
      </c>
      <c r="Z218" t="str">
        <f t="shared" si="24"/>
        <v>Mar-2026</v>
      </c>
      <c r="AA218" t="str">
        <f t="shared" si="25"/>
        <v>Q1 2026</v>
      </c>
      <c r="AB218" s="4">
        <f t="shared" ca="1" si="26"/>
        <v>90</v>
      </c>
      <c r="AC218" t="str">
        <f t="shared" si="27"/>
        <v>Medium</v>
      </c>
    </row>
    <row r="219" spans="1:29">
      <c r="A219" t="s">
        <v>1059</v>
      </c>
      <c r="B219" s="2">
        <v>45840</v>
      </c>
      <c r="C219" t="s">
        <v>1060</v>
      </c>
      <c r="D219" t="s">
        <v>831</v>
      </c>
      <c r="E219" t="s">
        <v>1061</v>
      </c>
      <c r="F219" t="s">
        <v>1062</v>
      </c>
      <c r="G219" t="s">
        <v>79</v>
      </c>
      <c r="H219" t="s">
        <v>228</v>
      </c>
      <c r="I219" t="s">
        <v>36</v>
      </c>
      <c r="J219" t="s">
        <v>50</v>
      </c>
      <c r="K219" t="s">
        <v>51</v>
      </c>
      <c r="L219" t="s">
        <v>125</v>
      </c>
      <c r="M219" t="s">
        <v>53</v>
      </c>
      <c r="N219" t="s">
        <v>54</v>
      </c>
      <c r="O219" s="3">
        <v>470000</v>
      </c>
      <c r="P219" s="4">
        <v>30</v>
      </c>
      <c r="Q219" s="2">
        <v>45930</v>
      </c>
      <c r="R219" s="2">
        <v>46207</v>
      </c>
      <c r="S219" s="2">
        <v>45858</v>
      </c>
      <c r="T219" s="2"/>
      <c r="U219" t="str">
        <f t="shared" si="21"/>
        <v>No</v>
      </c>
      <c r="W2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19" t="str">
        <f t="shared" ca="1" si="22"/>
        <v>Due/Open</v>
      </c>
      <c r="Y219" t="str">
        <f t="shared" si="23"/>
        <v>Open</v>
      </c>
      <c r="Z219" t="str">
        <f t="shared" si="24"/>
        <v>Jul-2025</v>
      </c>
      <c r="AA219" t="str">
        <f t="shared" si="25"/>
        <v>Q3 2025</v>
      </c>
      <c r="AB219" s="4">
        <f t="shared" ca="1" si="26"/>
        <v>359</v>
      </c>
      <c r="AC219" t="str">
        <f t="shared" si="27"/>
        <v>High</v>
      </c>
    </row>
    <row r="220" spans="1:29">
      <c r="A220" t="s">
        <v>1063</v>
      </c>
      <c r="B220" s="2">
        <v>45862</v>
      </c>
      <c r="C220" t="s">
        <v>1064</v>
      </c>
      <c r="D220" t="s">
        <v>676</v>
      </c>
      <c r="E220" t="s">
        <v>1065</v>
      </c>
      <c r="F220" t="s">
        <v>1066</v>
      </c>
      <c r="G220" t="s">
        <v>69</v>
      </c>
      <c r="H220" t="s">
        <v>70</v>
      </c>
      <c r="I220" t="s">
        <v>61</v>
      </c>
      <c r="J220" t="s">
        <v>131</v>
      </c>
      <c r="K220" t="s">
        <v>51</v>
      </c>
      <c r="L220" t="s">
        <v>154</v>
      </c>
      <c r="M220" t="s">
        <v>82</v>
      </c>
      <c r="N220" t="s">
        <v>83</v>
      </c>
      <c r="O220" s="3">
        <v>340000</v>
      </c>
      <c r="P220" s="4">
        <v>5</v>
      </c>
      <c r="Q220" s="2">
        <v>45886</v>
      </c>
      <c r="R220" s="2">
        <v>46217</v>
      </c>
      <c r="S220" s="2">
        <v>45882</v>
      </c>
      <c r="T220" s="2"/>
      <c r="U220" t="str">
        <f t="shared" si="21"/>
        <v>No</v>
      </c>
      <c r="W2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0" t="str">
        <f t="shared" ca="1" si="22"/>
        <v>Due/Open</v>
      </c>
      <c r="Y220" t="str">
        <f t="shared" si="23"/>
        <v>Open</v>
      </c>
      <c r="Z220" t="str">
        <f t="shared" si="24"/>
        <v>Jul-2025</v>
      </c>
      <c r="AA220" t="str">
        <f t="shared" si="25"/>
        <v>Q3 2025</v>
      </c>
      <c r="AB220" s="4">
        <f t="shared" ca="1" si="26"/>
        <v>337</v>
      </c>
      <c r="AC220" t="str">
        <f t="shared" si="27"/>
        <v>High</v>
      </c>
    </row>
    <row r="221" spans="1:29">
      <c r="A221" t="s">
        <v>1067</v>
      </c>
      <c r="B221" s="2">
        <v>45819</v>
      </c>
      <c r="C221" t="s">
        <v>714</v>
      </c>
      <c r="D221" t="s">
        <v>263</v>
      </c>
      <c r="E221" t="s">
        <v>1068</v>
      </c>
      <c r="F221" t="s">
        <v>1069</v>
      </c>
      <c r="G221" t="s">
        <v>179</v>
      </c>
      <c r="H221" t="s">
        <v>318</v>
      </c>
      <c r="I221" t="s">
        <v>123</v>
      </c>
      <c r="J221" t="s">
        <v>124</v>
      </c>
      <c r="K221" t="s">
        <v>194</v>
      </c>
      <c r="L221" t="s">
        <v>154</v>
      </c>
      <c r="M221" t="s">
        <v>82</v>
      </c>
      <c r="N221" t="s">
        <v>83</v>
      </c>
      <c r="O221" s="3">
        <v>290000</v>
      </c>
      <c r="P221" s="4">
        <v>10</v>
      </c>
      <c r="Q221" s="2">
        <v>45847</v>
      </c>
      <c r="R221" s="2">
        <v>46188</v>
      </c>
      <c r="S221" s="2">
        <v>45829</v>
      </c>
      <c r="T221" s="2"/>
      <c r="U221" t="str">
        <f t="shared" si="21"/>
        <v>No</v>
      </c>
      <c r="W2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1" t="str">
        <f t="shared" ca="1" si="22"/>
        <v>Overdue</v>
      </c>
      <c r="Y221" t="str">
        <f t="shared" si="23"/>
        <v>Open</v>
      </c>
      <c r="Z221" t="str">
        <f t="shared" si="24"/>
        <v>Jun-2025</v>
      </c>
      <c r="AA221" t="str">
        <f t="shared" si="25"/>
        <v>Q2 2025</v>
      </c>
      <c r="AB221" s="4">
        <f t="shared" ca="1" si="26"/>
        <v>380</v>
      </c>
      <c r="AC221" t="str">
        <f t="shared" si="27"/>
        <v>Medium</v>
      </c>
    </row>
    <row r="222" spans="1:29">
      <c r="A222" t="s">
        <v>1070</v>
      </c>
      <c r="B222" s="2">
        <v>45952</v>
      </c>
      <c r="C222" t="s">
        <v>1071</v>
      </c>
      <c r="D222" t="s">
        <v>1072</v>
      </c>
      <c r="E222" t="s">
        <v>1073</v>
      </c>
      <c r="F222" t="s">
        <v>1074</v>
      </c>
      <c r="G222" t="s">
        <v>79</v>
      </c>
      <c r="H222" t="s">
        <v>217</v>
      </c>
      <c r="I222" t="s">
        <v>141</v>
      </c>
      <c r="J222" t="s">
        <v>99</v>
      </c>
      <c r="K222" t="s">
        <v>71</v>
      </c>
      <c r="L222" t="s">
        <v>52</v>
      </c>
      <c r="M222" t="s">
        <v>90</v>
      </c>
      <c r="N222" t="s">
        <v>91</v>
      </c>
      <c r="O222" s="3">
        <v>195000</v>
      </c>
      <c r="P222" s="4">
        <v>40</v>
      </c>
      <c r="Q222" s="2">
        <v>46027</v>
      </c>
      <c r="R222" s="2">
        <v>46154</v>
      </c>
      <c r="S222" s="2">
        <v>45955</v>
      </c>
      <c r="T222" s="2"/>
      <c r="U222" t="str">
        <f t="shared" si="21"/>
        <v>No</v>
      </c>
      <c r="W2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2" t="str">
        <f t="shared" ca="1" si="22"/>
        <v>Overdue</v>
      </c>
      <c r="Y222" t="str">
        <f t="shared" si="23"/>
        <v>Open</v>
      </c>
      <c r="Z222" t="str">
        <f t="shared" si="24"/>
        <v>Oct-2025</v>
      </c>
      <c r="AA222" t="str">
        <f t="shared" si="25"/>
        <v>Q4 2025</v>
      </c>
      <c r="AB222" s="4">
        <f t="shared" ca="1" si="26"/>
        <v>247</v>
      </c>
      <c r="AC222" t="str">
        <f t="shared" si="27"/>
        <v>Medium</v>
      </c>
    </row>
    <row r="223" spans="1:29">
      <c r="A223" t="s">
        <v>1075</v>
      </c>
      <c r="B223" s="2">
        <v>46079</v>
      </c>
      <c r="C223" t="s">
        <v>1076</v>
      </c>
      <c r="D223" t="s">
        <v>981</v>
      </c>
      <c r="E223" t="s">
        <v>1077</v>
      </c>
      <c r="F223" t="s">
        <v>1078</v>
      </c>
      <c r="G223" t="s">
        <v>179</v>
      </c>
      <c r="H223" t="s">
        <v>296</v>
      </c>
      <c r="I223" t="s">
        <v>187</v>
      </c>
      <c r="J223" t="s">
        <v>131</v>
      </c>
      <c r="K223" t="s">
        <v>51</v>
      </c>
      <c r="L223" t="s">
        <v>63</v>
      </c>
      <c r="M223" t="s">
        <v>90</v>
      </c>
      <c r="N223" t="s">
        <v>91</v>
      </c>
      <c r="O223" s="3">
        <v>265000</v>
      </c>
      <c r="P223" s="4">
        <v>50</v>
      </c>
      <c r="Q223" s="2">
        <v>46099</v>
      </c>
      <c r="R223" s="2">
        <v>46226</v>
      </c>
      <c r="S223" s="2">
        <v>46101</v>
      </c>
      <c r="T223" s="2"/>
      <c r="U223" t="str">
        <f t="shared" si="21"/>
        <v>No</v>
      </c>
      <c r="W2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3" t="str">
        <f t="shared" ca="1" si="22"/>
        <v>Due/Open</v>
      </c>
      <c r="Y223" t="str">
        <f t="shared" si="23"/>
        <v>Open</v>
      </c>
      <c r="Z223" t="str">
        <f t="shared" si="24"/>
        <v>Feb-2026</v>
      </c>
      <c r="AA223" t="str">
        <f t="shared" si="25"/>
        <v>Q1 2026</v>
      </c>
      <c r="AB223" s="4">
        <f t="shared" ca="1" si="26"/>
        <v>120</v>
      </c>
      <c r="AC223" t="str">
        <f t="shared" si="27"/>
        <v>Medium</v>
      </c>
    </row>
    <row r="224" spans="1:29">
      <c r="A224" t="s">
        <v>1079</v>
      </c>
      <c r="B224" s="2">
        <v>45719</v>
      </c>
      <c r="C224" t="s">
        <v>1080</v>
      </c>
      <c r="D224" t="s">
        <v>1081</v>
      </c>
      <c r="E224" t="s">
        <v>1082</v>
      </c>
      <c r="F224" t="s">
        <v>1083</v>
      </c>
      <c r="G224" t="s">
        <v>34</v>
      </c>
      <c r="H224" t="s">
        <v>160</v>
      </c>
      <c r="I224" t="s">
        <v>98</v>
      </c>
      <c r="J224" t="s">
        <v>131</v>
      </c>
      <c r="K224" t="s">
        <v>100</v>
      </c>
      <c r="L224" t="s">
        <v>239</v>
      </c>
      <c r="M224" t="s">
        <v>166</v>
      </c>
      <c r="N224" t="s">
        <v>167</v>
      </c>
      <c r="O224" s="3">
        <v>125000</v>
      </c>
      <c r="P224" s="4">
        <v>65</v>
      </c>
      <c r="Q224" s="2">
        <v>45763</v>
      </c>
      <c r="R224" s="2">
        <v>46211</v>
      </c>
      <c r="S224" s="2">
        <v>45726</v>
      </c>
      <c r="T224" s="2"/>
      <c r="U224" t="str">
        <f t="shared" si="21"/>
        <v>No</v>
      </c>
      <c r="W2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4" t="str">
        <f t="shared" ca="1" si="22"/>
        <v>Due/Open</v>
      </c>
      <c r="Y224" t="str">
        <f t="shared" si="23"/>
        <v>Open</v>
      </c>
      <c r="Z224" t="str">
        <f t="shared" si="24"/>
        <v>Mar-2025</v>
      </c>
      <c r="AA224" t="str">
        <f t="shared" si="25"/>
        <v>Q1 2025</v>
      </c>
      <c r="AB224" s="4">
        <f t="shared" ca="1" si="26"/>
        <v>480</v>
      </c>
      <c r="AC224" t="str">
        <f t="shared" si="27"/>
        <v>Medium</v>
      </c>
    </row>
    <row r="225" spans="1:29">
      <c r="A225" t="s">
        <v>1084</v>
      </c>
      <c r="B225" s="2">
        <v>45897</v>
      </c>
      <c r="C225" t="s">
        <v>1085</v>
      </c>
      <c r="D225" t="s">
        <v>1086</v>
      </c>
      <c r="E225" t="s">
        <v>1087</v>
      </c>
      <c r="F225" t="s">
        <v>1088</v>
      </c>
      <c r="G225" t="s">
        <v>79</v>
      </c>
      <c r="H225" t="s">
        <v>228</v>
      </c>
      <c r="I225" t="s">
        <v>148</v>
      </c>
      <c r="J225" t="s">
        <v>131</v>
      </c>
      <c r="K225" t="s">
        <v>100</v>
      </c>
      <c r="L225" t="s">
        <v>115</v>
      </c>
      <c r="M225" t="s">
        <v>90</v>
      </c>
      <c r="N225" t="s">
        <v>91</v>
      </c>
      <c r="O225" s="3">
        <v>130000</v>
      </c>
      <c r="P225" s="4">
        <v>50</v>
      </c>
      <c r="Q225" s="2">
        <v>45971</v>
      </c>
      <c r="R225" s="2">
        <v>46230</v>
      </c>
      <c r="S225" s="2">
        <v>45915</v>
      </c>
      <c r="T225" s="2"/>
      <c r="U225" t="str">
        <f t="shared" si="21"/>
        <v>No</v>
      </c>
      <c r="W2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5" t="str">
        <f t="shared" ca="1" si="22"/>
        <v>Due/Open</v>
      </c>
      <c r="Y225" t="str">
        <f t="shared" si="23"/>
        <v>Open</v>
      </c>
      <c r="Z225" t="str">
        <f t="shared" si="24"/>
        <v>Aug-2025</v>
      </c>
      <c r="AA225" t="str">
        <f t="shared" si="25"/>
        <v>Q3 2025</v>
      </c>
      <c r="AB225" s="4">
        <f t="shared" ca="1" si="26"/>
        <v>302</v>
      </c>
      <c r="AC225" t="str">
        <f t="shared" si="27"/>
        <v>Medium</v>
      </c>
    </row>
    <row r="226" spans="1:29">
      <c r="A226" t="s">
        <v>1089</v>
      </c>
      <c r="B226" s="2">
        <v>45988</v>
      </c>
      <c r="C226" t="s">
        <v>925</v>
      </c>
      <c r="D226" t="s">
        <v>775</v>
      </c>
      <c r="E226" t="s">
        <v>1090</v>
      </c>
      <c r="F226" t="s">
        <v>1091</v>
      </c>
      <c r="G226" t="s">
        <v>69</v>
      </c>
      <c r="H226" t="s">
        <v>200</v>
      </c>
      <c r="I226" t="s">
        <v>148</v>
      </c>
      <c r="J226" t="s">
        <v>62</v>
      </c>
      <c r="K226" t="s">
        <v>71</v>
      </c>
      <c r="L226" t="s">
        <v>115</v>
      </c>
      <c r="M226" t="s">
        <v>116</v>
      </c>
      <c r="N226" t="s">
        <v>54</v>
      </c>
      <c r="O226" s="3">
        <v>330000</v>
      </c>
      <c r="P226" s="4">
        <v>15</v>
      </c>
      <c r="Q226" s="2">
        <v>46017</v>
      </c>
      <c r="R226" s="2">
        <v>46207</v>
      </c>
      <c r="S226" s="2">
        <v>45989</v>
      </c>
      <c r="T226" s="2"/>
      <c r="U226" t="str">
        <f t="shared" si="21"/>
        <v>No</v>
      </c>
      <c r="W2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6" t="str">
        <f t="shared" ca="1" si="22"/>
        <v>Due/Open</v>
      </c>
      <c r="Y226" t="str">
        <f t="shared" si="23"/>
        <v>Open</v>
      </c>
      <c r="Z226" t="str">
        <f t="shared" si="24"/>
        <v>Nov-2025</v>
      </c>
      <c r="AA226" t="str">
        <f t="shared" si="25"/>
        <v>Q4 2025</v>
      </c>
      <c r="AB226" s="4">
        <f t="shared" ca="1" si="26"/>
        <v>211</v>
      </c>
      <c r="AC226" t="str">
        <f t="shared" si="27"/>
        <v>High</v>
      </c>
    </row>
    <row r="227" spans="1:29">
      <c r="A227" t="s">
        <v>1092</v>
      </c>
      <c r="B227" s="2">
        <v>45775</v>
      </c>
      <c r="C227" t="s">
        <v>622</v>
      </c>
      <c r="D227" t="s">
        <v>1093</v>
      </c>
      <c r="E227" t="s">
        <v>1094</v>
      </c>
      <c r="F227" t="s">
        <v>1095</v>
      </c>
      <c r="G227" t="s">
        <v>179</v>
      </c>
      <c r="H227" t="s">
        <v>436</v>
      </c>
      <c r="I227" t="s">
        <v>98</v>
      </c>
      <c r="J227" t="s">
        <v>62</v>
      </c>
      <c r="K227" t="s">
        <v>38</v>
      </c>
      <c r="L227" t="s">
        <v>63</v>
      </c>
      <c r="M227" t="s">
        <v>53</v>
      </c>
      <c r="N227" t="s">
        <v>54</v>
      </c>
      <c r="O227" s="3">
        <v>120000</v>
      </c>
      <c r="P227" s="4">
        <v>25</v>
      </c>
      <c r="Q227" s="2">
        <v>45855</v>
      </c>
      <c r="R227" s="2">
        <v>46220</v>
      </c>
      <c r="S227" s="2">
        <v>45786</v>
      </c>
      <c r="T227" s="2"/>
      <c r="U227" t="str">
        <f t="shared" si="21"/>
        <v>No</v>
      </c>
      <c r="W2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7" t="str">
        <f t="shared" ca="1" si="22"/>
        <v>Due/Open</v>
      </c>
      <c r="Y227" t="str">
        <f t="shared" si="23"/>
        <v>Open</v>
      </c>
      <c r="Z227" t="str">
        <f t="shared" si="24"/>
        <v>Apr-2025</v>
      </c>
      <c r="AA227" t="str">
        <f t="shared" si="25"/>
        <v>Q2 2025</v>
      </c>
      <c r="AB227" s="4">
        <f t="shared" ca="1" si="26"/>
        <v>424</v>
      </c>
      <c r="AC227" t="str">
        <f t="shared" si="27"/>
        <v>Medium</v>
      </c>
    </row>
    <row r="228" spans="1:29">
      <c r="A228" t="s">
        <v>1096</v>
      </c>
      <c r="B228" s="2">
        <v>45803</v>
      </c>
      <c r="C228" t="s">
        <v>1097</v>
      </c>
      <c r="D228" t="s">
        <v>1098</v>
      </c>
      <c r="E228" t="s">
        <v>1099</v>
      </c>
      <c r="F228" t="s">
        <v>1100</v>
      </c>
      <c r="G228" t="s">
        <v>47</v>
      </c>
      <c r="H228" t="s">
        <v>493</v>
      </c>
      <c r="I228" t="s">
        <v>141</v>
      </c>
      <c r="J228" t="s">
        <v>124</v>
      </c>
      <c r="K228" t="s">
        <v>71</v>
      </c>
      <c r="L228" t="s">
        <v>115</v>
      </c>
      <c r="M228" t="s">
        <v>116</v>
      </c>
      <c r="N228" t="s">
        <v>54</v>
      </c>
      <c r="O228" s="3">
        <v>275000</v>
      </c>
      <c r="P228" s="4">
        <v>15</v>
      </c>
      <c r="Q228" s="2">
        <v>45865</v>
      </c>
      <c r="R228" s="2">
        <v>46197</v>
      </c>
      <c r="S228" s="2">
        <v>45829</v>
      </c>
      <c r="T228" s="2"/>
      <c r="U228" t="str">
        <f t="shared" si="21"/>
        <v>No</v>
      </c>
      <c r="W2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28" t="str">
        <f t="shared" ca="1" si="22"/>
        <v>Overdue</v>
      </c>
      <c r="Y228" t="str">
        <f t="shared" si="23"/>
        <v>Open</v>
      </c>
      <c r="Z228" t="str">
        <f t="shared" si="24"/>
        <v>May-2025</v>
      </c>
      <c r="AA228" t="str">
        <f t="shared" si="25"/>
        <v>Q2 2025</v>
      </c>
      <c r="AB228" s="4">
        <f t="shared" ca="1" si="26"/>
        <v>396</v>
      </c>
      <c r="AC228" t="str">
        <f t="shared" si="27"/>
        <v>Medium</v>
      </c>
    </row>
    <row r="229" spans="1:29">
      <c r="A229" t="s">
        <v>1101</v>
      </c>
      <c r="B229" s="2">
        <v>46044</v>
      </c>
      <c r="C229" t="s">
        <v>1102</v>
      </c>
      <c r="D229" t="s">
        <v>384</v>
      </c>
      <c r="E229" t="s">
        <v>1103</v>
      </c>
      <c r="F229" t="s">
        <v>1104</v>
      </c>
      <c r="G229" t="s">
        <v>179</v>
      </c>
      <c r="H229" t="s">
        <v>180</v>
      </c>
      <c r="I229" t="s">
        <v>36</v>
      </c>
      <c r="J229" t="s">
        <v>99</v>
      </c>
      <c r="K229" t="s">
        <v>100</v>
      </c>
      <c r="L229" t="s">
        <v>39</v>
      </c>
      <c r="M229" t="s">
        <v>210</v>
      </c>
      <c r="N229" t="s">
        <v>134</v>
      </c>
      <c r="O229" s="3">
        <v>200000</v>
      </c>
      <c r="P229" s="4">
        <v>0</v>
      </c>
      <c r="Q229" s="2">
        <v>46059</v>
      </c>
      <c r="R229" s="2"/>
      <c r="S229" s="2">
        <v>46050</v>
      </c>
      <c r="T229" s="2">
        <v>46059</v>
      </c>
      <c r="U229" t="str">
        <f t="shared" si="21"/>
        <v>No</v>
      </c>
      <c r="V229" t="s">
        <v>1105</v>
      </c>
      <c r="W2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15</v>
      </c>
      <c r="X229" t="str">
        <f t="shared" ca="1" si="22"/>
        <v>Closed</v>
      </c>
      <c r="Y229" t="str">
        <f t="shared" si="23"/>
        <v>Closed</v>
      </c>
      <c r="Z229" t="str">
        <f t="shared" si="24"/>
        <v>Jan-2026</v>
      </c>
      <c r="AA229" t="str">
        <f t="shared" si="25"/>
        <v>Q1 2026</v>
      </c>
      <c r="AB229" s="4">
        <f t="shared" ca="1" si="26"/>
        <v>155</v>
      </c>
      <c r="AC229" t="str">
        <f t="shared" si="27"/>
        <v>Medium</v>
      </c>
    </row>
    <row r="230" spans="1:29">
      <c r="A230" t="s">
        <v>1106</v>
      </c>
      <c r="B230" s="2">
        <v>45891</v>
      </c>
      <c r="C230" t="s">
        <v>1107</v>
      </c>
      <c r="D230" t="s">
        <v>676</v>
      </c>
      <c r="E230" t="s">
        <v>1108</v>
      </c>
      <c r="F230" t="s">
        <v>1109</v>
      </c>
      <c r="G230" t="s">
        <v>47</v>
      </c>
      <c r="H230" t="s">
        <v>493</v>
      </c>
      <c r="I230" t="s">
        <v>36</v>
      </c>
      <c r="J230" t="s">
        <v>37</v>
      </c>
      <c r="K230" t="s">
        <v>51</v>
      </c>
      <c r="L230" t="s">
        <v>239</v>
      </c>
      <c r="M230" t="s">
        <v>90</v>
      </c>
      <c r="N230" t="s">
        <v>91</v>
      </c>
      <c r="O230" s="3">
        <v>75000</v>
      </c>
      <c r="P230" s="4">
        <v>55</v>
      </c>
      <c r="Q230" s="2">
        <v>45938</v>
      </c>
      <c r="R230" s="2">
        <v>46216</v>
      </c>
      <c r="S230" s="2">
        <v>45916</v>
      </c>
      <c r="T230" s="2"/>
      <c r="U230" t="str">
        <f t="shared" si="21"/>
        <v>No</v>
      </c>
      <c r="W2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0" t="str">
        <f t="shared" ca="1" si="22"/>
        <v>Due/Open</v>
      </c>
      <c r="Y230" t="str">
        <f t="shared" si="23"/>
        <v>Open</v>
      </c>
      <c r="Z230" t="str">
        <f t="shared" si="24"/>
        <v>Aug-2025</v>
      </c>
      <c r="AA230" t="str">
        <f t="shared" si="25"/>
        <v>Q3 2025</v>
      </c>
      <c r="AB230" s="4">
        <f t="shared" ca="1" si="26"/>
        <v>308</v>
      </c>
      <c r="AC230" t="str">
        <f t="shared" si="27"/>
        <v>Low</v>
      </c>
    </row>
    <row r="231" spans="1:29">
      <c r="A231" t="s">
        <v>1110</v>
      </c>
      <c r="B231" s="2">
        <v>46146</v>
      </c>
      <c r="C231" t="s">
        <v>137</v>
      </c>
      <c r="D231" t="s">
        <v>557</v>
      </c>
      <c r="E231" t="s">
        <v>1111</v>
      </c>
      <c r="F231" t="s">
        <v>1112</v>
      </c>
      <c r="G231" t="s">
        <v>179</v>
      </c>
      <c r="H231" t="s">
        <v>318</v>
      </c>
      <c r="I231" t="s">
        <v>148</v>
      </c>
      <c r="J231" t="s">
        <v>50</v>
      </c>
      <c r="K231" t="s">
        <v>38</v>
      </c>
      <c r="L231" t="s">
        <v>125</v>
      </c>
      <c r="M231" t="s">
        <v>210</v>
      </c>
      <c r="N231" t="s">
        <v>134</v>
      </c>
      <c r="O231" s="3">
        <v>275000</v>
      </c>
      <c r="P231" s="4">
        <v>0</v>
      </c>
      <c r="Q231" s="2">
        <v>46189</v>
      </c>
      <c r="R231" s="2"/>
      <c r="S231" s="2">
        <v>46158</v>
      </c>
      <c r="T231" s="2">
        <v>46189</v>
      </c>
      <c r="U231" t="str">
        <f t="shared" si="21"/>
        <v>No</v>
      </c>
      <c r="V231" t="s">
        <v>452</v>
      </c>
      <c r="W23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43</v>
      </c>
      <c r="X231" t="str">
        <f t="shared" ca="1" si="22"/>
        <v>Closed</v>
      </c>
      <c r="Y231" t="str">
        <f t="shared" si="23"/>
        <v>Closed</v>
      </c>
      <c r="Z231" t="str">
        <f t="shared" si="24"/>
        <v>May-2026</v>
      </c>
      <c r="AA231" t="str">
        <f t="shared" si="25"/>
        <v>Q2 2026</v>
      </c>
      <c r="AB231" s="4">
        <f t="shared" ca="1" si="26"/>
        <v>53</v>
      </c>
      <c r="AC231" t="str">
        <f t="shared" si="27"/>
        <v>Medium</v>
      </c>
    </row>
    <row r="232" spans="1:29">
      <c r="A232" t="s">
        <v>1113</v>
      </c>
      <c r="B232" s="2">
        <v>45807</v>
      </c>
      <c r="C232" t="s">
        <v>763</v>
      </c>
      <c r="D232" t="s">
        <v>636</v>
      </c>
      <c r="E232" t="s">
        <v>1114</v>
      </c>
      <c r="F232" t="s">
        <v>1115</v>
      </c>
      <c r="G232" t="s">
        <v>179</v>
      </c>
      <c r="H232" t="s">
        <v>180</v>
      </c>
      <c r="I232" t="s">
        <v>187</v>
      </c>
      <c r="J232" t="s">
        <v>37</v>
      </c>
      <c r="K232" t="s">
        <v>114</v>
      </c>
      <c r="L232" t="s">
        <v>154</v>
      </c>
      <c r="M232" t="s">
        <v>40</v>
      </c>
      <c r="N232" t="s">
        <v>41</v>
      </c>
      <c r="O232" s="3">
        <v>75000</v>
      </c>
      <c r="P232" s="4">
        <v>100</v>
      </c>
      <c r="Q232" s="2">
        <v>45864</v>
      </c>
      <c r="R232" s="2"/>
      <c r="S232" s="2">
        <v>45827</v>
      </c>
      <c r="T232" s="2">
        <v>45864</v>
      </c>
      <c r="U232" t="str">
        <f t="shared" si="21"/>
        <v>Yes</v>
      </c>
      <c r="W23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232" t="str">
        <f t="shared" ca="1" si="22"/>
        <v>Closed</v>
      </c>
      <c r="Y232" t="str">
        <f t="shared" si="23"/>
        <v>Closed</v>
      </c>
      <c r="Z232" t="str">
        <f t="shared" si="24"/>
        <v>May-2025</v>
      </c>
      <c r="AA232" t="str">
        <f t="shared" si="25"/>
        <v>Q2 2025</v>
      </c>
      <c r="AB232" s="4">
        <f t="shared" ca="1" si="26"/>
        <v>392</v>
      </c>
      <c r="AC232" t="str">
        <f t="shared" si="27"/>
        <v>Low</v>
      </c>
    </row>
    <row r="233" spans="1:29">
      <c r="A233" t="s">
        <v>1116</v>
      </c>
      <c r="B233" s="2">
        <v>46069</v>
      </c>
      <c r="C233" t="s">
        <v>1117</v>
      </c>
      <c r="D233" t="s">
        <v>1118</v>
      </c>
      <c r="E233" t="s">
        <v>1119</v>
      </c>
      <c r="F233" t="s">
        <v>1120</v>
      </c>
      <c r="G233" t="s">
        <v>34</v>
      </c>
      <c r="H233" t="s">
        <v>160</v>
      </c>
      <c r="I233" t="s">
        <v>49</v>
      </c>
      <c r="J233" t="s">
        <v>62</v>
      </c>
      <c r="K233" t="s">
        <v>114</v>
      </c>
      <c r="L233" t="s">
        <v>125</v>
      </c>
      <c r="M233" t="s">
        <v>90</v>
      </c>
      <c r="N233" t="s">
        <v>91</v>
      </c>
      <c r="O233" s="3">
        <v>245000</v>
      </c>
      <c r="P233" s="4">
        <v>55</v>
      </c>
      <c r="Q233" s="2">
        <v>46154</v>
      </c>
      <c r="R233" s="2">
        <v>46183</v>
      </c>
      <c r="S233" s="2">
        <v>46082</v>
      </c>
      <c r="T233" s="2"/>
      <c r="U233" t="str">
        <f t="shared" si="21"/>
        <v>No</v>
      </c>
      <c r="W2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3" t="str">
        <f t="shared" ca="1" si="22"/>
        <v>Overdue</v>
      </c>
      <c r="Y233" t="str">
        <f t="shared" si="23"/>
        <v>Open</v>
      </c>
      <c r="Z233" t="str">
        <f t="shared" si="24"/>
        <v>Feb-2026</v>
      </c>
      <c r="AA233" t="str">
        <f t="shared" si="25"/>
        <v>Q1 2026</v>
      </c>
      <c r="AB233" s="4">
        <f t="shared" ca="1" si="26"/>
        <v>130</v>
      </c>
      <c r="AC233" t="str">
        <f t="shared" si="27"/>
        <v>Medium</v>
      </c>
    </row>
    <row r="234" spans="1:29">
      <c r="A234" t="s">
        <v>1121</v>
      </c>
      <c r="B234" s="2">
        <v>45872</v>
      </c>
      <c r="C234" t="s">
        <v>1122</v>
      </c>
      <c r="D234" t="s">
        <v>407</v>
      </c>
      <c r="E234" t="s">
        <v>1123</v>
      </c>
      <c r="F234" t="s">
        <v>1124</v>
      </c>
      <c r="G234" t="s">
        <v>69</v>
      </c>
      <c r="H234" t="s">
        <v>312</v>
      </c>
      <c r="I234" t="s">
        <v>36</v>
      </c>
      <c r="J234" t="s">
        <v>124</v>
      </c>
      <c r="K234" t="s">
        <v>51</v>
      </c>
      <c r="L234" t="s">
        <v>132</v>
      </c>
      <c r="M234" t="s">
        <v>166</v>
      </c>
      <c r="N234" t="s">
        <v>167</v>
      </c>
      <c r="O234" s="3">
        <v>85000</v>
      </c>
      <c r="P234" s="4">
        <v>65</v>
      </c>
      <c r="Q234" s="2">
        <v>45939</v>
      </c>
      <c r="R234" s="2">
        <v>46234</v>
      </c>
      <c r="S234" s="2">
        <v>45876</v>
      </c>
      <c r="T234" s="2"/>
      <c r="U234" t="str">
        <f t="shared" si="21"/>
        <v>No</v>
      </c>
      <c r="W2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4" t="str">
        <f t="shared" ca="1" si="22"/>
        <v>Due/Open</v>
      </c>
      <c r="Y234" t="str">
        <f t="shared" si="23"/>
        <v>Open</v>
      </c>
      <c r="Z234" t="str">
        <f t="shared" si="24"/>
        <v>Aug-2025</v>
      </c>
      <c r="AA234" t="str">
        <f t="shared" si="25"/>
        <v>Q3 2025</v>
      </c>
      <c r="AB234" s="4">
        <f t="shared" ca="1" si="26"/>
        <v>327</v>
      </c>
      <c r="AC234" t="str">
        <f t="shared" si="27"/>
        <v>Low</v>
      </c>
    </row>
    <row r="235" spans="1:29">
      <c r="A235" t="s">
        <v>1125</v>
      </c>
      <c r="B235" s="2">
        <v>45945</v>
      </c>
      <c r="C235" t="s">
        <v>1126</v>
      </c>
      <c r="D235" t="s">
        <v>1127</v>
      </c>
      <c r="E235" t="s">
        <v>1128</v>
      </c>
      <c r="F235" t="s">
        <v>1129</v>
      </c>
      <c r="G235" t="s">
        <v>47</v>
      </c>
      <c r="H235" t="s">
        <v>493</v>
      </c>
      <c r="I235" t="s">
        <v>98</v>
      </c>
      <c r="J235" t="s">
        <v>131</v>
      </c>
      <c r="K235" t="s">
        <v>71</v>
      </c>
      <c r="L235" t="s">
        <v>81</v>
      </c>
      <c r="M235" t="s">
        <v>90</v>
      </c>
      <c r="N235" t="s">
        <v>91</v>
      </c>
      <c r="O235" s="3">
        <v>135000</v>
      </c>
      <c r="P235" s="4">
        <v>55</v>
      </c>
      <c r="Q235" s="2">
        <v>46013</v>
      </c>
      <c r="R235" s="2">
        <v>46168</v>
      </c>
      <c r="S235" s="2">
        <v>45955</v>
      </c>
      <c r="T235" s="2"/>
      <c r="U235" t="str">
        <f t="shared" si="21"/>
        <v>No</v>
      </c>
      <c r="W2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5" t="str">
        <f t="shared" ca="1" si="22"/>
        <v>Overdue</v>
      </c>
      <c r="Y235" t="str">
        <f t="shared" si="23"/>
        <v>Open</v>
      </c>
      <c r="Z235" t="str">
        <f t="shared" si="24"/>
        <v>Oct-2025</v>
      </c>
      <c r="AA235" t="str">
        <f t="shared" si="25"/>
        <v>Q4 2025</v>
      </c>
      <c r="AB235" s="4">
        <f t="shared" ca="1" si="26"/>
        <v>254</v>
      </c>
      <c r="AC235" t="str">
        <f t="shared" si="27"/>
        <v>Medium</v>
      </c>
    </row>
    <row r="236" spans="1:29">
      <c r="A236" t="s">
        <v>1130</v>
      </c>
      <c r="B236" s="2">
        <v>45748</v>
      </c>
      <c r="C236" t="s">
        <v>1131</v>
      </c>
      <c r="D236" t="s">
        <v>1132</v>
      </c>
      <c r="E236" t="s">
        <v>1133</v>
      </c>
      <c r="F236" t="s">
        <v>1134</v>
      </c>
      <c r="G236" t="s">
        <v>69</v>
      </c>
      <c r="H236" t="s">
        <v>270</v>
      </c>
      <c r="I236" t="s">
        <v>36</v>
      </c>
      <c r="J236" t="s">
        <v>37</v>
      </c>
      <c r="K236" t="s">
        <v>38</v>
      </c>
      <c r="L236" t="s">
        <v>115</v>
      </c>
      <c r="M236" t="s">
        <v>53</v>
      </c>
      <c r="N236" t="s">
        <v>54</v>
      </c>
      <c r="O236" s="3">
        <v>115000</v>
      </c>
      <c r="P236" s="4">
        <v>30</v>
      </c>
      <c r="Q236" s="2">
        <v>45815</v>
      </c>
      <c r="R236" s="2">
        <v>46240</v>
      </c>
      <c r="S236" s="2">
        <v>45753</v>
      </c>
      <c r="T236" s="2"/>
      <c r="U236" t="str">
        <f t="shared" si="21"/>
        <v>No</v>
      </c>
      <c r="W2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6" t="str">
        <f t="shared" ca="1" si="22"/>
        <v>Due/Open</v>
      </c>
      <c r="Y236" t="str">
        <f t="shared" si="23"/>
        <v>Open</v>
      </c>
      <c r="Z236" t="str">
        <f t="shared" si="24"/>
        <v>Apr-2025</v>
      </c>
      <c r="AA236" t="str">
        <f t="shared" si="25"/>
        <v>Q2 2025</v>
      </c>
      <c r="AB236" s="4">
        <f t="shared" ca="1" si="26"/>
        <v>451</v>
      </c>
      <c r="AC236" t="str">
        <f t="shared" si="27"/>
        <v>Low</v>
      </c>
    </row>
    <row r="237" spans="1:29">
      <c r="A237" t="s">
        <v>1135</v>
      </c>
      <c r="B237" s="2">
        <v>45957</v>
      </c>
      <c r="C237" t="s">
        <v>1136</v>
      </c>
      <c r="D237" t="s">
        <v>640</v>
      </c>
      <c r="E237" t="s">
        <v>1137</v>
      </c>
      <c r="F237" t="s">
        <v>1138</v>
      </c>
      <c r="G237" t="s">
        <v>179</v>
      </c>
      <c r="H237" t="s">
        <v>318</v>
      </c>
      <c r="I237" t="s">
        <v>148</v>
      </c>
      <c r="J237" t="s">
        <v>99</v>
      </c>
      <c r="K237" t="s">
        <v>194</v>
      </c>
      <c r="L237" t="s">
        <v>52</v>
      </c>
      <c r="M237" t="s">
        <v>116</v>
      </c>
      <c r="N237" t="s">
        <v>54</v>
      </c>
      <c r="O237" s="3">
        <v>385000</v>
      </c>
      <c r="P237" s="4">
        <v>20</v>
      </c>
      <c r="Q237" s="2">
        <v>46022</v>
      </c>
      <c r="R237" s="2">
        <v>46189</v>
      </c>
      <c r="S237" s="2">
        <v>45959</v>
      </c>
      <c r="T237" s="2"/>
      <c r="U237" t="str">
        <f t="shared" si="21"/>
        <v>No</v>
      </c>
      <c r="W2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7" t="str">
        <f t="shared" ca="1" si="22"/>
        <v>Overdue</v>
      </c>
      <c r="Y237" t="str">
        <f t="shared" si="23"/>
        <v>Open</v>
      </c>
      <c r="Z237" t="str">
        <f t="shared" si="24"/>
        <v>Oct-2025</v>
      </c>
      <c r="AA237" t="str">
        <f t="shared" si="25"/>
        <v>Q4 2025</v>
      </c>
      <c r="AB237" s="4">
        <f t="shared" ca="1" si="26"/>
        <v>242</v>
      </c>
      <c r="AC237" t="str">
        <f t="shared" si="27"/>
        <v>High</v>
      </c>
    </row>
    <row r="238" spans="1:29">
      <c r="A238" t="s">
        <v>1139</v>
      </c>
      <c r="B238" s="2">
        <v>46026</v>
      </c>
      <c r="C238" t="s">
        <v>503</v>
      </c>
      <c r="D238" t="s">
        <v>784</v>
      </c>
      <c r="E238" t="s">
        <v>1140</v>
      </c>
      <c r="F238" t="s">
        <v>1141</v>
      </c>
      <c r="G238" t="s">
        <v>179</v>
      </c>
      <c r="H238" t="s">
        <v>186</v>
      </c>
      <c r="I238" t="s">
        <v>36</v>
      </c>
      <c r="J238" t="s">
        <v>62</v>
      </c>
      <c r="K238" t="s">
        <v>114</v>
      </c>
      <c r="L238" t="s">
        <v>63</v>
      </c>
      <c r="M238" t="s">
        <v>116</v>
      </c>
      <c r="N238" t="s">
        <v>54</v>
      </c>
      <c r="O238" s="3">
        <v>380000</v>
      </c>
      <c r="P238" s="4">
        <v>25</v>
      </c>
      <c r="Q238" s="2">
        <v>46081</v>
      </c>
      <c r="R238" s="2">
        <v>46199</v>
      </c>
      <c r="S238" s="2">
        <v>46030</v>
      </c>
      <c r="T238" s="2"/>
      <c r="U238" t="str">
        <f t="shared" si="21"/>
        <v>No</v>
      </c>
      <c r="W2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8" t="str">
        <f t="shared" ca="1" si="22"/>
        <v>Due/Open</v>
      </c>
      <c r="Y238" t="str">
        <f t="shared" si="23"/>
        <v>Open</v>
      </c>
      <c r="Z238" t="str">
        <f t="shared" si="24"/>
        <v>Jan-2026</v>
      </c>
      <c r="AA238" t="str">
        <f t="shared" si="25"/>
        <v>Q1 2026</v>
      </c>
      <c r="AB238" s="4">
        <f t="shared" ca="1" si="26"/>
        <v>173</v>
      </c>
      <c r="AC238" t="str">
        <f t="shared" si="27"/>
        <v>High</v>
      </c>
    </row>
    <row r="239" spans="1:29">
      <c r="A239" t="s">
        <v>1142</v>
      </c>
      <c r="B239" s="2">
        <v>45855</v>
      </c>
      <c r="C239" t="s">
        <v>1143</v>
      </c>
      <c r="D239" t="s">
        <v>775</v>
      </c>
      <c r="E239" t="s">
        <v>1144</v>
      </c>
      <c r="F239" t="s">
        <v>1145</v>
      </c>
      <c r="G239" t="s">
        <v>34</v>
      </c>
      <c r="H239" t="s">
        <v>173</v>
      </c>
      <c r="I239" t="s">
        <v>148</v>
      </c>
      <c r="J239" t="s">
        <v>62</v>
      </c>
      <c r="K239" t="s">
        <v>51</v>
      </c>
      <c r="L239" t="s">
        <v>107</v>
      </c>
      <c r="M239" t="s">
        <v>53</v>
      </c>
      <c r="N239" t="s">
        <v>54</v>
      </c>
      <c r="O239" s="3">
        <v>420000</v>
      </c>
      <c r="P239" s="4">
        <v>30</v>
      </c>
      <c r="Q239" s="2">
        <v>45929</v>
      </c>
      <c r="R239" s="2">
        <v>46226</v>
      </c>
      <c r="S239" s="2">
        <v>45882</v>
      </c>
      <c r="T239" s="2"/>
      <c r="U239" t="str">
        <f t="shared" si="21"/>
        <v>No</v>
      </c>
      <c r="W2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39" t="str">
        <f t="shared" ca="1" si="22"/>
        <v>Due/Open</v>
      </c>
      <c r="Y239" t="str">
        <f t="shared" si="23"/>
        <v>Open</v>
      </c>
      <c r="Z239" t="str">
        <f t="shared" si="24"/>
        <v>Jul-2025</v>
      </c>
      <c r="AA239" t="str">
        <f t="shared" si="25"/>
        <v>Q3 2025</v>
      </c>
      <c r="AB239" s="4">
        <f t="shared" ca="1" si="26"/>
        <v>344</v>
      </c>
      <c r="AC239" t="str">
        <f t="shared" si="27"/>
        <v>High</v>
      </c>
    </row>
    <row r="240" spans="1:29">
      <c r="A240" t="s">
        <v>1146</v>
      </c>
      <c r="B240" s="2">
        <v>45765</v>
      </c>
      <c r="C240" t="s">
        <v>1147</v>
      </c>
      <c r="D240" t="s">
        <v>1148</v>
      </c>
      <c r="E240" t="s">
        <v>1149</v>
      </c>
      <c r="F240" t="s">
        <v>1150</v>
      </c>
      <c r="G240" t="s">
        <v>34</v>
      </c>
      <c r="H240" t="s">
        <v>60</v>
      </c>
      <c r="I240" t="s">
        <v>123</v>
      </c>
      <c r="J240" t="s">
        <v>124</v>
      </c>
      <c r="K240" t="s">
        <v>114</v>
      </c>
      <c r="L240" t="s">
        <v>239</v>
      </c>
      <c r="M240" t="s">
        <v>40</v>
      </c>
      <c r="N240" t="s">
        <v>41</v>
      </c>
      <c r="O240" s="3">
        <v>100000</v>
      </c>
      <c r="P240" s="4">
        <v>100</v>
      </c>
      <c r="Q240" s="2">
        <v>45829</v>
      </c>
      <c r="R240" s="2"/>
      <c r="S240" s="2">
        <v>45789</v>
      </c>
      <c r="T240" s="2">
        <v>45829</v>
      </c>
      <c r="U240" t="str">
        <f t="shared" si="21"/>
        <v>Yes</v>
      </c>
      <c r="W24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64</v>
      </c>
      <c r="X240" t="str">
        <f t="shared" ca="1" si="22"/>
        <v>Closed</v>
      </c>
      <c r="Y240" t="str">
        <f t="shared" si="23"/>
        <v>Closed</v>
      </c>
      <c r="Z240" t="str">
        <f t="shared" si="24"/>
        <v>Apr-2025</v>
      </c>
      <c r="AA240" t="str">
        <f t="shared" si="25"/>
        <v>Q2 2025</v>
      </c>
      <c r="AB240" s="4">
        <f t="shared" ca="1" si="26"/>
        <v>434</v>
      </c>
      <c r="AC240" t="str">
        <f t="shared" si="27"/>
        <v>Low</v>
      </c>
    </row>
    <row r="241" spans="1:29">
      <c r="A241" t="s">
        <v>1151</v>
      </c>
      <c r="B241" s="2">
        <v>46131</v>
      </c>
      <c r="C241" t="s">
        <v>1152</v>
      </c>
      <c r="D241" t="s">
        <v>909</v>
      </c>
      <c r="E241" t="s">
        <v>1153</v>
      </c>
      <c r="F241" t="s">
        <v>1154</v>
      </c>
      <c r="G241" t="s">
        <v>79</v>
      </c>
      <c r="H241" t="s">
        <v>80</v>
      </c>
      <c r="I241" t="s">
        <v>141</v>
      </c>
      <c r="J241" t="s">
        <v>99</v>
      </c>
      <c r="K241" t="s">
        <v>51</v>
      </c>
      <c r="L241" t="s">
        <v>239</v>
      </c>
      <c r="M241" t="s">
        <v>210</v>
      </c>
      <c r="N241" t="s">
        <v>134</v>
      </c>
      <c r="O241" s="3">
        <v>330000</v>
      </c>
      <c r="P241" s="4">
        <v>0</v>
      </c>
      <c r="Q241" s="2">
        <v>46179</v>
      </c>
      <c r="R241" s="2"/>
      <c r="S241" s="2">
        <v>46146</v>
      </c>
      <c r="T241" s="2">
        <v>46179</v>
      </c>
      <c r="U241" t="str">
        <f t="shared" si="21"/>
        <v>No</v>
      </c>
      <c r="V241" t="s">
        <v>452</v>
      </c>
      <c r="W2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241" t="str">
        <f t="shared" ca="1" si="22"/>
        <v>Closed</v>
      </c>
      <c r="Y241" t="str">
        <f t="shared" si="23"/>
        <v>Closed</v>
      </c>
      <c r="Z241" t="str">
        <f t="shared" si="24"/>
        <v>Apr-2026</v>
      </c>
      <c r="AA241" t="str">
        <f t="shared" si="25"/>
        <v>Q2 2026</v>
      </c>
      <c r="AB241" s="4">
        <f t="shared" ca="1" si="26"/>
        <v>68</v>
      </c>
      <c r="AC241" t="str">
        <f t="shared" si="27"/>
        <v>High</v>
      </c>
    </row>
    <row r="242" spans="1:29">
      <c r="A242" t="s">
        <v>1155</v>
      </c>
      <c r="B242" s="2">
        <v>46099</v>
      </c>
      <c r="C242" t="s">
        <v>1156</v>
      </c>
      <c r="D242" t="s">
        <v>31</v>
      </c>
      <c r="E242" t="s">
        <v>1157</v>
      </c>
      <c r="F242" t="s">
        <v>1158</v>
      </c>
      <c r="G242" t="s">
        <v>69</v>
      </c>
      <c r="H242" t="s">
        <v>193</v>
      </c>
      <c r="I242" t="s">
        <v>141</v>
      </c>
      <c r="J242" t="s">
        <v>124</v>
      </c>
      <c r="K242" t="s">
        <v>100</v>
      </c>
      <c r="L242" t="s">
        <v>142</v>
      </c>
      <c r="M242" t="s">
        <v>90</v>
      </c>
      <c r="N242" t="s">
        <v>91</v>
      </c>
      <c r="O242" s="3">
        <v>80000</v>
      </c>
      <c r="P242" s="4">
        <v>55</v>
      </c>
      <c r="Q242" s="2">
        <v>46168</v>
      </c>
      <c r="R242" s="2">
        <v>46174</v>
      </c>
      <c r="S242" s="2">
        <v>46104</v>
      </c>
      <c r="T242" s="2"/>
      <c r="U242" t="str">
        <f t="shared" si="21"/>
        <v>No</v>
      </c>
      <c r="W2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2" t="str">
        <f t="shared" ca="1" si="22"/>
        <v>Overdue</v>
      </c>
      <c r="Y242" t="str">
        <f t="shared" si="23"/>
        <v>Open</v>
      </c>
      <c r="Z242" t="str">
        <f t="shared" si="24"/>
        <v>Mar-2026</v>
      </c>
      <c r="AA242" t="str">
        <f t="shared" si="25"/>
        <v>Q1 2026</v>
      </c>
      <c r="AB242" s="4">
        <f t="shared" ca="1" si="26"/>
        <v>100</v>
      </c>
      <c r="AC242" t="str">
        <f t="shared" si="27"/>
        <v>Low</v>
      </c>
    </row>
    <row r="243" spans="1:29">
      <c r="A243" t="s">
        <v>1159</v>
      </c>
      <c r="B243" s="2">
        <v>46111</v>
      </c>
      <c r="C243" t="s">
        <v>1160</v>
      </c>
      <c r="D243" t="s">
        <v>322</v>
      </c>
      <c r="E243" t="s">
        <v>1161</v>
      </c>
      <c r="F243" t="s">
        <v>1162</v>
      </c>
      <c r="G243" t="s">
        <v>47</v>
      </c>
      <c r="H243" t="s">
        <v>48</v>
      </c>
      <c r="I243" t="s">
        <v>36</v>
      </c>
      <c r="J243" t="s">
        <v>62</v>
      </c>
      <c r="K243" t="s">
        <v>51</v>
      </c>
      <c r="L243" t="s">
        <v>132</v>
      </c>
      <c r="M243" t="s">
        <v>116</v>
      </c>
      <c r="N243" t="s">
        <v>54</v>
      </c>
      <c r="O243" s="3">
        <v>120000</v>
      </c>
      <c r="P243" s="4">
        <v>15</v>
      </c>
      <c r="Q243" s="2">
        <v>46135</v>
      </c>
      <c r="R243" s="2">
        <v>46238</v>
      </c>
      <c r="S243" s="2">
        <v>46122</v>
      </c>
      <c r="T243" s="2"/>
      <c r="U243" t="str">
        <f t="shared" si="21"/>
        <v>No</v>
      </c>
      <c r="W2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3" t="str">
        <f t="shared" ca="1" si="22"/>
        <v>Due/Open</v>
      </c>
      <c r="Y243" t="str">
        <f t="shared" si="23"/>
        <v>Open</v>
      </c>
      <c r="Z243" t="str">
        <f t="shared" si="24"/>
        <v>Mar-2026</v>
      </c>
      <c r="AA243" t="str">
        <f t="shared" si="25"/>
        <v>Q1 2026</v>
      </c>
      <c r="AB243" s="4">
        <f t="shared" ca="1" si="26"/>
        <v>88</v>
      </c>
      <c r="AC243" t="str">
        <f t="shared" si="27"/>
        <v>Medium</v>
      </c>
    </row>
    <row r="244" spans="1:29">
      <c r="A244" t="s">
        <v>1163</v>
      </c>
      <c r="B244" s="2">
        <v>46071</v>
      </c>
      <c r="C244" t="s">
        <v>1164</v>
      </c>
      <c r="D244" t="s">
        <v>449</v>
      </c>
      <c r="E244" t="s">
        <v>1165</v>
      </c>
      <c r="F244" t="s">
        <v>1166</v>
      </c>
      <c r="G244" t="s">
        <v>79</v>
      </c>
      <c r="H244" t="s">
        <v>260</v>
      </c>
      <c r="I244" t="s">
        <v>148</v>
      </c>
      <c r="J244" t="s">
        <v>131</v>
      </c>
      <c r="K244" t="s">
        <v>100</v>
      </c>
      <c r="L244" t="s">
        <v>132</v>
      </c>
      <c r="M244" t="s">
        <v>166</v>
      </c>
      <c r="N244" t="s">
        <v>167</v>
      </c>
      <c r="O244" s="3">
        <v>270000</v>
      </c>
      <c r="P244" s="4">
        <v>70</v>
      </c>
      <c r="Q244" s="2">
        <v>46122</v>
      </c>
      <c r="R244" s="2">
        <v>46213</v>
      </c>
      <c r="S244" s="2">
        <v>46094</v>
      </c>
      <c r="T244" s="2"/>
      <c r="U244" t="str">
        <f t="shared" si="21"/>
        <v>No</v>
      </c>
      <c r="W2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4" t="str">
        <f t="shared" ca="1" si="22"/>
        <v>Due/Open</v>
      </c>
      <c r="Y244" t="str">
        <f t="shared" si="23"/>
        <v>Open</v>
      </c>
      <c r="Z244" t="str">
        <f t="shared" si="24"/>
        <v>Feb-2026</v>
      </c>
      <c r="AA244" t="str">
        <f t="shared" si="25"/>
        <v>Q1 2026</v>
      </c>
      <c r="AB244" s="4">
        <f t="shared" ca="1" si="26"/>
        <v>128</v>
      </c>
      <c r="AC244" t="str">
        <f t="shared" si="27"/>
        <v>Medium</v>
      </c>
    </row>
    <row r="245" spans="1:29">
      <c r="A245" t="s">
        <v>1167</v>
      </c>
      <c r="B245" s="2">
        <v>46109</v>
      </c>
      <c r="C245" t="s">
        <v>997</v>
      </c>
      <c r="D245" t="s">
        <v>701</v>
      </c>
      <c r="E245" t="s">
        <v>1168</v>
      </c>
      <c r="F245" t="s">
        <v>1169</v>
      </c>
      <c r="G245" t="s">
        <v>47</v>
      </c>
      <c r="H245" t="s">
        <v>113</v>
      </c>
      <c r="I245" t="s">
        <v>141</v>
      </c>
      <c r="J245" t="s">
        <v>37</v>
      </c>
      <c r="K245" t="s">
        <v>194</v>
      </c>
      <c r="L245" t="s">
        <v>107</v>
      </c>
      <c r="M245" t="s">
        <v>133</v>
      </c>
      <c r="N245" t="s">
        <v>134</v>
      </c>
      <c r="O245" s="3">
        <v>115000</v>
      </c>
      <c r="P245" s="4">
        <v>0</v>
      </c>
      <c r="Q245" s="2">
        <v>46170</v>
      </c>
      <c r="R245" s="2"/>
      <c r="S245" s="2">
        <v>46122</v>
      </c>
      <c r="T245" s="2">
        <v>46170</v>
      </c>
      <c r="U245" t="str">
        <f t="shared" si="21"/>
        <v>No</v>
      </c>
      <c r="V245" t="s">
        <v>276</v>
      </c>
      <c r="W24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245" t="str">
        <f t="shared" ca="1" si="22"/>
        <v>Closed</v>
      </c>
      <c r="Y245" t="str">
        <f t="shared" si="23"/>
        <v>Closed</v>
      </c>
      <c r="Z245" t="str">
        <f t="shared" si="24"/>
        <v>Mar-2026</v>
      </c>
      <c r="AA245" t="str">
        <f t="shared" si="25"/>
        <v>Q1 2026</v>
      </c>
      <c r="AB245" s="4">
        <f t="shared" ca="1" si="26"/>
        <v>90</v>
      </c>
      <c r="AC245" t="str">
        <f t="shared" si="27"/>
        <v>Low</v>
      </c>
    </row>
    <row r="246" spans="1:29">
      <c r="A246" t="s">
        <v>1170</v>
      </c>
      <c r="B246" s="2">
        <v>45884</v>
      </c>
      <c r="C246" t="s">
        <v>479</v>
      </c>
      <c r="D246" t="s">
        <v>767</v>
      </c>
      <c r="E246" t="s">
        <v>1171</v>
      </c>
      <c r="F246" t="s">
        <v>1172</v>
      </c>
      <c r="G246" t="s">
        <v>79</v>
      </c>
      <c r="H246" t="s">
        <v>217</v>
      </c>
      <c r="I246" t="s">
        <v>141</v>
      </c>
      <c r="J246" t="s">
        <v>124</v>
      </c>
      <c r="K246" t="s">
        <v>71</v>
      </c>
      <c r="L246" t="s">
        <v>239</v>
      </c>
      <c r="M246" t="s">
        <v>133</v>
      </c>
      <c r="N246" t="s">
        <v>134</v>
      </c>
      <c r="O246" s="3">
        <v>145000</v>
      </c>
      <c r="P246" s="4">
        <v>0</v>
      </c>
      <c r="Q246" s="2">
        <v>45943</v>
      </c>
      <c r="R246" s="2"/>
      <c r="S246" s="2">
        <v>45904</v>
      </c>
      <c r="T246" s="2">
        <v>45943</v>
      </c>
      <c r="U246" t="str">
        <f t="shared" si="21"/>
        <v>No</v>
      </c>
      <c r="V246" t="s">
        <v>276</v>
      </c>
      <c r="W2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59</v>
      </c>
      <c r="X246" t="str">
        <f t="shared" ca="1" si="22"/>
        <v>Closed</v>
      </c>
      <c r="Y246" t="str">
        <f t="shared" si="23"/>
        <v>Closed</v>
      </c>
      <c r="Z246" t="str">
        <f t="shared" si="24"/>
        <v>Aug-2025</v>
      </c>
      <c r="AA246" t="str">
        <f t="shared" si="25"/>
        <v>Q3 2025</v>
      </c>
      <c r="AB246" s="4">
        <f t="shared" ca="1" si="26"/>
        <v>315</v>
      </c>
      <c r="AC246" t="str">
        <f t="shared" si="27"/>
        <v>Medium</v>
      </c>
    </row>
    <row r="247" spans="1:29">
      <c r="A247" t="s">
        <v>1173</v>
      </c>
      <c r="B247" s="2">
        <v>46157</v>
      </c>
      <c r="C247" t="s">
        <v>1174</v>
      </c>
      <c r="D247" t="s">
        <v>1132</v>
      </c>
      <c r="E247" t="s">
        <v>1175</v>
      </c>
      <c r="F247" t="s">
        <v>1176</v>
      </c>
      <c r="G247" t="s">
        <v>79</v>
      </c>
      <c r="H247" t="s">
        <v>97</v>
      </c>
      <c r="I247" t="s">
        <v>141</v>
      </c>
      <c r="J247" t="s">
        <v>131</v>
      </c>
      <c r="K247" t="s">
        <v>51</v>
      </c>
      <c r="L247" t="s">
        <v>81</v>
      </c>
      <c r="M247" t="s">
        <v>73</v>
      </c>
      <c r="N247" t="s">
        <v>73</v>
      </c>
      <c r="O247" s="3">
        <v>380000</v>
      </c>
      <c r="P247" s="4">
        <v>85</v>
      </c>
      <c r="Q247" s="2">
        <v>46182</v>
      </c>
      <c r="R247" s="2">
        <v>46211</v>
      </c>
      <c r="S247" s="2">
        <v>46182</v>
      </c>
      <c r="T247" s="2"/>
      <c r="U247" t="str">
        <f t="shared" si="21"/>
        <v>No</v>
      </c>
      <c r="W2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7" t="str">
        <f t="shared" ca="1" si="22"/>
        <v>Due/Open</v>
      </c>
      <c r="Y247" t="str">
        <f t="shared" si="23"/>
        <v>Open</v>
      </c>
      <c r="Z247" t="str">
        <f t="shared" si="24"/>
        <v>May-2026</v>
      </c>
      <c r="AA247" t="str">
        <f t="shared" si="25"/>
        <v>Q2 2026</v>
      </c>
      <c r="AB247" s="4">
        <f t="shared" ca="1" si="26"/>
        <v>42</v>
      </c>
      <c r="AC247" t="str">
        <f t="shared" si="27"/>
        <v>High</v>
      </c>
    </row>
    <row r="248" spans="1:29">
      <c r="A248" t="s">
        <v>1177</v>
      </c>
      <c r="B248" s="2">
        <v>46172</v>
      </c>
      <c r="C248" t="s">
        <v>542</v>
      </c>
      <c r="D248" t="s">
        <v>1178</v>
      </c>
      <c r="E248" t="s">
        <v>1179</v>
      </c>
      <c r="F248" t="s">
        <v>1180</v>
      </c>
      <c r="G248" t="s">
        <v>179</v>
      </c>
      <c r="H248" t="s">
        <v>318</v>
      </c>
      <c r="I248" t="s">
        <v>98</v>
      </c>
      <c r="J248" t="s">
        <v>50</v>
      </c>
      <c r="K248" t="s">
        <v>114</v>
      </c>
      <c r="L248" t="s">
        <v>125</v>
      </c>
      <c r="M248" t="s">
        <v>73</v>
      </c>
      <c r="N248" t="s">
        <v>73</v>
      </c>
      <c r="O248" s="3">
        <v>470000</v>
      </c>
      <c r="P248" s="4">
        <v>85</v>
      </c>
      <c r="Q248" s="2">
        <v>46267</v>
      </c>
      <c r="R248" s="2">
        <v>46178</v>
      </c>
      <c r="S248" s="2">
        <v>46181</v>
      </c>
      <c r="T248" s="2"/>
      <c r="U248" t="str">
        <f t="shared" si="21"/>
        <v>No</v>
      </c>
      <c r="W2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8" t="str">
        <f t="shared" ca="1" si="22"/>
        <v>Overdue</v>
      </c>
      <c r="Y248" t="str">
        <f t="shared" si="23"/>
        <v>Open</v>
      </c>
      <c r="Z248" t="str">
        <f t="shared" si="24"/>
        <v>May-2026</v>
      </c>
      <c r="AA248" t="str">
        <f t="shared" si="25"/>
        <v>Q2 2026</v>
      </c>
      <c r="AB248" s="4">
        <f t="shared" ca="1" si="26"/>
        <v>27</v>
      </c>
      <c r="AC248" t="str">
        <f t="shared" si="27"/>
        <v>High</v>
      </c>
    </row>
    <row r="249" spans="1:29">
      <c r="A249" t="s">
        <v>1181</v>
      </c>
      <c r="B249" s="2">
        <v>45714</v>
      </c>
      <c r="C249" t="s">
        <v>1182</v>
      </c>
      <c r="D249" t="s">
        <v>1183</v>
      </c>
      <c r="E249" t="s">
        <v>1184</v>
      </c>
      <c r="F249" t="s">
        <v>1185</v>
      </c>
      <c r="G249" t="s">
        <v>179</v>
      </c>
      <c r="H249" t="s">
        <v>318</v>
      </c>
      <c r="I249" t="s">
        <v>49</v>
      </c>
      <c r="J249" t="s">
        <v>62</v>
      </c>
      <c r="K249" t="s">
        <v>71</v>
      </c>
      <c r="L249" t="s">
        <v>115</v>
      </c>
      <c r="M249" t="s">
        <v>53</v>
      </c>
      <c r="N249" t="s">
        <v>54</v>
      </c>
      <c r="O249" s="3">
        <v>410000</v>
      </c>
      <c r="P249" s="4">
        <v>30</v>
      </c>
      <c r="Q249" s="2">
        <v>45749</v>
      </c>
      <c r="R249" s="2">
        <v>46230</v>
      </c>
      <c r="S249" s="2">
        <v>45744</v>
      </c>
      <c r="T249" s="2"/>
      <c r="U249" t="str">
        <f t="shared" si="21"/>
        <v>No</v>
      </c>
      <c r="W2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49" t="str">
        <f t="shared" ca="1" si="22"/>
        <v>Due/Open</v>
      </c>
      <c r="Y249" t="str">
        <f t="shared" si="23"/>
        <v>Open</v>
      </c>
      <c r="Z249" t="str">
        <f t="shared" si="24"/>
        <v>Feb-2025</v>
      </c>
      <c r="AA249" t="str">
        <f t="shared" si="25"/>
        <v>Q1 2025</v>
      </c>
      <c r="AB249" s="4">
        <f t="shared" ca="1" si="26"/>
        <v>485</v>
      </c>
      <c r="AC249" t="str">
        <f t="shared" si="27"/>
        <v>High</v>
      </c>
    </row>
    <row r="250" spans="1:29">
      <c r="A250" t="s">
        <v>1186</v>
      </c>
      <c r="B250" s="2">
        <v>46034</v>
      </c>
      <c r="C250" t="s">
        <v>709</v>
      </c>
      <c r="D250" t="s">
        <v>293</v>
      </c>
      <c r="E250" t="s">
        <v>1187</v>
      </c>
      <c r="F250" t="s">
        <v>1188</v>
      </c>
      <c r="G250" t="s">
        <v>79</v>
      </c>
      <c r="H250" t="s">
        <v>80</v>
      </c>
      <c r="I250" t="s">
        <v>36</v>
      </c>
      <c r="J250" t="s">
        <v>50</v>
      </c>
      <c r="K250" t="s">
        <v>51</v>
      </c>
      <c r="L250" t="s">
        <v>52</v>
      </c>
      <c r="M250" t="s">
        <v>73</v>
      </c>
      <c r="N250" t="s">
        <v>73</v>
      </c>
      <c r="O250" s="3">
        <v>440000</v>
      </c>
      <c r="P250" s="4">
        <v>85</v>
      </c>
      <c r="Q250" s="2">
        <v>46119</v>
      </c>
      <c r="R250" s="2">
        <v>46240</v>
      </c>
      <c r="S250" s="2">
        <v>46064</v>
      </c>
      <c r="T250" s="2"/>
      <c r="U250" t="str">
        <f t="shared" si="21"/>
        <v>No</v>
      </c>
      <c r="W2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50" t="str">
        <f t="shared" ca="1" si="22"/>
        <v>Due/Open</v>
      </c>
      <c r="Y250" t="str">
        <f t="shared" si="23"/>
        <v>Open</v>
      </c>
      <c r="Z250" t="str">
        <f t="shared" si="24"/>
        <v>Jan-2026</v>
      </c>
      <c r="AA250" t="str">
        <f t="shared" si="25"/>
        <v>Q1 2026</v>
      </c>
      <c r="AB250" s="4">
        <f t="shared" ca="1" si="26"/>
        <v>165</v>
      </c>
      <c r="AC250" t="str">
        <f t="shared" si="27"/>
        <v>High</v>
      </c>
    </row>
    <row r="251" spans="1:29">
      <c r="A251" t="s">
        <v>1189</v>
      </c>
      <c r="B251" s="2">
        <v>45881</v>
      </c>
      <c r="C251" t="s">
        <v>1190</v>
      </c>
      <c r="D251" t="s">
        <v>1030</v>
      </c>
      <c r="E251" t="s">
        <v>1191</v>
      </c>
      <c r="F251" t="s">
        <v>1192</v>
      </c>
      <c r="G251" t="s">
        <v>69</v>
      </c>
      <c r="H251" t="s">
        <v>270</v>
      </c>
      <c r="I251" t="s">
        <v>98</v>
      </c>
      <c r="J251" t="s">
        <v>131</v>
      </c>
      <c r="K251" t="s">
        <v>38</v>
      </c>
      <c r="L251" t="s">
        <v>39</v>
      </c>
      <c r="M251" t="s">
        <v>40</v>
      </c>
      <c r="N251" t="s">
        <v>41</v>
      </c>
      <c r="O251" s="3">
        <v>95000</v>
      </c>
      <c r="P251" s="4">
        <v>100</v>
      </c>
      <c r="Q251" s="2">
        <v>45912</v>
      </c>
      <c r="R251" s="2"/>
      <c r="S251" s="2">
        <v>45909</v>
      </c>
      <c r="T251" s="2">
        <v>45912</v>
      </c>
      <c r="U251" t="str">
        <f t="shared" si="21"/>
        <v>Yes</v>
      </c>
      <c r="W25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251" t="str">
        <f t="shared" ca="1" si="22"/>
        <v>Closed</v>
      </c>
      <c r="Y251" t="str">
        <f t="shared" si="23"/>
        <v>Closed</v>
      </c>
      <c r="Z251" t="str">
        <f t="shared" si="24"/>
        <v>Aug-2025</v>
      </c>
      <c r="AA251" t="str">
        <f t="shared" si="25"/>
        <v>Q3 2025</v>
      </c>
      <c r="AB251" s="4">
        <f t="shared" ca="1" si="26"/>
        <v>318</v>
      </c>
      <c r="AC251" t="str">
        <f t="shared" si="27"/>
        <v>Low</v>
      </c>
    </row>
    <row r="252" spans="1:29">
      <c r="A252" t="s">
        <v>1193</v>
      </c>
      <c r="B252" s="2">
        <v>46013</v>
      </c>
      <c r="C252" t="s">
        <v>1038</v>
      </c>
      <c r="D252" t="s">
        <v>459</v>
      </c>
      <c r="E252" t="s">
        <v>1194</v>
      </c>
      <c r="F252" t="s">
        <v>1195</v>
      </c>
      <c r="G252" t="s">
        <v>47</v>
      </c>
      <c r="H252" t="s">
        <v>113</v>
      </c>
      <c r="I252" t="s">
        <v>36</v>
      </c>
      <c r="J252" t="s">
        <v>37</v>
      </c>
      <c r="K252" t="s">
        <v>194</v>
      </c>
      <c r="L252" t="s">
        <v>142</v>
      </c>
      <c r="M252" t="s">
        <v>73</v>
      </c>
      <c r="N252" t="s">
        <v>73</v>
      </c>
      <c r="O252" s="3">
        <v>140000</v>
      </c>
      <c r="P252" s="4">
        <v>85</v>
      </c>
      <c r="Q252" s="2">
        <v>46045</v>
      </c>
      <c r="R252" s="2">
        <v>46227</v>
      </c>
      <c r="S252" s="2">
        <v>46031</v>
      </c>
      <c r="T252" s="2"/>
      <c r="U252" t="str">
        <f t="shared" si="21"/>
        <v>No</v>
      </c>
      <c r="W2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52" t="str">
        <f t="shared" ca="1" si="22"/>
        <v>Due/Open</v>
      </c>
      <c r="Y252" t="str">
        <f t="shared" si="23"/>
        <v>Open</v>
      </c>
      <c r="Z252" t="str">
        <f t="shared" si="24"/>
        <v>Dec-2025</v>
      </c>
      <c r="AA252" t="str">
        <f t="shared" si="25"/>
        <v>Q4 2025</v>
      </c>
      <c r="AB252" s="4">
        <f t="shared" ca="1" si="26"/>
        <v>186</v>
      </c>
      <c r="AC252" t="str">
        <f t="shared" si="27"/>
        <v>Medium</v>
      </c>
    </row>
    <row r="253" spans="1:29">
      <c r="A253" t="s">
        <v>1196</v>
      </c>
      <c r="B253" s="2">
        <v>45799</v>
      </c>
      <c r="C253" t="s">
        <v>507</v>
      </c>
      <c r="D253" t="s">
        <v>304</v>
      </c>
      <c r="E253" t="s">
        <v>1197</v>
      </c>
      <c r="F253" t="s">
        <v>1198</v>
      </c>
      <c r="G253" t="s">
        <v>79</v>
      </c>
      <c r="H253" t="s">
        <v>97</v>
      </c>
      <c r="I253" t="s">
        <v>36</v>
      </c>
      <c r="J253" t="s">
        <v>50</v>
      </c>
      <c r="K253" t="s">
        <v>100</v>
      </c>
      <c r="L253" t="s">
        <v>63</v>
      </c>
      <c r="M253" t="s">
        <v>116</v>
      </c>
      <c r="N253" t="s">
        <v>54</v>
      </c>
      <c r="O253" s="3">
        <v>265000</v>
      </c>
      <c r="P253" s="4">
        <v>25</v>
      </c>
      <c r="Q253" s="2">
        <v>45894</v>
      </c>
      <c r="R253" s="2">
        <v>46215</v>
      </c>
      <c r="S253" s="2">
        <v>45829</v>
      </c>
      <c r="T253" s="2"/>
      <c r="U253" t="str">
        <f t="shared" si="21"/>
        <v>No</v>
      </c>
      <c r="W2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53" t="str">
        <f t="shared" ca="1" si="22"/>
        <v>Due/Open</v>
      </c>
      <c r="Y253" t="str">
        <f t="shared" si="23"/>
        <v>Open</v>
      </c>
      <c r="Z253" t="str">
        <f t="shared" si="24"/>
        <v>May-2025</v>
      </c>
      <c r="AA253" t="str">
        <f t="shared" si="25"/>
        <v>Q2 2025</v>
      </c>
      <c r="AB253" s="4">
        <f t="shared" ca="1" si="26"/>
        <v>400</v>
      </c>
      <c r="AC253" t="str">
        <f t="shared" si="27"/>
        <v>Medium</v>
      </c>
    </row>
    <row r="254" spans="1:29">
      <c r="A254" t="s">
        <v>1199</v>
      </c>
      <c r="B254" s="2">
        <v>46074</v>
      </c>
      <c r="C254" t="s">
        <v>1200</v>
      </c>
      <c r="D254" t="s">
        <v>705</v>
      </c>
      <c r="E254" t="s">
        <v>1201</v>
      </c>
      <c r="F254" t="s">
        <v>1202</v>
      </c>
      <c r="G254" t="s">
        <v>69</v>
      </c>
      <c r="H254" t="s">
        <v>270</v>
      </c>
      <c r="I254" t="s">
        <v>187</v>
      </c>
      <c r="J254" t="s">
        <v>99</v>
      </c>
      <c r="K254" t="s">
        <v>38</v>
      </c>
      <c r="L254" t="s">
        <v>132</v>
      </c>
      <c r="M254" t="s">
        <v>116</v>
      </c>
      <c r="N254" t="s">
        <v>54</v>
      </c>
      <c r="O254" s="3">
        <v>435000</v>
      </c>
      <c r="P254" s="4">
        <v>25</v>
      </c>
      <c r="Q254" s="2">
        <v>46156</v>
      </c>
      <c r="R254" s="2">
        <v>46219</v>
      </c>
      <c r="S254" s="2">
        <v>46078</v>
      </c>
      <c r="T254" s="2"/>
      <c r="U254" t="str">
        <f t="shared" si="21"/>
        <v>No</v>
      </c>
      <c r="W2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54" t="str">
        <f t="shared" ca="1" si="22"/>
        <v>Due/Open</v>
      </c>
      <c r="Y254" t="str">
        <f t="shared" si="23"/>
        <v>Open</v>
      </c>
      <c r="Z254" t="str">
        <f t="shared" si="24"/>
        <v>Feb-2026</v>
      </c>
      <c r="AA254" t="str">
        <f t="shared" si="25"/>
        <v>Q1 2026</v>
      </c>
      <c r="AB254" s="4">
        <f t="shared" ca="1" si="26"/>
        <v>125</v>
      </c>
      <c r="AC254" t="str">
        <f t="shared" si="27"/>
        <v>High</v>
      </c>
    </row>
    <row r="255" spans="1:29">
      <c r="A255" t="s">
        <v>1203</v>
      </c>
      <c r="B255" s="2">
        <v>46118</v>
      </c>
      <c r="C255" t="s">
        <v>1143</v>
      </c>
      <c r="D255" t="s">
        <v>327</v>
      </c>
      <c r="E255" t="s">
        <v>1204</v>
      </c>
      <c r="F255" t="s">
        <v>1205</v>
      </c>
      <c r="G255" t="s">
        <v>34</v>
      </c>
      <c r="H255" t="s">
        <v>173</v>
      </c>
      <c r="I255" t="s">
        <v>36</v>
      </c>
      <c r="J255" t="s">
        <v>131</v>
      </c>
      <c r="K255" t="s">
        <v>194</v>
      </c>
      <c r="L255" t="s">
        <v>63</v>
      </c>
      <c r="M255" t="s">
        <v>210</v>
      </c>
      <c r="N255" t="s">
        <v>134</v>
      </c>
      <c r="O255" s="3">
        <v>230000</v>
      </c>
      <c r="P255" s="4">
        <v>0</v>
      </c>
      <c r="Q255" s="2">
        <v>46155</v>
      </c>
      <c r="R255" s="2"/>
      <c r="S255" s="2">
        <v>46128</v>
      </c>
      <c r="T255" s="2">
        <v>46155</v>
      </c>
      <c r="U255" t="str">
        <f t="shared" si="21"/>
        <v>No</v>
      </c>
      <c r="V255" t="s">
        <v>211</v>
      </c>
      <c r="W2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255" t="str">
        <f t="shared" ca="1" si="22"/>
        <v>Closed</v>
      </c>
      <c r="Y255" t="str">
        <f t="shared" si="23"/>
        <v>Closed</v>
      </c>
      <c r="Z255" t="str">
        <f t="shared" si="24"/>
        <v>Apr-2026</v>
      </c>
      <c r="AA255" t="str">
        <f t="shared" si="25"/>
        <v>Q2 2026</v>
      </c>
      <c r="AB255" s="4">
        <f t="shared" ca="1" si="26"/>
        <v>81</v>
      </c>
      <c r="AC255" t="str">
        <f t="shared" si="27"/>
        <v>Medium</v>
      </c>
    </row>
    <row r="256" spans="1:29">
      <c r="A256" t="s">
        <v>1206</v>
      </c>
      <c r="B256" s="2">
        <v>45776</v>
      </c>
      <c r="C256" t="s">
        <v>1207</v>
      </c>
      <c r="D256" t="s">
        <v>197</v>
      </c>
      <c r="E256" t="s">
        <v>1208</v>
      </c>
      <c r="F256" t="s">
        <v>1209</v>
      </c>
      <c r="G256" t="s">
        <v>34</v>
      </c>
      <c r="H256" t="s">
        <v>60</v>
      </c>
      <c r="I256" t="s">
        <v>123</v>
      </c>
      <c r="J256" t="s">
        <v>124</v>
      </c>
      <c r="K256" t="s">
        <v>114</v>
      </c>
      <c r="L256" t="s">
        <v>239</v>
      </c>
      <c r="M256" t="s">
        <v>53</v>
      </c>
      <c r="N256" t="s">
        <v>54</v>
      </c>
      <c r="O256" s="3">
        <v>210000</v>
      </c>
      <c r="P256" s="4">
        <v>35</v>
      </c>
      <c r="Q256" s="2">
        <v>45849</v>
      </c>
      <c r="R256" s="2">
        <v>46207</v>
      </c>
      <c r="S256" s="2">
        <v>45797</v>
      </c>
      <c r="T256" s="2"/>
      <c r="U256" t="str">
        <f t="shared" si="21"/>
        <v>No</v>
      </c>
      <c r="W2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56" t="str">
        <f t="shared" ca="1" si="22"/>
        <v>Due/Open</v>
      </c>
      <c r="Y256" t="str">
        <f t="shared" si="23"/>
        <v>Open</v>
      </c>
      <c r="Z256" t="str">
        <f t="shared" si="24"/>
        <v>Apr-2025</v>
      </c>
      <c r="AA256" t="str">
        <f t="shared" si="25"/>
        <v>Q2 2025</v>
      </c>
      <c r="AB256" s="4">
        <f t="shared" ca="1" si="26"/>
        <v>423</v>
      </c>
      <c r="AC256" t="str">
        <f t="shared" si="27"/>
        <v>Medium</v>
      </c>
    </row>
    <row r="257" spans="1:29">
      <c r="A257" t="s">
        <v>1210</v>
      </c>
      <c r="B257" s="2">
        <v>46174</v>
      </c>
      <c r="C257" t="s">
        <v>1211</v>
      </c>
      <c r="D257" t="s">
        <v>636</v>
      </c>
      <c r="E257" t="s">
        <v>1212</v>
      </c>
      <c r="F257" t="s">
        <v>1213</v>
      </c>
      <c r="G257" t="s">
        <v>47</v>
      </c>
      <c r="H257" t="s">
        <v>122</v>
      </c>
      <c r="I257" t="s">
        <v>187</v>
      </c>
      <c r="J257" t="s">
        <v>124</v>
      </c>
      <c r="K257" t="s">
        <v>38</v>
      </c>
      <c r="L257" t="s">
        <v>239</v>
      </c>
      <c r="M257" t="s">
        <v>133</v>
      </c>
      <c r="N257" t="s">
        <v>134</v>
      </c>
      <c r="O257" s="3">
        <v>90000</v>
      </c>
      <c r="P257" s="4">
        <v>0</v>
      </c>
      <c r="Q257" s="2">
        <v>46187</v>
      </c>
      <c r="R257" s="2"/>
      <c r="S257" s="2">
        <v>46182</v>
      </c>
      <c r="T257" s="2">
        <v>46187</v>
      </c>
      <c r="U257" t="str">
        <f t="shared" si="21"/>
        <v>No</v>
      </c>
      <c r="V257" t="s">
        <v>276</v>
      </c>
      <c r="W25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13</v>
      </c>
      <c r="X257" t="str">
        <f t="shared" ca="1" si="22"/>
        <v>Closed</v>
      </c>
      <c r="Y257" t="str">
        <f t="shared" si="23"/>
        <v>Closed</v>
      </c>
      <c r="Z257" t="str">
        <f t="shared" si="24"/>
        <v>Jun-2026</v>
      </c>
      <c r="AA257" t="str">
        <f t="shared" si="25"/>
        <v>Q2 2026</v>
      </c>
      <c r="AB257" s="4">
        <f t="shared" ca="1" si="26"/>
        <v>25</v>
      </c>
      <c r="AC257" t="str">
        <f t="shared" si="27"/>
        <v>Low</v>
      </c>
    </row>
    <row r="258" spans="1:29">
      <c r="A258" t="s">
        <v>1214</v>
      </c>
      <c r="B258" s="2">
        <v>45973</v>
      </c>
      <c r="C258" t="s">
        <v>1215</v>
      </c>
      <c r="D258" t="s">
        <v>315</v>
      </c>
      <c r="E258" t="s">
        <v>1216</v>
      </c>
      <c r="F258" t="s">
        <v>1217</v>
      </c>
      <c r="G258" t="s">
        <v>79</v>
      </c>
      <c r="H258" t="s">
        <v>260</v>
      </c>
      <c r="I258" t="s">
        <v>148</v>
      </c>
      <c r="J258" t="s">
        <v>99</v>
      </c>
      <c r="K258" t="s">
        <v>100</v>
      </c>
      <c r="L258" t="s">
        <v>115</v>
      </c>
      <c r="M258" t="s">
        <v>133</v>
      </c>
      <c r="N258" t="s">
        <v>134</v>
      </c>
      <c r="O258" s="3">
        <v>265000</v>
      </c>
      <c r="P258" s="4">
        <v>0</v>
      </c>
      <c r="Q258" s="2">
        <v>46019</v>
      </c>
      <c r="R258" s="2"/>
      <c r="S258" s="2">
        <v>45997</v>
      </c>
      <c r="T258" s="2">
        <v>46019</v>
      </c>
      <c r="U258" t="str">
        <f t="shared" ref="U258:U321" si="28">IF(M258="Converted","Yes","No")</f>
        <v>No</v>
      </c>
      <c r="V258" t="s">
        <v>1105</v>
      </c>
      <c r="W25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258" t="str">
        <f t="shared" ref="X258:X321" ca="1" si="29">IF(OR(M258="Converted",M258="Lost",M258="Not Interested"),"Closed",IF(R258&lt;TODAY(),"Overdue","Due/Open"))</f>
        <v>Closed</v>
      </c>
      <c r="Y258" t="str">
        <f t="shared" ref="Y258:Y321" si="30">IF(OR(M258="Converted",M258="Lost",M258="Not Interested"),"Closed","Open")</f>
        <v>Closed</v>
      </c>
      <c r="Z258" t="str">
        <f t="shared" ref="Z258:Z321" si="31">TEXT(B258,"mmm-yyyy")</f>
        <v>Nov-2025</v>
      </c>
      <c r="AA258" t="str">
        <f t="shared" ref="AA258:AA321" si="32">"Q"&amp;ROUNDUP(MONTH(B258)/3,0)&amp;" "&amp;YEAR(B258)</f>
        <v>Q4 2025</v>
      </c>
      <c r="AB258" s="4">
        <f t="shared" ref="AB258:AB321" ca="1" si="33">TODAY()-B258</f>
        <v>226</v>
      </c>
      <c r="AC258" t="str">
        <f t="shared" ref="AC258:AC321" si="34">IF(O258&gt;=300000,"High",IF(O258&gt;=120000,"Medium","Low"))</f>
        <v>Medium</v>
      </c>
    </row>
    <row r="259" spans="1:29">
      <c r="A259" t="s">
        <v>1218</v>
      </c>
      <c r="B259" s="2">
        <v>45661</v>
      </c>
      <c r="C259" t="s">
        <v>1219</v>
      </c>
      <c r="D259" t="s">
        <v>94</v>
      </c>
      <c r="E259" t="s">
        <v>1220</v>
      </c>
      <c r="F259" t="s">
        <v>1221</v>
      </c>
      <c r="G259" t="s">
        <v>47</v>
      </c>
      <c r="H259" t="s">
        <v>418</v>
      </c>
      <c r="I259" t="s">
        <v>61</v>
      </c>
      <c r="J259" t="s">
        <v>99</v>
      </c>
      <c r="K259" t="s">
        <v>114</v>
      </c>
      <c r="L259" t="s">
        <v>72</v>
      </c>
      <c r="M259" t="s">
        <v>40</v>
      </c>
      <c r="N259" t="s">
        <v>41</v>
      </c>
      <c r="O259" s="3">
        <v>325000</v>
      </c>
      <c r="P259" s="4">
        <v>100</v>
      </c>
      <c r="Q259" s="2">
        <v>45721</v>
      </c>
      <c r="R259" s="2"/>
      <c r="S259" s="2">
        <v>45688</v>
      </c>
      <c r="T259" s="2">
        <v>45721</v>
      </c>
      <c r="U259" t="str">
        <f t="shared" si="28"/>
        <v>Yes</v>
      </c>
      <c r="W2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259" t="str">
        <f t="shared" ca="1" si="29"/>
        <v>Closed</v>
      </c>
      <c r="Y259" t="str">
        <f t="shared" si="30"/>
        <v>Closed</v>
      </c>
      <c r="Z259" t="str">
        <f t="shared" si="31"/>
        <v>Jan-2025</v>
      </c>
      <c r="AA259" t="str">
        <f t="shared" si="32"/>
        <v>Q1 2025</v>
      </c>
      <c r="AB259" s="4">
        <f t="shared" ca="1" si="33"/>
        <v>538</v>
      </c>
      <c r="AC259" t="str">
        <f t="shared" si="34"/>
        <v>High</v>
      </c>
    </row>
    <row r="260" spans="1:29">
      <c r="A260" t="s">
        <v>1222</v>
      </c>
      <c r="B260" s="2">
        <v>45709</v>
      </c>
      <c r="C260" t="s">
        <v>868</v>
      </c>
      <c r="D260" t="s">
        <v>547</v>
      </c>
      <c r="E260" t="s">
        <v>1223</v>
      </c>
      <c r="F260" t="s">
        <v>1224</v>
      </c>
      <c r="G260" t="s">
        <v>79</v>
      </c>
      <c r="H260" t="s">
        <v>106</v>
      </c>
      <c r="I260" t="s">
        <v>141</v>
      </c>
      <c r="J260" t="s">
        <v>37</v>
      </c>
      <c r="K260" t="s">
        <v>194</v>
      </c>
      <c r="L260" t="s">
        <v>154</v>
      </c>
      <c r="M260" t="s">
        <v>166</v>
      </c>
      <c r="N260" t="s">
        <v>167</v>
      </c>
      <c r="O260" s="3">
        <v>80000</v>
      </c>
      <c r="P260" s="4">
        <v>70</v>
      </c>
      <c r="Q260" s="2">
        <v>45802</v>
      </c>
      <c r="R260" s="2">
        <v>46163</v>
      </c>
      <c r="S260" s="2">
        <v>45715</v>
      </c>
      <c r="T260" s="2"/>
      <c r="U260" t="str">
        <f t="shared" si="28"/>
        <v>No</v>
      </c>
      <c r="W2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0" t="str">
        <f t="shared" ca="1" si="29"/>
        <v>Overdue</v>
      </c>
      <c r="Y260" t="str">
        <f t="shared" si="30"/>
        <v>Open</v>
      </c>
      <c r="Z260" t="str">
        <f t="shared" si="31"/>
        <v>Feb-2025</v>
      </c>
      <c r="AA260" t="str">
        <f t="shared" si="32"/>
        <v>Q1 2025</v>
      </c>
      <c r="AB260" s="4">
        <f t="shared" ca="1" si="33"/>
        <v>490</v>
      </c>
      <c r="AC260" t="str">
        <f t="shared" si="34"/>
        <v>Low</v>
      </c>
    </row>
    <row r="261" spans="1:29">
      <c r="A261" t="s">
        <v>1225</v>
      </c>
      <c r="B261" s="2">
        <v>45917</v>
      </c>
      <c r="C261" t="s">
        <v>1226</v>
      </c>
      <c r="D261" t="s">
        <v>157</v>
      </c>
      <c r="E261" t="s">
        <v>1227</v>
      </c>
      <c r="F261" t="s">
        <v>1228</v>
      </c>
      <c r="G261" t="s">
        <v>79</v>
      </c>
      <c r="H261" t="s">
        <v>260</v>
      </c>
      <c r="I261" t="s">
        <v>148</v>
      </c>
      <c r="J261" t="s">
        <v>62</v>
      </c>
      <c r="K261" t="s">
        <v>194</v>
      </c>
      <c r="L261" t="s">
        <v>39</v>
      </c>
      <c r="M261" t="s">
        <v>166</v>
      </c>
      <c r="N261" t="s">
        <v>167</v>
      </c>
      <c r="O261" s="3">
        <v>440000</v>
      </c>
      <c r="P261" s="4">
        <v>70</v>
      </c>
      <c r="Q261" s="2">
        <v>45973</v>
      </c>
      <c r="R261" s="2">
        <v>46186</v>
      </c>
      <c r="S261" s="2">
        <v>45919</v>
      </c>
      <c r="T261" s="2"/>
      <c r="U261" t="str">
        <f t="shared" si="28"/>
        <v>No</v>
      </c>
      <c r="W2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1" t="str">
        <f t="shared" ca="1" si="29"/>
        <v>Overdue</v>
      </c>
      <c r="Y261" t="str">
        <f t="shared" si="30"/>
        <v>Open</v>
      </c>
      <c r="Z261" t="str">
        <f t="shared" si="31"/>
        <v>Sep-2025</v>
      </c>
      <c r="AA261" t="str">
        <f t="shared" si="32"/>
        <v>Q3 2025</v>
      </c>
      <c r="AB261" s="4">
        <f t="shared" ca="1" si="33"/>
        <v>282</v>
      </c>
      <c r="AC261" t="str">
        <f t="shared" si="34"/>
        <v>High</v>
      </c>
    </row>
    <row r="262" spans="1:29">
      <c r="A262" t="s">
        <v>1229</v>
      </c>
      <c r="B262" s="2">
        <v>45691</v>
      </c>
      <c r="C262" t="s">
        <v>741</v>
      </c>
      <c r="D262" t="s">
        <v>1072</v>
      </c>
      <c r="E262" t="s">
        <v>1230</v>
      </c>
      <c r="F262" t="s">
        <v>1231</v>
      </c>
      <c r="G262" t="s">
        <v>47</v>
      </c>
      <c r="H262" t="s">
        <v>113</v>
      </c>
      <c r="I262" t="s">
        <v>141</v>
      </c>
      <c r="J262" t="s">
        <v>131</v>
      </c>
      <c r="K262" t="s">
        <v>114</v>
      </c>
      <c r="L262" t="s">
        <v>239</v>
      </c>
      <c r="M262" t="s">
        <v>53</v>
      </c>
      <c r="N262" t="s">
        <v>54</v>
      </c>
      <c r="O262" s="3">
        <v>265000</v>
      </c>
      <c r="P262" s="4">
        <v>30</v>
      </c>
      <c r="Q262" s="2">
        <v>45712</v>
      </c>
      <c r="R262" s="2">
        <v>46194</v>
      </c>
      <c r="S262" s="2">
        <v>45716</v>
      </c>
      <c r="T262" s="2"/>
      <c r="U262" t="str">
        <f t="shared" si="28"/>
        <v>No</v>
      </c>
      <c r="W2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2" t="str">
        <f t="shared" ca="1" si="29"/>
        <v>Overdue</v>
      </c>
      <c r="Y262" t="str">
        <f t="shared" si="30"/>
        <v>Open</v>
      </c>
      <c r="Z262" t="str">
        <f t="shared" si="31"/>
        <v>Feb-2025</v>
      </c>
      <c r="AA262" t="str">
        <f t="shared" si="32"/>
        <v>Q1 2025</v>
      </c>
      <c r="AB262" s="4">
        <f t="shared" ca="1" si="33"/>
        <v>508</v>
      </c>
      <c r="AC262" t="str">
        <f t="shared" si="34"/>
        <v>Medium</v>
      </c>
    </row>
    <row r="263" spans="1:29">
      <c r="A263" t="s">
        <v>1232</v>
      </c>
      <c r="B263" s="2">
        <v>45776</v>
      </c>
      <c r="C263" t="s">
        <v>1233</v>
      </c>
      <c r="D263" t="s">
        <v>784</v>
      </c>
      <c r="E263" t="s">
        <v>1234</v>
      </c>
      <c r="F263" t="s">
        <v>1235</v>
      </c>
      <c r="G263" t="s">
        <v>47</v>
      </c>
      <c r="H263" t="s">
        <v>89</v>
      </c>
      <c r="I263" t="s">
        <v>141</v>
      </c>
      <c r="J263" t="s">
        <v>131</v>
      </c>
      <c r="K263" t="s">
        <v>114</v>
      </c>
      <c r="L263" t="s">
        <v>142</v>
      </c>
      <c r="M263" t="s">
        <v>116</v>
      </c>
      <c r="N263" t="s">
        <v>54</v>
      </c>
      <c r="O263" s="3">
        <v>270000</v>
      </c>
      <c r="P263" s="4">
        <v>15</v>
      </c>
      <c r="Q263" s="2">
        <v>45823</v>
      </c>
      <c r="R263" s="2">
        <v>46241</v>
      </c>
      <c r="S263" s="2">
        <v>45779</v>
      </c>
      <c r="T263" s="2"/>
      <c r="U263" t="str">
        <f t="shared" si="28"/>
        <v>No</v>
      </c>
      <c r="W2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3" t="str">
        <f t="shared" ca="1" si="29"/>
        <v>Due/Open</v>
      </c>
      <c r="Y263" t="str">
        <f t="shared" si="30"/>
        <v>Open</v>
      </c>
      <c r="Z263" t="str">
        <f t="shared" si="31"/>
        <v>Apr-2025</v>
      </c>
      <c r="AA263" t="str">
        <f t="shared" si="32"/>
        <v>Q2 2025</v>
      </c>
      <c r="AB263" s="4">
        <f t="shared" ca="1" si="33"/>
        <v>423</v>
      </c>
      <c r="AC263" t="str">
        <f t="shared" si="34"/>
        <v>Medium</v>
      </c>
    </row>
    <row r="264" spans="1:29">
      <c r="A264" t="s">
        <v>1236</v>
      </c>
      <c r="B264" s="2">
        <v>46141</v>
      </c>
      <c r="C264" t="s">
        <v>1237</v>
      </c>
      <c r="D264" t="s">
        <v>273</v>
      </c>
      <c r="E264" t="s">
        <v>1238</v>
      </c>
      <c r="F264" t="s">
        <v>1239</v>
      </c>
      <c r="G264" t="s">
        <v>179</v>
      </c>
      <c r="H264" t="s">
        <v>186</v>
      </c>
      <c r="I264" t="s">
        <v>123</v>
      </c>
      <c r="J264" t="s">
        <v>131</v>
      </c>
      <c r="K264" t="s">
        <v>38</v>
      </c>
      <c r="L264" t="s">
        <v>154</v>
      </c>
      <c r="M264" t="s">
        <v>53</v>
      </c>
      <c r="N264" t="s">
        <v>54</v>
      </c>
      <c r="O264" s="3">
        <v>115000</v>
      </c>
      <c r="P264" s="4">
        <v>30</v>
      </c>
      <c r="Q264" s="2">
        <v>46203</v>
      </c>
      <c r="R264" s="2">
        <v>46155</v>
      </c>
      <c r="S264" s="2">
        <v>46147</v>
      </c>
      <c r="T264" s="2"/>
      <c r="U264" t="str">
        <f t="shared" si="28"/>
        <v>No</v>
      </c>
      <c r="W2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4" t="str">
        <f t="shared" ca="1" si="29"/>
        <v>Overdue</v>
      </c>
      <c r="Y264" t="str">
        <f t="shared" si="30"/>
        <v>Open</v>
      </c>
      <c r="Z264" t="str">
        <f t="shared" si="31"/>
        <v>Apr-2026</v>
      </c>
      <c r="AA264" t="str">
        <f t="shared" si="32"/>
        <v>Q2 2026</v>
      </c>
      <c r="AB264" s="4">
        <f t="shared" ca="1" si="33"/>
        <v>58</v>
      </c>
      <c r="AC264" t="str">
        <f t="shared" si="34"/>
        <v>Low</v>
      </c>
    </row>
    <row r="265" spans="1:29">
      <c r="A265" t="s">
        <v>1240</v>
      </c>
      <c r="B265" s="2">
        <v>46167</v>
      </c>
      <c r="C265" t="s">
        <v>1136</v>
      </c>
      <c r="D265" t="s">
        <v>332</v>
      </c>
      <c r="E265" t="s">
        <v>1241</v>
      </c>
      <c r="F265" t="s">
        <v>1242</v>
      </c>
      <c r="G265" t="s">
        <v>79</v>
      </c>
      <c r="H265" t="s">
        <v>80</v>
      </c>
      <c r="I265" t="s">
        <v>148</v>
      </c>
      <c r="J265" t="s">
        <v>99</v>
      </c>
      <c r="K265" t="s">
        <v>51</v>
      </c>
      <c r="L265" t="s">
        <v>72</v>
      </c>
      <c r="M265" t="s">
        <v>166</v>
      </c>
      <c r="N265" t="s">
        <v>167</v>
      </c>
      <c r="O265" s="3">
        <v>455000</v>
      </c>
      <c r="P265" s="4">
        <v>65</v>
      </c>
      <c r="Q265" s="2">
        <v>46262</v>
      </c>
      <c r="R265" s="2">
        <v>46241</v>
      </c>
      <c r="S265" s="2">
        <v>46173</v>
      </c>
      <c r="T265" s="2"/>
      <c r="U265" t="str">
        <f t="shared" si="28"/>
        <v>No</v>
      </c>
      <c r="W2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5" t="str">
        <f t="shared" ca="1" si="29"/>
        <v>Due/Open</v>
      </c>
      <c r="Y265" t="str">
        <f t="shared" si="30"/>
        <v>Open</v>
      </c>
      <c r="Z265" t="str">
        <f t="shared" si="31"/>
        <v>May-2026</v>
      </c>
      <c r="AA265" t="str">
        <f t="shared" si="32"/>
        <v>Q2 2026</v>
      </c>
      <c r="AB265" s="4">
        <f t="shared" ca="1" si="33"/>
        <v>32</v>
      </c>
      <c r="AC265" t="str">
        <f t="shared" si="34"/>
        <v>High</v>
      </c>
    </row>
    <row r="266" spans="1:29">
      <c r="A266" t="s">
        <v>1243</v>
      </c>
      <c r="B266" s="2">
        <v>45767</v>
      </c>
      <c r="C266" t="s">
        <v>1244</v>
      </c>
      <c r="D266" t="s">
        <v>1245</v>
      </c>
      <c r="E266" t="s">
        <v>1246</v>
      </c>
      <c r="F266" t="s">
        <v>1247</v>
      </c>
      <c r="G266" t="s">
        <v>179</v>
      </c>
      <c r="H266" t="s">
        <v>436</v>
      </c>
      <c r="I266" t="s">
        <v>36</v>
      </c>
      <c r="J266" t="s">
        <v>62</v>
      </c>
      <c r="K266" t="s">
        <v>114</v>
      </c>
      <c r="L266" t="s">
        <v>115</v>
      </c>
      <c r="M266" t="s">
        <v>73</v>
      </c>
      <c r="N266" t="s">
        <v>73</v>
      </c>
      <c r="O266" s="3">
        <v>420000</v>
      </c>
      <c r="P266" s="4">
        <v>85</v>
      </c>
      <c r="Q266" s="2">
        <v>45824</v>
      </c>
      <c r="R266" s="2">
        <v>46223</v>
      </c>
      <c r="S266" s="2">
        <v>45787</v>
      </c>
      <c r="T266" s="2"/>
      <c r="U266" t="str">
        <f t="shared" si="28"/>
        <v>No</v>
      </c>
      <c r="W2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6" t="str">
        <f t="shared" ca="1" si="29"/>
        <v>Due/Open</v>
      </c>
      <c r="Y266" t="str">
        <f t="shared" si="30"/>
        <v>Open</v>
      </c>
      <c r="Z266" t="str">
        <f t="shared" si="31"/>
        <v>Apr-2025</v>
      </c>
      <c r="AA266" t="str">
        <f t="shared" si="32"/>
        <v>Q2 2025</v>
      </c>
      <c r="AB266" s="4">
        <f t="shared" ca="1" si="33"/>
        <v>432</v>
      </c>
      <c r="AC266" t="str">
        <f t="shared" si="34"/>
        <v>High</v>
      </c>
    </row>
    <row r="267" spans="1:29">
      <c r="A267" t="s">
        <v>1248</v>
      </c>
      <c r="B267" s="2">
        <v>46027</v>
      </c>
      <c r="C267" t="s">
        <v>303</v>
      </c>
      <c r="D267" t="s">
        <v>1249</v>
      </c>
      <c r="E267" t="s">
        <v>1250</v>
      </c>
      <c r="F267" t="s">
        <v>1251</v>
      </c>
      <c r="G267" t="s">
        <v>69</v>
      </c>
      <c r="H267" t="s">
        <v>193</v>
      </c>
      <c r="I267" t="s">
        <v>49</v>
      </c>
      <c r="J267" t="s">
        <v>62</v>
      </c>
      <c r="K267" t="s">
        <v>114</v>
      </c>
      <c r="L267" t="s">
        <v>52</v>
      </c>
      <c r="M267" t="s">
        <v>73</v>
      </c>
      <c r="N267" t="s">
        <v>73</v>
      </c>
      <c r="O267" s="3">
        <v>290000</v>
      </c>
      <c r="P267" s="4">
        <v>75</v>
      </c>
      <c r="Q267" s="2">
        <v>46120</v>
      </c>
      <c r="R267" s="2">
        <v>46213</v>
      </c>
      <c r="S267" s="2">
        <v>46054</v>
      </c>
      <c r="T267" s="2"/>
      <c r="U267" t="str">
        <f t="shared" si="28"/>
        <v>No</v>
      </c>
      <c r="W2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7" t="str">
        <f t="shared" ca="1" si="29"/>
        <v>Due/Open</v>
      </c>
      <c r="Y267" t="str">
        <f t="shared" si="30"/>
        <v>Open</v>
      </c>
      <c r="Z267" t="str">
        <f t="shared" si="31"/>
        <v>Jan-2026</v>
      </c>
      <c r="AA267" t="str">
        <f t="shared" si="32"/>
        <v>Q1 2026</v>
      </c>
      <c r="AB267" s="4">
        <f t="shared" ca="1" si="33"/>
        <v>172</v>
      </c>
      <c r="AC267" t="str">
        <f t="shared" si="34"/>
        <v>Medium</v>
      </c>
    </row>
    <row r="268" spans="1:29">
      <c r="A268" t="s">
        <v>1252</v>
      </c>
      <c r="B268" s="2">
        <v>45818</v>
      </c>
      <c r="C268" t="s">
        <v>1253</v>
      </c>
      <c r="D268" t="s">
        <v>1254</v>
      </c>
      <c r="E268" t="s">
        <v>1255</v>
      </c>
      <c r="F268" t="s">
        <v>1256</v>
      </c>
      <c r="G268" t="s">
        <v>69</v>
      </c>
      <c r="H268" t="s">
        <v>312</v>
      </c>
      <c r="I268" t="s">
        <v>141</v>
      </c>
      <c r="J268" t="s">
        <v>131</v>
      </c>
      <c r="K268" t="s">
        <v>71</v>
      </c>
      <c r="L268" t="s">
        <v>72</v>
      </c>
      <c r="M268" t="s">
        <v>53</v>
      </c>
      <c r="N268" t="s">
        <v>54</v>
      </c>
      <c r="O268" s="3">
        <v>140000</v>
      </c>
      <c r="P268" s="4">
        <v>25</v>
      </c>
      <c r="Q268" s="2">
        <v>45852</v>
      </c>
      <c r="R268" s="2">
        <v>46228</v>
      </c>
      <c r="S268" s="2">
        <v>45838</v>
      </c>
      <c r="T268" s="2"/>
      <c r="U268" t="str">
        <f t="shared" si="28"/>
        <v>No</v>
      </c>
      <c r="W2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8" t="str">
        <f t="shared" ca="1" si="29"/>
        <v>Due/Open</v>
      </c>
      <c r="Y268" t="str">
        <f t="shared" si="30"/>
        <v>Open</v>
      </c>
      <c r="Z268" t="str">
        <f t="shared" si="31"/>
        <v>Jun-2025</v>
      </c>
      <c r="AA268" t="str">
        <f t="shared" si="32"/>
        <v>Q2 2025</v>
      </c>
      <c r="AB268" s="4">
        <f t="shared" ca="1" si="33"/>
        <v>381</v>
      </c>
      <c r="AC268" t="str">
        <f t="shared" si="34"/>
        <v>Medium</v>
      </c>
    </row>
    <row r="269" spans="1:29">
      <c r="A269" t="s">
        <v>1257</v>
      </c>
      <c r="B269" s="2">
        <v>45721</v>
      </c>
      <c r="C269" t="s">
        <v>598</v>
      </c>
      <c r="D269" t="s">
        <v>547</v>
      </c>
      <c r="E269" t="s">
        <v>1258</v>
      </c>
      <c r="F269" t="s">
        <v>1259</v>
      </c>
      <c r="G269" t="s">
        <v>34</v>
      </c>
      <c r="H269" t="s">
        <v>35</v>
      </c>
      <c r="I269" t="s">
        <v>36</v>
      </c>
      <c r="J269" t="s">
        <v>131</v>
      </c>
      <c r="K269" t="s">
        <v>51</v>
      </c>
      <c r="L269" t="s">
        <v>63</v>
      </c>
      <c r="M269" t="s">
        <v>166</v>
      </c>
      <c r="N269" t="s">
        <v>167</v>
      </c>
      <c r="O269" s="3">
        <v>195000</v>
      </c>
      <c r="P269" s="4">
        <v>70</v>
      </c>
      <c r="Q269" s="2">
        <v>45743</v>
      </c>
      <c r="R269" s="2">
        <v>46215</v>
      </c>
      <c r="S269" s="2">
        <v>45724</v>
      </c>
      <c r="T269" s="2"/>
      <c r="U269" t="str">
        <f t="shared" si="28"/>
        <v>No</v>
      </c>
      <c r="W2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69" t="str">
        <f t="shared" ca="1" si="29"/>
        <v>Due/Open</v>
      </c>
      <c r="Y269" t="str">
        <f t="shared" si="30"/>
        <v>Open</v>
      </c>
      <c r="Z269" t="str">
        <f t="shared" si="31"/>
        <v>Mar-2025</v>
      </c>
      <c r="AA269" t="str">
        <f t="shared" si="32"/>
        <v>Q1 2025</v>
      </c>
      <c r="AB269" s="4">
        <f t="shared" ca="1" si="33"/>
        <v>478</v>
      </c>
      <c r="AC269" t="str">
        <f t="shared" si="34"/>
        <v>Medium</v>
      </c>
    </row>
    <row r="270" spans="1:29">
      <c r="A270" t="s">
        <v>1260</v>
      </c>
      <c r="B270" s="2">
        <v>45721</v>
      </c>
      <c r="C270" t="s">
        <v>1261</v>
      </c>
      <c r="D270" t="s">
        <v>394</v>
      </c>
      <c r="E270" t="s">
        <v>1262</v>
      </c>
      <c r="F270" t="s">
        <v>1263</v>
      </c>
      <c r="G270" t="s">
        <v>79</v>
      </c>
      <c r="H270" t="s">
        <v>228</v>
      </c>
      <c r="I270" t="s">
        <v>98</v>
      </c>
      <c r="J270" t="s">
        <v>62</v>
      </c>
      <c r="K270" t="s">
        <v>114</v>
      </c>
      <c r="L270" t="s">
        <v>72</v>
      </c>
      <c r="M270" t="s">
        <v>116</v>
      </c>
      <c r="N270" t="s">
        <v>54</v>
      </c>
      <c r="O270" s="3">
        <v>325000</v>
      </c>
      <c r="P270" s="4">
        <v>15</v>
      </c>
      <c r="Q270" s="2">
        <v>45803</v>
      </c>
      <c r="R270" s="2">
        <v>46200</v>
      </c>
      <c r="S270" s="2">
        <v>45741</v>
      </c>
      <c r="T270" s="2"/>
      <c r="U270" t="str">
        <f t="shared" si="28"/>
        <v>No</v>
      </c>
      <c r="W2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0" t="str">
        <f t="shared" ca="1" si="29"/>
        <v>Due/Open</v>
      </c>
      <c r="Y270" t="str">
        <f t="shared" si="30"/>
        <v>Open</v>
      </c>
      <c r="Z270" t="str">
        <f t="shared" si="31"/>
        <v>Mar-2025</v>
      </c>
      <c r="AA270" t="str">
        <f t="shared" si="32"/>
        <v>Q1 2025</v>
      </c>
      <c r="AB270" s="4">
        <f t="shared" ca="1" si="33"/>
        <v>478</v>
      </c>
      <c r="AC270" t="str">
        <f t="shared" si="34"/>
        <v>High</v>
      </c>
    </row>
    <row r="271" spans="1:29">
      <c r="A271" t="s">
        <v>1264</v>
      </c>
      <c r="B271" s="2">
        <v>45760</v>
      </c>
      <c r="C271" t="s">
        <v>1265</v>
      </c>
      <c r="D271" t="s">
        <v>1017</v>
      </c>
      <c r="E271" t="s">
        <v>1266</v>
      </c>
      <c r="F271" t="s">
        <v>1267</v>
      </c>
      <c r="G271" t="s">
        <v>69</v>
      </c>
      <c r="H271" t="s">
        <v>285</v>
      </c>
      <c r="I271" t="s">
        <v>98</v>
      </c>
      <c r="J271" t="s">
        <v>62</v>
      </c>
      <c r="K271" t="s">
        <v>114</v>
      </c>
      <c r="L271" t="s">
        <v>52</v>
      </c>
      <c r="M271" t="s">
        <v>166</v>
      </c>
      <c r="N271" t="s">
        <v>167</v>
      </c>
      <c r="O271" s="3">
        <v>430000</v>
      </c>
      <c r="P271" s="4">
        <v>70</v>
      </c>
      <c r="Q271" s="2">
        <v>45809</v>
      </c>
      <c r="R271" s="2">
        <v>46187</v>
      </c>
      <c r="S271" s="2">
        <v>45771</v>
      </c>
      <c r="T271" s="2"/>
      <c r="U271" t="str">
        <f t="shared" si="28"/>
        <v>No</v>
      </c>
      <c r="W2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1" t="str">
        <f t="shared" ca="1" si="29"/>
        <v>Overdue</v>
      </c>
      <c r="Y271" t="str">
        <f t="shared" si="30"/>
        <v>Open</v>
      </c>
      <c r="Z271" t="str">
        <f t="shared" si="31"/>
        <v>Apr-2025</v>
      </c>
      <c r="AA271" t="str">
        <f t="shared" si="32"/>
        <v>Q2 2025</v>
      </c>
      <c r="AB271" s="4">
        <f t="shared" ca="1" si="33"/>
        <v>439</v>
      </c>
      <c r="AC271" t="str">
        <f t="shared" si="34"/>
        <v>High</v>
      </c>
    </row>
    <row r="272" spans="1:29">
      <c r="A272" t="s">
        <v>1268</v>
      </c>
      <c r="B272" s="2">
        <v>46043</v>
      </c>
      <c r="C272" t="s">
        <v>365</v>
      </c>
      <c r="D272" t="s">
        <v>1269</v>
      </c>
      <c r="E272" t="s">
        <v>1270</v>
      </c>
      <c r="F272" t="s">
        <v>1271</v>
      </c>
      <c r="G272" t="s">
        <v>79</v>
      </c>
      <c r="H272" t="s">
        <v>97</v>
      </c>
      <c r="I272" t="s">
        <v>36</v>
      </c>
      <c r="J272" t="s">
        <v>124</v>
      </c>
      <c r="K272" t="s">
        <v>100</v>
      </c>
      <c r="L272" t="s">
        <v>63</v>
      </c>
      <c r="M272" t="s">
        <v>53</v>
      </c>
      <c r="N272" t="s">
        <v>54</v>
      </c>
      <c r="O272" s="3">
        <v>95000</v>
      </c>
      <c r="P272" s="4">
        <v>35</v>
      </c>
      <c r="Q272" s="2">
        <v>46084</v>
      </c>
      <c r="R272" s="2">
        <v>46242</v>
      </c>
      <c r="S272" s="2">
        <v>46056</v>
      </c>
      <c r="T272" s="2"/>
      <c r="U272" t="str">
        <f t="shared" si="28"/>
        <v>No</v>
      </c>
      <c r="W2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2" t="str">
        <f t="shared" ca="1" si="29"/>
        <v>Due/Open</v>
      </c>
      <c r="Y272" t="str">
        <f t="shared" si="30"/>
        <v>Open</v>
      </c>
      <c r="Z272" t="str">
        <f t="shared" si="31"/>
        <v>Jan-2026</v>
      </c>
      <c r="AA272" t="str">
        <f t="shared" si="32"/>
        <v>Q1 2026</v>
      </c>
      <c r="AB272" s="4">
        <f t="shared" ca="1" si="33"/>
        <v>156</v>
      </c>
      <c r="AC272" t="str">
        <f t="shared" si="34"/>
        <v>Low</v>
      </c>
    </row>
    <row r="273" spans="1:29">
      <c r="A273" t="s">
        <v>1272</v>
      </c>
      <c r="B273" s="2">
        <v>46110</v>
      </c>
      <c r="C273" t="s">
        <v>1273</v>
      </c>
      <c r="D273" t="s">
        <v>676</v>
      </c>
      <c r="E273" t="s">
        <v>1274</v>
      </c>
      <c r="F273" t="s">
        <v>1275</v>
      </c>
      <c r="G273" t="s">
        <v>69</v>
      </c>
      <c r="H273" t="s">
        <v>193</v>
      </c>
      <c r="I273" t="s">
        <v>141</v>
      </c>
      <c r="J273" t="s">
        <v>99</v>
      </c>
      <c r="K273" t="s">
        <v>38</v>
      </c>
      <c r="L273" t="s">
        <v>142</v>
      </c>
      <c r="M273" t="s">
        <v>53</v>
      </c>
      <c r="N273" t="s">
        <v>54</v>
      </c>
      <c r="O273" s="3">
        <v>600000</v>
      </c>
      <c r="P273" s="4">
        <v>35</v>
      </c>
      <c r="Q273" s="2">
        <v>46176</v>
      </c>
      <c r="R273" s="2">
        <v>46176</v>
      </c>
      <c r="S273" s="2">
        <v>46136</v>
      </c>
      <c r="T273" s="2"/>
      <c r="U273" t="str">
        <f t="shared" si="28"/>
        <v>No</v>
      </c>
      <c r="W2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3" t="str">
        <f t="shared" ca="1" si="29"/>
        <v>Overdue</v>
      </c>
      <c r="Y273" t="str">
        <f t="shared" si="30"/>
        <v>Open</v>
      </c>
      <c r="Z273" t="str">
        <f t="shared" si="31"/>
        <v>Mar-2026</v>
      </c>
      <c r="AA273" t="str">
        <f t="shared" si="32"/>
        <v>Q1 2026</v>
      </c>
      <c r="AB273" s="4">
        <f t="shared" ca="1" si="33"/>
        <v>89</v>
      </c>
      <c r="AC273" t="str">
        <f t="shared" si="34"/>
        <v>High</v>
      </c>
    </row>
    <row r="274" spans="1:29">
      <c r="A274" t="s">
        <v>1276</v>
      </c>
      <c r="B274" s="2">
        <v>46088</v>
      </c>
      <c r="C274" t="s">
        <v>202</v>
      </c>
      <c r="D274" t="s">
        <v>710</v>
      </c>
      <c r="E274" t="s">
        <v>1277</v>
      </c>
      <c r="F274" t="s">
        <v>1278</v>
      </c>
      <c r="G274" t="s">
        <v>179</v>
      </c>
      <c r="H274" t="s">
        <v>186</v>
      </c>
      <c r="I274" t="s">
        <v>98</v>
      </c>
      <c r="J274" t="s">
        <v>99</v>
      </c>
      <c r="K274" t="s">
        <v>100</v>
      </c>
      <c r="L274" t="s">
        <v>115</v>
      </c>
      <c r="M274" t="s">
        <v>40</v>
      </c>
      <c r="N274" t="s">
        <v>41</v>
      </c>
      <c r="O274" s="3">
        <v>305000</v>
      </c>
      <c r="P274" s="4">
        <v>100</v>
      </c>
      <c r="Q274" s="2">
        <v>46109</v>
      </c>
      <c r="R274" s="2"/>
      <c r="S274" s="2">
        <v>46106</v>
      </c>
      <c r="T274" s="2">
        <v>46109</v>
      </c>
      <c r="U274" t="str">
        <f t="shared" si="28"/>
        <v>Yes</v>
      </c>
      <c r="W27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21</v>
      </c>
      <c r="X274" t="str">
        <f t="shared" ca="1" si="29"/>
        <v>Closed</v>
      </c>
      <c r="Y274" t="str">
        <f t="shared" si="30"/>
        <v>Closed</v>
      </c>
      <c r="Z274" t="str">
        <f t="shared" si="31"/>
        <v>Mar-2026</v>
      </c>
      <c r="AA274" t="str">
        <f t="shared" si="32"/>
        <v>Q1 2026</v>
      </c>
      <c r="AB274" s="4">
        <f t="shared" ca="1" si="33"/>
        <v>111</v>
      </c>
      <c r="AC274" t="str">
        <f t="shared" si="34"/>
        <v>High</v>
      </c>
    </row>
    <row r="275" spans="1:29">
      <c r="A275" t="s">
        <v>1279</v>
      </c>
      <c r="B275" s="2">
        <v>45755</v>
      </c>
      <c r="C275" t="s">
        <v>1280</v>
      </c>
      <c r="D275" t="s">
        <v>428</v>
      </c>
      <c r="E275" t="s">
        <v>1281</v>
      </c>
      <c r="F275" t="s">
        <v>1282</v>
      </c>
      <c r="G275" t="s">
        <v>34</v>
      </c>
      <c r="H275" t="s">
        <v>238</v>
      </c>
      <c r="I275" t="s">
        <v>187</v>
      </c>
      <c r="J275" t="s">
        <v>50</v>
      </c>
      <c r="K275" t="s">
        <v>114</v>
      </c>
      <c r="L275" t="s">
        <v>115</v>
      </c>
      <c r="M275" t="s">
        <v>82</v>
      </c>
      <c r="N275" t="s">
        <v>83</v>
      </c>
      <c r="O275" s="3">
        <v>190000</v>
      </c>
      <c r="P275" s="4">
        <v>10</v>
      </c>
      <c r="Q275" s="2">
        <v>45781</v>
      </c>
      <c r="R275" s="2">
        <v>46206</v>
      </c>
      <c r="S275" s="2">
        <v>45759</v>
      </c>
      <c r="T275" s="2"/>
      <c r="U275" t="str">
        <f t="shared" si="28"/>
        <v>No</v>
      </c>
      <c r="W2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5" t="str">
        <f t="shared" ca="1" si="29"/>
        <v>Due/Open</v>
      </c>
      <c r="Y275" t="str">
        <f t="shared" si="30"/>
        <v>Open</v>
      </c>
      <c r="Z275" t="str">
        <f t="shared" si="31"/>
        <v>Apr-2025</v>
      </c>
      <c r="AA275" t="str">
        <f t="shared" si="32"/>
        <v>Q2 2025</v>
      </c>
      <c r="AB275" s="4">
        <f t="shared" ca="1" si="33"/>
        <v>444</v>
      </c>
      <c r="AC275" t="str">
        <f t="shared" si="34"/>
        <v>Medium</v>
      </c>
    </row>
    <row r="276" spans="1:29">
      <c r="A276" t="s">
        <v>1283</v>
      </c>
      <c r="B276" s="2">
        <v>45915</v>
      </c>
      <c r="C276" t="s">
        <v>942</v>
      </c>
      <c r="D276" t="s">
        <v>242</v>
      </c>
      <c r="E276" t="s">
        <v>1284</v>
      </c>
      <c r="F276" t="s">
        <v>1285</v>
      </c>
      <c r="G276" t="s">
        <v>34</v>
      </c>
      <c r="H276" t="s">
        <v>160</v>
      </c>
      <c r="I276" t="s">
        <v>98</v>
      </c>
      <c r="J276" t="s">
        <v>99</v>
      </c>
      <c r="K276" t="s">
        <v>38</v>
      </c>
      <c r="L276" t="s">
        <v>39</v>
      </c>
      <c r="M276" t="s">
        <v>73</v>
      </c>
      <c r="N276" t="s">
        <v>73</v>
      </c>
      <c r="O276" s="3">
        <v>480000</v>
      </c>
      <c r="P276" s="4">
        <v>85</v>
      </c>
      <c r="Q276" s="2">
        <v>45957</v>
      </c>
      <c r="R276" s="2">
        <v>46193</v>
      </c>
      <c r="S276" s="2">
        <v>45928</v>
      </c>
      <c r="T276" s="2"/>
      <c r="U276" t="str">
        <f t="shared" si="28"/>
        <v>No</v>
      </c>
      <c r="W2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6" t="str">
        <f t="shared" ca="1" si="29"/>
        <v>Overdue</v>
      </c>
      <c r="Y276" t="str">
        <f t="shared" si="30"/>
        <v>Open</v>
      </c>
      <c r="Z276" t="str">
        <f t="shared" si="31"/>
        <v>Sep-2025</v>
      </c>
      <c r="AA276" t="str">
        <f t="shared" si="32"/>
        <v>Q3 2025</v>
      </c>
      <c r="AB276" s="4">
        <f t="shared" ca="1" si="33"/>
        <v>284</v>
      </c>
      <c r="AC276" t="str">
        <f t="shared" si="34"/>
        <v>High</v>
      </c>
    </row>
    <row r="277" spans="1:29">
      <c r="A277" t="s">
        <v>1286</v>
      </c>
      <c r="B277" s="2">
        <v>45864</v>
      </c>
      <c r="C277" t="s">
        <v>365</v>
      </c>
      <c r="D277" t="s">
        <v>428</v>
      </c>
      <c r="E277" t="s">
        <v>1287</v>
      </c>
      <c r="F277" t="s">
        <v>1288</v>
      </c>
      <c r="G277" t="s">
        <v>179</v>
      </c>
      <c r="H277" t="s">
        <v>296</v>
      </c>
      <c r="I277" t="s">
        <v>49</v>
      </c>
      <c r="J277" t="s">
        <v>50</v>
      </c>
      <c r="K277" t="s">
        <v>194</v>
      </c>
      <c r="L277" t="s">
        <v>81</v>
      </c>
      <c r="M277" t="s">
        <v>73</v>
      </c>
      <c r="N277" t="s">
        <v>73</v>
      </c>
      <c r="O277" s="3">
        <v>385000</v>
      </c>
      <c r="P277" s="4">
        <v>80</v>
      </c>
      <c r="Q277" s="2">
        <v>45902</v>
      </c>
      <c r="R277" s="2">
        <v>46163</v>
      </c>
      <c r="S277" s="2">
        <v>45881</v>
      </c>
      <c r="T277" s="2"/>
      <c r="U277" t="str">
        <f t="shared" si="28"/>
        <v>No</v>
      </c>
      <c r="W2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7" t="str">
        <f t="shared" ca="1" si="29"/>
        <v>Overdue</v>
      </c>
      <c r="Y277" t="str">
        <f t="shared" si="30"/>
        <v>Open</v>
      </c>
      <c r="Z277" t="str">
        <f t="shared" si="31"/>
        <v>Jul-2025</v>
      </c>
      <c r="AA277" t="str">
        <f t="shared" si="32"/>
        <v>Q3 2025</v>
      </c>
      <c r="AB277" s="4">
        <f t="shared" ca="1" si="33"/>
        <v>335</v>
      </c>
      <c r="AC277" t="str">
        <f t="shared" si="34"/>
        <v>High</v>
      </c>
    </row>
    <row r="278" spans="1:29">
      <c r="A278" t="s">
        <v>1289</v>
      </c>
      <c r="B278" s="2">
        <v>46193</v>
      </c>
      <c r="C278" t="s">
        <v>1290</v>
      </c>
      <c r="D278" t="s">
        <v>176</v>
      </c>
      <c r="E278" t="s">
        <v>1291</v>
      </c>
      <c r="F278" t="s">
        <v>1292</v>
      </c>
      <c r="G278" t="s">
        <v>47</v>
      </c>
      <c r="H278" t="s">
        <v>493</v>
      </c>
      <c r="I278" t="s">
        <v>36</v>
      </c>
      <c r="J278" t="s">
        <v>37</v>
      </c>
      <c r="K278" t="s">
        <v>114</v>
      </c>
      <c r="L278" t="s">
        <v>107</v>
      </c>
      <c r="M278" t="s">
        <v>53</v>
      </c>
      <c r="N278" t="s">
        <v>54</v>
      </c>
      <c r="O278" s="3">
        <v>125000</v>
      </c>
      <c r="P278" s="4">
        <v>25</v>
      </c>
      <c r="Q278" s="2">
        <v>46288</v>
      </c>
      <c r="R278" s="2">
        <v>46200</v>
      </c>
      <c r="S278" s="2">
        <v>46194</v>
      </c>
      <c r="T278" s="2"/>
      <c r="U278" t="str">
        <f t="shared" si="28"/>
        <v>No</v>
      </c>
      <c r="W2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8" t="str">
        <f t="shared" ca="1" si="29"/>
        <v>Due/Open</v>
      </c>
      <c r="Y278" t="str">
        <f t="shared" si="30"/>
        <v>Open</v>
      </c>
      <c r="Z278" t="str">
        <f t="shared" si="31"/>
        <v>Jun-2026</v>
      </c>
      <c r="AA278" t="str">
        <f t="shared" si="32"/>
        <v>Q2 2026</v>
      </c>
      <c r="AB278" s="4">
        <f t="shared" ca="1" si="33"/>
        <v>6</v>
      </c>
      <c r="AC278" t="str">
        <f t="shared" si="34"/>
        <v>Medium</v>
      </c>
    </row>
    <row r="279" spans="1:29">
      <c r="A279" t="s">
        <v>1293</v>
      </c>
      <c r="B279" s="2">
        <v>46034</v>
      </c>
      <c r="C279" t="s">
        <v>489</v>
      </c>
      <c r="D279" t="s">
        <v>547</v>
      </c>
      <c r="E279" t="s">
        <v>1294</v>
      </c>
      <c r="F279" t="s">
        <v>1295</v>
      </c>
      <c r="G279" t="s">
        <v>179</v>
      </c>
      <c r="H279" t="s">
        <v>186</v>
      </c>
      <c r="I279" t="s">
        <v>123</v>
      </c>
      <c r="J279" t="s">
        <v>124</v>
      </c>
      <c r="K279" t="s">
        <v>71</v>
      </c>
      <c r="L279" t="s">
        <v>107</v>
      </c>
      <c r="M279" t="s">
        <v>53</v>
      </c>
      <c r="N279" t="s">
        <v>54</v>
      </c>
      <c r="O279" s="3">
        <v>140000</v>
      </c>
      <c r="P279" s="4">
        <v>25</v>
      </c>
      <c r="Q279" s="2">
        <v>46075</v>
      </c>
      <c r="R279" s="2">
        <v>46229</v>
      </c>
      <c r="S279" s="2">
        <v>46050</v>
      </c>
      <c r="T279" s="2"/>
      <c r="U279" t="str">
        <f t="shared" si="28"/>
        <v>No</v>
      </c>
      <c r="W2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79" t="str">
        <f t="shared" ca="1" si="29"/>
        <v>Due/Open</v>
      </c>
      <c r="Y279" t="str">
        <f t="shared" si="30"/>
        <v>Open</v>
      </c>
      <c r="Z279" t="str">
        <f t="shared" si="31"/>
        <v>Jan-2026</v>
      </c>
      <c r="AA279" t="str">
        <f t="shared" si="32"/>
        <v>Q1 2026</v>
      </c>
      <c r="AB279" s="4">
        <f t="shared" ca="1" si="33"/>
        <v>165</v>
      </c>
      <c r="AC279" t="str">
        <f t="shared" si="34"/>
        <v>Medium</v>
      </c>
    </row>
    <row r="280" spans="1:29">
      <c r="A280" t="s">
        <v>1296</v>
      </c>
      <c r="B280" s="2">
        <v>45766</v>
      </c>
      <c r="C280" t="s">
        <v>1297</v>
      </c>
      <c r="D280" t="s">
        <v>1093</v>
      </c>
      <c r="E280" t="s">
        <v>1298</v>
      </c>
      <c r="F280" t="s">
        <v>1299</v>
      </c>
      <c r="G280" t="s">
        <v>34</v>
      </c>
      <c r="H280" t="s">
        <v>60</v>
      </c>
      <c r="I280" t="s">
        <v>123</v>
      </c>
      <c r="J280" t="s">
        <v>50</v>
      </c>
      <c r="K280" t="s">
        <v>100</v>
      </c>
      <c r="L280" t="s">
        <v>107</v>
      </c>
      <c r="M280" t="s">
        <v>82</v>
      </c>
      <c r="N280" t="s">
        <v>83</v>
      </c>
      <c r="O280" s="3">
        <v>405000</v>
      </c>
      <c r="P280" s="4">
        <v>5</v>
      </c>
      <c r="Q280" s="2">
        <v>45816</v>
      </c>
      <c r="R280" s="2">
        <v>46208</v>
      </c>
      <c r="S280" s="2">
        <v>45790</v>
      </c>
      <c r="T280" s="2"/>
      <c r="U280" t="str">
        <f t="shared" si="28"/>
        <v>No</v>
      </c>
      <c r="W2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0" t="str">
        <f t="shared" ca="1" si="29"/>
        <v>Due/Open</v>
      </c>
      <c r="Y280" t="str">
        <f t="shared" si="30"/>
        <v>Open</v>
      </c>
      <c r="Z280" t="str">
        <f t="shared" si="31"/>
        <v>Apr-2025</v>
      </c>
      <c r="AA280" t="str">
        <f t="shared" si="32"/>
        <v>Q2 2025</v>
      </c>
      <c r="AB280" s="4">
        <f t="shared" ca="1" si="33"/>
        <v>433</v>
      </c>
      <c r="AC280" t="str">
        <f t="shared" si="34"/>
        <v>High</v>
      </c>
    </row>
    <row r="281" spans="1:29">
      <c r="A281" t="s">
        <v>1300</v>
      </c>
      <c r="B281" s="2">
        <v>46034</v>
      </c>
      <c r="C281" t="s">
        <v>1301</v>
      </c>
      <c r="D281" t="s">
        <v>1302</v>
      </c>
      <c r="E281" t="s">
        <v>1303</v>
      </c>
      <c r="F281" t="s">
        <v>1304</v>
      </c>
      <c r="G281" t="s">
        <v>69</v>
      </c>
      <c r="H281" t="s">
        <v>312</v>
      </c>
      <c r="I281" t="s">
        <v>148</v>
      </c>
      <c r="J281" t="s">
        <v>62</v>
      </c>
      <c r="K281" t="s">
        <v>51</v>
      </c>
      <c r="L281" t="s">
        <v>81</v>
      </c>
      <c r="M281" t="s">
        <v>82</v>
      </c>
      <c r="N281" t="s">
        <v>83</v>
      </c>
      <c r="O281" s="3">
        <v>220000</v>
      </c>
      <c r="P281" s="4">
        <v>5</v>
      </c>
      <c r="Q281" s="2">
        <v>46098</v>
      </c>
      <c r="R281" s="2">
        <v>46242</v>
      </c>
      <c r="S281" s="2">
        <v>46048</v>
      </c>
      <c r="T281" s="2"/>
      <c r="U281" t="str">
        <f t="shared" si="28"/>
        <v>No</v>
      </c>
      <c r="W2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1" t="str">
        <f t="shared" ca="1" si="29"/>
        <v>Due/Open</v>
      </c>
      <c r="Y281" t="str">
        <f t="shared" si="30"/>
        <v>Open</v>
      </c>
      <c r="Z281" t="str">
        <f t="shared" si="31"/>
        <v>Jan-2026</v>
      </c>
      <c r="AA281" t="str">
        <f t="shared" si="32"/>
        <v>Q1 2026</v>
      </c>
      <c r="AB281" s="4">
        <f t="shared" ca="1" si="33"/>
        <v>165</v>
      </c>
      <c r="AC281" t="str">
        <f t="shared" si="34"/>
        <v>Medium</v>
      </c>
    </row>
    <row r="282" spans="1:29">
      <c r="A282" t="s">
        <v>1305</v>
      </c>
      <c r="B282" s="2">
        <v>45845</v>
      </c>
      <c r="C282" t="s">
        <v>1306</v>
      </c>
      <c r="D282" t="s">
        <v>1178</v>
      </c>
      <c r="E282" t="s">
        <v>1307</v>
      </c>
      <c r="F282" t="s">
        <v>1308</v>
      </c>
      <c r="G282" t="s">
        <v>69</v>
      </c>
      <c r="H282" t="s">
        <v>270</v>
      </c>
      <c r="I282" t="s">
        <v>36</v>
      </c>
      <c r="J282" t="s">
        <v>131</v>
      </c>
      <c r="K282" t="s">
        <v>114</v>
      </c>
      <c r="L282" t="s">
        <v>63</v>
      </c>
      <c r="M282" t="s">
        <v>73</v>
      </c>
      <c r="N282" t="s">
        <v>73</v>
      </c>
      <c r="O282" s="3">
        <v>330000</v>
      </c>
      <c r="P282" s="4">
        <v>75</v>
      </c>
      <c r="Q282" s="2">
        <v>45929</v>
      </c>
      <c r="R282" s="2">
        <v>46156</v>
      </c>
      <c r="S282" s="2">
        <v>45862</v>
      </c>
      <c r="T282" s="2"/>
      <c r="U282" t="str">
        <f t="shared" si="28"/>
        <v>No</v>
      </c>
      <c r="W2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2" t="str">
        <f t="shared" ca="1" si="29"/>
        <v>Overdue</v>
      </c>
      <c r="Y282" t="str">
        <f t="shared" si="30"/>
        <v>Open</v>
      </c>
      <c r="Z282" t="str">
        <f t="shared" si="31"/>
        <v>Jul-2025</v>
      </c>
      <c r="AA282" t="str">
        <f t="shared" si="32"/>
        <v>Q3 2025</v>
      </c>
      <c r="AB282" s="4">
        <f t="shared" ca="1" si="33"/>
        <v>354</v>
      </c>
      <c r="AC282" t="str">
        <f t="shared" si="34"/>
        <v>High</v>
      </c>
    </row>
    <row r="283" spans="1:29">
      <c r="A283" t="s">
        <v>1309</v>
      </c>
      <c r="B283" s="2">
        <v>46013</v>
      </c>
      <c r="C283" t="s">
        <v>1310</v>
      </c>
      <c r="D283" t="s">
        <v>352</v>
      </c>
      <c r="E283" t="s">
        <v>1311</v>
      </c>
      <c r="F283" t="s">
        <v>1312</v>
      </c>
      <c r="G283" t="s">
        <v>79</v>
      </c>
      <c r="H283" t="s">
        <v>217</v>
      </c>
      <c r="I283" t="s">
        <v>49</v>
      </c>
      <c r="J283" t="s">
        <v>124</v>
      </c>
      <c r="K283" t="s">
        <v>51</v>
      </c>
      <c r="L283" t="s">
        <v>81</v>
      </c>
      <c r="M283" t="s">
        <v>40</v>
      </c>
      <c r="N283" t="s">
        <v>41</v>
      </c>
      <c r="O283" s="3">
        <v>90000</v>
      </c>
      <c r="P283" s="4">
        <v>100</v>
      </c>
      <c r="Q283" s="2">
        <v>46051</v>
      </c>
      <c r="R283" s="2"/>
      <c r="S283" s="2">
        <v>46039</v>
      </c>
      <c r="T283" s="2">
        <v>46051</v>
      </c>
      <c r="U283" t="str">
        <f t="shared" si="28"/>
        <v>Yes</v>
      </c>
      <c r="W2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283" t="str">
        <f t="shared" ca="1" si="29"/>
        <v>Closed</v>
      </c>
      <c r="Y283" t="str">
        <f t="shared" si="30"/>
        <v>Closed</v>
      </c>
      <c r="Z283" t="str">
        <f t="shared" si="31"/>
        <v>Dec-2025</v>
      </c>
      <c r="AA283" t="str">
        <f t="shared" si="32"/>
        <v>Q4 2025</v>
      </c>
      <c r="AB283" s="4">
        <f t="shared" ca="1" si="33"/>
        <v>186</v>
      </c>
      <c r="AC283" t="str">
        <f t="shared" si="34"/>
        <v>Low</v>
      </c>
    </row>
    <row r="284" spans="1:29">
      <c r="A284" t="s">
        <v>1313</v>
      </c>
      <c r="B284" s="2">
        <v>45751</v>
      </c>
      <c r="C284" t="s">
        <v>1314</v>
      </c>
      <c r="D284" t="s">
        <v>1315</v>
      </c>
      <c r="E284" t="s">
        <v>1316</v>
      </c>
      <c r="F284" t="s">
        <v>1317</v>
      </c>
      <c r="G284" t="s">
        <v>47</v>
      </c>
      <c r="H284" t="s">
        <v>89</v>
      </c>
      <c r="I284" t="s">
        <v>36</v>
      </c>
      <c r="J284" t="s">
        <v>50</v>
      </c>
      <c r="K284" t="s">
        <v>100</v>
      </c>
      <c r="L284" t="s">
        <v>81</v>
      </c>
      <c r="M284" t="s">
        <v>53</v>
      </c>
      <c r="N284" t="s">
        <v>54</v>
      </c>
      <c r="O284" s="3">
        <v>350000</v>
      </c>
      <c r="P284" s="4">
        <v>30</v>
      </c>
      <c r="Q284" s="2">
        <v>45780</v>
      </c>
      <c r="R284" s="2">
        <v>46190</v>
      </c>
      <c r="S284" s="2">
        <v>45778</v>
      </c>
      <c r="T284" s="2"/>
      <c r="U284" t="str">
        <f t="shared" si="28"/>
        <v>No</v>
      </c>
      <c r="W2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4" t="str">
        <f t="shared" ca="1" si="29"/>
        <v>Overdue</v>
      </c>
      <c r="Y284" t="str">
        <f t="shared" si="30"/>
        <v>Open</v>
      </c>
      <c r="Z284" t="str">
        <f t="shared" si="31"/>
        <v>Apr-2025</v>
      </c>
      <c r="AA284" t="str">
        <f t="shared" si="32"/>
        <v>Q2 2025</v>
      </c>
      <c r="AB284" s="4">
        <f t="shared" ca="1" si="33"/>
        <v>448</v>
      </c>
      <c r="AC284" t="str">
        <f t="shared" si="34"/>
        <v>High</v>
      </c>
    </row>
    <row r="285" spans="1:29">
      <c r="A285" t="s">
        <v>1318</v>
      </c>
      <c r="B285" s="2">
        <v>45793</v>
      </c>
      <c r="C285" t="s">
        <v>1097</v>
      </c>
      <c r="D285" t="s">
        <v>1319</v>
      </c>
      <c r="E285" t="s">
        <v>1320</v>
      </c>
      <c r="F285" t="s">
        <v>1321</v>
      </c>
      <c r="G285" t="s">
        <v>34</v>
      </c>
      <c r="H285" t="s">
        <v>60</v>
      </c>
      <c r="I285" t="s">
        <v>123</v>
      </c>
      <c r="J285" t="s">
        <v>62</v>
      </c>
      <c r="K285" t="s">
        <v>71</v>
      </c>
      <c r="L285" t="s">
        <v>63</v>
      </c>
      <c r="M285" t="s">
        <v>53</v>
      </c>
      <c r="N285" t="s">
        <v>54</v>
      </c>
      <c r="O285" s="3">
        <v>335000</v>
      </c>
      <c r="P285" s="4">
        <v>25</v>
      </c>
      <c r="Q285" s="2">
        <v>45823</v>
      </c>
      <c r="R285" s="2">
        <v>46170</v>
      </c>
      <c r="S285" s="2">
        <v>45805</v>
      </c>
      <c r="T285" s="2"/>
      <c r="U285" t="str">
        <f t="shared" si="28"/>
        <v>No</v>
      </c>
      <c r="W2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5" t="str">
        <f t="shared" ca="1" si="29"/>
        <v>Overdue</v>
      </c>
      <c r="Y285" t="str">
        <f t="shared" si="30"/>
        <v>Open</v>
      </c>
      <c r="Z285" t="str">
        <f t="shared" si="31"/>
        <v>May-2025</v>
      </c>
      <c r="AA285" t="str">
        <f t="shared" si="32"/>
        <v>Q2 2025</v>
      </c>
      <c r="AB285" s="4">
        <f t="shared" ca="1" si="33"/>
        <v>406</v>
      </c>
      <c r="AC285" t="str">
        <f t="shared" si="34"/>
        <v>High</v>
      </c>
    </row>
    <row r="286" spans="1:29">
      <c r="A286" t="s">
        <v>1322</v>
      </c>
      <c r="B286" s="2">
        <v>45999</v>
      </c>
      <c r="C286" t="s">
        <v>1323</v>
      </c>
      <c r="D286" t="s">
        <v>684</v>
      </c>
      <c r="E286" t="s">
        <v>1324</v>
      </c>
      <c r="F286" t="s">
        <v>1325</v>
      </c>
      <c r="G286" t="s">
        <v>47</v>
      </c>
      <c r="H286" t="s">
        <v>89</v>
      </c>
      <c r="I286" t="s">
        <v>148</v>
      </c>
      <c r="J286" t="s">
        <v>131</v>
      </c>
      <c r="K286" t="s">
        <v>114</v>
      </c>
      <c r="L286" t="s">
        <v>63</v>
      </c>
      <c r="M286" t="s">
        <v>40</v>
      </c>
      <c r="N286" t="s">
        <v>41</v>
      </c>
      <c r="O286" s="3">
        <v>145000</v>
      </c>
      <c r="P286" s="4">
        <v>100</v>
      </c>
      <c r="Q286" s="2">
        <v>46024</v>
      </c>
      <c r="R286" s="2"/>
      <c r="S286" s="2">
        <v>46007</v>
      </c>
      <c r="T286" s="2">
        <v>46024</v>
      </c>
      <c r="U286" t="str">
        <f t="shared" si="28"/>
        <v>Yes</v>
      </c>
      <c r="W28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286" t="str">
        <f t="shared" ca="1" si="29"/>
        <v>Closed</v>
      </c>
      <c r="Y286" t="str">
        <f t="shared" si="30"/>
        <v>Closed</v>
      </c>
      <c r="Z286" t="str">
        <f t="shared" si="31"/>
        <v>Dec-2025</v>
      </c>
      <c r="AA286" t="str">
        <f t="shared" si="32"/>
        <v>Q4 2025</v>
      </c>
      <c r="AB286" s="4">
        <f t="shared" ca="1" si="33"/>
        <v>200</v>
      </c>
      <c r="AC286" t="str">
        <f t="shared" si="34"/>
        <v>Medium</v>
      </c>
    </row>
    <row r="287" spans="1:29">
      <c r="A287" t="s">
        <v>1326</v>
      </c>
      <c r="B287" s="2">
        <v>46043</v>
      </c>
      <c r="C287" t="s">
        <v>256</v>
      </c>
      <c r="D287" t="s">
        <v>710</v>
      </c>
      <c r="E287" t="s">
        <v>1327</v>
      </c>
      <c r="F287" t="s">
        <v>1328</v>
      </c>
      <c r="G287" t="s">
        <v>79</v>
      </c>
      <c r="H287" t="s">
        <v>97</v>
      </c>
      <c r="I287" t="s">
        <v>36</v>
      </c>
      <c r="J287" t="s">
        <v>50</v>
      </c>
      <c r="K287" t="s">
        <v>100</v>
      </c>
      <c r="L287" t="s">
        <v>52</v>
      </c>
      <c r="M287" t="s">
        <v>73</v>
      </c>
      <c r="N287" t="s">
        <v>73</v>
      </c>
      <c r="O287" s="3">
        <v>120000</v>
      </c>
      <c r="P287" s="4">
        <v>75</v>
      </c>
      <c r="Q287" s="2">
        <v>46121</v>
      </c>
      <c r="R287" s="2">
        <v>46236</v>
      </c>
      <c r="S287" s="2">
        <v>46066</v>
      </c>
      <c r="T287" s="2"/>
      <c r="U287" t="str">
        <f t="shared" si="28"/>
        <v>No</v>
      </c>
      <c r="W2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7" t="str">
        <f t="shared" ca="1" si="29"/>
        <v>Due/Open</v>
      </c>
      <c r="Y287" t="str">
        <f t="shared" si="30"/>
        <v>Open</v>
      </c>
      <c r="Z287" t="str">
        <f t="shared" si="31"/>
        <v>Jan-2026</v>
      </c>
      <c r="AA287" t="str">
        <f t="shared" si="32"/>
        <v>Q1 2026</v>
      </c>
      <c r="AB287" s="4">
        <f t="shared" ca="1" si="33"/>
        <v>156</v>
      </c>
      <c r="AC287" t="str">
        <f t="shared" si="34"/>
        <v>Medium</v>
      </c>
    </row>
    <row r="288" spans="1:29">
      <c r="A288" t="s">
        <v>1329</v>
      </c>
      <c r="B288" s="2">
        <v>45828</v>
      </c>
      <c r="C288" t="s">
        <v>1330</v>
      </c>
      <c r="D288" t="s">
        <v>225</v>
      </c>
      <c r="E288" t="s">
        <v>1331</v>
      </c>
      <c r="F288" t="s">
        <v>1332</v>
      </c>
      <c r="G288" t="s">
        <v>179</v>
      </c>
      <c r="H288" t="s">
        <v>180</v>
      </c>
      <c r="I288" t="s">
        <v>36</v>
      </c>
      <c r="J288" t="s">
        <v>50</v>
      </c>
      <c r="K288" t="s">
        <v>38</v>
      </c>
      <c r="L288" t="s">
        <v>107</v>
      </c>
      <c r="M288" t="s">
        <v>90</v>
      </c>
      <c r="N288" t="s">
        <v>91</v>
      </c>
      <c r="O288" s="3">
        <v>235000</v>
      </c>
      <c r="P288" s="4">
        <v>50</v>
      </c>
      <c r="Q288" s="2">
        <v>45869</v>
      </c>
      <c r="R288" s="2">
        <v>46178</v>
      </c>
      <c r="S288" s="2">
        <v>45856</v>
      </c>
      <c r="T288" s="2"/>
      <c r="U288" t="str">
        <f t="shared" si="28"/>
        <v>No</v>
      </c>
      <c r="W2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88" t="str">
        <f t="shared" ca="1" si="29"/>
        <v>Overdue</v>
      </c>
      <c r="Y288" t="str">
        <f t="shared" si="30"/>
        <v>Open</v>
      </c>
      <c r="Z288" t="str">
        <f t="shared" si="31"/>
        <v>Jun-2025</v>
      </c>
      <c r="AA288" t="str">
        <f t="shared" si="32"/>
        <v>Q2 2025</v>
      </c>
      <c r="AB288" s="4">
        <f t="shared" ca="1" si="33"/>
        <v>371</v>
      </c>
      <c r="AC288" t="str">
        <f t="shared" si="34"/>
        <v>Medium</v>
      </c>
    </row>
    <row r="289" spans="1:29">
      <c r="A289" t="s">
        <v>1333</v>
      </c>
      <c r="B289" s="2">
        <v>45692</v>
      </c>
      <c r="C289" t="s">
        <v>1334</v>
      </c>
      <c r="D289" t="s">
        <v>1335</v>
      </c>
      <c r="E289" t="s">
        <v>1336</v>
      </c>
      <c r="F289" t="s">
        <v>1337</v>
      </c>
      <c r="G289" t="s">
        <v>34</v>
      </c>
      <c r="H289" t="s">
        <v>60</v>
      </c>
      <c r="I289" t="s">
        <v>123</v>
      </c>
      <c r="J289" t="s">
        <v>62</v>
      </c>
      <c r="K289" t="s">
        <v>114</v>
      </c>
      <c r="L289" t="s">
        <v>52</v>
      </c>
      <c r="M289" t="s">
        <v>210</v>
      </c>
      <c r="N289" t="s">
        <v>134</v>
      </c>
      <c r="O289" s="3">
        <v>190000</v>
      </c>
      <c r="P289" s="4">
        <v>0</v>
      </c>
      <c r="Q289" s="2">
        <v>45728</v>
      </c>
      <c r="R289" s="2"/>
      <c r="S289" s="2">
        <v>45694</v>
      </c>
      <c r="T289" s="2">
        <v>45728</v>
      </c>
      <c r="U289" t="str">
        <f t="shared" si="28"/>
        <v>No</v>
      </c>
      <c r="V289" t="s">
        <v>452</v>
      </c>
      <c r="W2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289" t="str">
        <f t="shared" ca="1" si="29"/>
        <v>Closed</v>
      </c>
      <c r="Y289" t="str">
        <f t="shared" si="30"/>
        <v>Closed</v>
      </c>
      <c r="Z289" t="str">
        <f t="shared" si="31"/>
        <v>Feb-2025</v>
      </c>
      <c r="AA289" t="str">
        <f t="shared" si="32"/>
        <v>Q1 2025</v>
      </c>
      <c r="AB289" s="4">
        <f t="shared" ca="1" si="33"/>
        <v>507</v>
      </c>
      <c r="AC289" t="str">
        <f t="shared" si="34"/>
        <v>Medium</v>
      </c>
    </row>
    <row r="290" spans="1:29">
      <c r="A290" t="s">
        <v>1338</v>
      </c>
      <c r="B290" s="2">
        <v>45961</v>
      </c>
      <c r="C290" t="s">
        <v>251</v>
      </c>
      <c r="D290" t="s">
        <v>119</v>
      </c>
      <c r="E290" t="s">
        <v>1339</v>
      </c>
      <c r="F290" t="s">
        <v>1340</v>
      </c>
      <c r="G290" t="s">
        <v>34</v>
      </c>
      <c r="H290" t="s">
        <v>446</v>
      </c>
      <c r="I290" t="s">
        <v>187</v>
      </c>
      <c r="J290" t="s">
        <v>99</v>
      </c>
      <c r="K290" t="s">
        <v>100</v>
      </c>
      <c r="L290" t="s">
        <v>125</v>
      </c>
      <c r="M290" t="s">
        <v>90</v>
      </c>
      <c r="N290" t="s">
        <v>91</v>
      </c>
      <c r="O290" s="3">
        <v>240000</v>
      </c>
      <c r="P290" s="4">
        <v>50</v>
      </c>
      <c r="Q290" s="2">
        <v>46025</v>
      </c>
      <c r="R290" s="2">
        <v>46176</v>
      </c>
      <c r="S290" s="2">
        <v>45985</v>
      </c>
      <c r="T290" s="2"/>
      <c r="U290" t="str">
        <f t="shared" si="28"/>
        <v>No</v>
      </c>
      <c r="W2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0" t="str">
        <f t="shared" ca="1" si="29"/>
        <v>Overdue</v>
      </c>
      <c r="Y290" t="str">
        <f t="shared" si="30"/>
        <v>Open</v>
      </c>
      <c r="Z290" t="str">
        <f t="shared" si="31"/>
        <v>Oct-2025</v>
      </c>
      <c r="AA290" t="str">
        <f t="shared" si="32"/>
        <v>Q4 2025</v>
      </c>
      <c r="AB290" s="4">
        <f t="shared" ca="1" si="33"/>
        <v>238</v>
      </c>
      <c r="AC290" t="str">
        <f t="shared" si="34"/>
        <v>Medium</v>
      </c>
    </row>
    <row r="291" spans="1:29">
      <c r="A291" t="s">
        <v>1341</v>
      </c>
      <c r="B291" s="2">
        <v>45869</v>
      </c>
      <c r="C291" t="s">
        <v>1342</v>
      </c>
      <c r="D291" t="s">
        <v>1343</v>
      </c>
      <c r="E291" t="s">
        <v>1344</v>
      </c>
      <c r="F291" t="s">
        <v>1345</v>
      </c>
      <c r="G291" t="s">
        <v>69</v>
      </c>
      <c r="H291" t="s">
        <v>193</v>
      </c>
      <c r="I291" t="s">
        <v>98</v>
      </c>
      <c r="J291" t="s">
        <v>62</v>
      </c>
      <c r="K291" t="s">
        <v>194</v>
      </c>
      <c r="L291" t="s">
        <v>239</v>
      </c>
      <c r="M291" t="s">
        <v>166</v>
      </c>
      <c r="N291" t="s">
        <v>167</v>
      </c>
      <c r="O291" s="3">
        <v>415000</v>
      </c>
      <c r="P291" s="4">
        <v>65</v>
      </c>
      <c r="Q291" s="2">
        <v>45909</v>
      </c>
      <c r="R291" s="2">
        <v>46154</v>
      </c>
      <c r="S291" s="2">
        <v>45874</v>
      </c>
      <c r="T291" s="2"/>
      <c r="U291" t="str">
        <f t="shared" si="28"/>
        <v>No</v>
      </c>
      <c r="W2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1" t="str">
        <f t="shared" ca="1" si="29"/>
        <v>Overdue</v>
      </c>
      <c r="Y291" t="str">
        <f t="shared" si="30"/>
        <v>Open</v>
      </c>
      <c r="Z291" t="str">
        <f t="shared" si="31"/>
        <v>Jul-2025</v>
      </c>
      <c r="AA291" t="str">
        <f t="shared" si="32"/>
        <v>Q3 2025</v>
      </c>
      <c r="AB291" s="4">
        <f t="shared" ca="1" si="33"/>
        <v>330</v>
      </c>
      <c r="AC291" t="str">
        <f t="shared" si="34"/>
        <v>High</v>
      </c>
    </row>
    <row r="292" spans="1:29">
      <c r="A292" t="s">
        <v>1346</v>
      </c>
      <c r="B292" s="2">
        <v>46052</v>
      </c>
      <c r="C292" t="s">
        <v>1347</v>
      </c>
      <c r="D292" t="s">
        <v>969</v>
      </c>
      <c r="E292" t="s">
        <v>1348</v>
      </c>
      <c r="F292" t="s">
        <v>1349</v>
      </c>
      <c r="G292" t="s">
        <v>47</v>
      </c>
      <c r="H292" t="s">
        <v>113</v>
      </c>
      <c r="I292" t="s">
        <v>61</v>
      </c>
      <c r="J292" t="s">
        <v>50</v>
      </c>
      <c r="K292" t="s">
        <v>71</v>
      </c>
      <c r="L292" t="s">
        <v>81</v>
      </c>
      <c r="M292" t="s">
        <v>73</v>
      </c>
      <c r="N292" t="s">
        <v>73</v>
      </c>
      <c r="O292" s="3">
        <v>295000</v>
      </c>
      <c r="P292" s="4">
        <v>80</v>
      </c>
      <c r="Q292" s="2">
        <v>46142</v>
      </c>
      <c r="R292" s="2">
        <v>46212</v>
      </c>
      <c r="S292" s="2">
        <v>46077</v>
      </c>
      <c r="T292" s="2"/>
      <c r="U292" t="str">
        <f t="shared" si="28"/>
        <v>No</v>
      </c>
      <c r="W2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2" t="str">
        <f t="shared" ca="1" si="29"/>
        <v>Due/Open</v>
      </c>
      <c r="Y292" t="str">
        <f t="shared" si="30"/>
        <v>Open</v>
      </c>
      <c r="Z292" t="str">
        <f t="shared" si="31"/>
        <v>Jan-2026</v>
      </c>
      <c r="AA292" t="str">
        <f t="shared" si="32"/>
        <v>Q1 2026</v>
      </c>
      <c r="AB292" s="4">
        <f t="shared" ca="1" si="33"/>
        <v>147</v>
      </c>
      <c r="AC292" t="str">
        <f t="shared" si="34"/>
        <v>Medium</v>
      </c>
    </row>
    <row r="293" spans="1:29">
      <c r="A293" t="s">
        <v>1350</v>
      </c>
      <c r="B293" s="2">
        <v>46078</v>
      </c>
      <c r="C293" t="s">
        <v>1351</v>
      </c>
      <c r="D293" t="s">
        <v>934</v>
      </c>
      <c r="E293" t="s">
        <v>1352</v>
      </c>
      <c r="F293" t="s">
        <v>1353</v>
      </c>
      <c r="G293" t="s">
        <v>34</v>
      </c>
      <c r="H293" t="s">
        <v>238</v>
      </c>
      <c r="I293" t="s">
        <v>141</v>
      </c>
      <c r="J293" t="s">
        <v>99</v>
      </c>
      <c r="K293" t="s">
        <v>71</v>
      </c>
      <c r="L293" t="s">
        <v>107</v>
      </c>
      <c r="M293" t="s">
        <v>116</v>
      </c>
      <c r="N293" t="s">
        <v>54</v>
      </c>
      <c r="O293" s="3">
        <v>460000</v>
      </c>
      <c r="P293" s="4">
        <v>15</v>
      </c>
      <c r="Q293" s="2">
        <v>46145</v>
      </c>
      <c r="R293" s="2">
        <v>46218</v>
      </c>
      <c r="S293" s="2">
        <v>46083</v>
      </c>
      <c r="T293" s="2"/>
      <c r="U293" t="str">
        <f t="shared" si="28"/>
        <v>No</v>
      </c>
      <c r="W2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3" t="str">
        <f t="shared" ca="1" si="29"/>
        <v>Due/Open</v>
      </c>
      <c r="Y293" t="str">
        <f t="shared" si="30"/>
        <v>Open</v>
      </c>
      <c r="Z293" t="str">
        <f t="shared" si="31"/>
        <v>Feb-2026</v>
      </c>
      <c r="AA293" t="str">
        <f t="shared" si="32"/>
        <v>Q1 2026</v>
      </c>
      <c r="AB293" s="4">
        <f t="shared" ca="1" si="33"/>
        <v>121</v>
      </c>
      <c r="AC293" t="str">
        <f t="shared" si="34"/>
        <v>High</v>
      </c>
    </row>
    <row r="294" spans="1:29">
      <c r="A294" t="s">
        <v>1354</v>
      </c>
      <c r="B294" s="2">
        <v>45805</v>
      </c>
      <c r="C294" t="s">
        <v>788</v>
      </c>
      <c r="D294" t="s">
        <v>742</v>
      </c>
      <c r="E294" t="s">
        <v>1355</v>
      </c>
      <c r="F294" t="s">
        <v>1356</v>
      </c>
      <c r="G294" t="s">
        <v>179</v>
      </c>
      <c r="H294" t="s">
        <v>186</v>
      </c>
      <c r="I294" t="s">
        <v>49</v>
      </c>
      <c r="J294" t="s">
        <v>37</v>
      </c>
      <c r="K294" t="s">
        <v>114</v>
      </c>
      <c r="L294" t="s">
        <v>132</v>
      </c>
      <c r="M294" t="s">
        <v>116</v>
      </c>
      <c r="N294" t="s">
        <v>54</v>
      </c>
      <c r="O294" s="3">
        <v>125000</v>
      </c>
      <c r="P294" s="4">
        <v>20</v>
      </c>
      <c r="Q294" s="2">
        <v>45885</v>
      </c>
      <c r="R294" s="2">
        <v>46186</v>
      </c>
      <c r="S294" s="2">
        <v>45817</v>
      </c>
      <c r="T294" s="2"/>
      <c r="U294" t="str">
        <f t="shared" si="28"/>
        <v>No</v>
      </c>
      <c r="W2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4" t="str">
        <f t="shared" ca="1" si="29"/>
        <v>Overdue</v>
      </c>
      <c r="Y294" t="str">
        <f t="shared" si="30"/>
        <v>Open</v>
      </c>
      <c r="Z294" t="str">
        <f t="shared" si="31"/>
        <v>May-2025</v>
      </c>
      <c r="AA294" t="str">
        <f t="shared" si="32"/>
        <v>Q2 2025</v>
      </c>
      <c r="AB294" s="4">
        <f t="shared" ca="1" si="33"/>
        <v>394</v>
      </c>
      <c r="AC294" t="str">
        <f t="shared" si="34"/>
        <v>Medium</v>
      </c>
    </row>
    <row r="295" spans="1:29">
      <c r="A295" t="s">
        <v>1357</v>
      </c>
      <c r="B295" s="2">
        <v>46026</v>
      </c>
      <c r="C295" t="s">
        <v>1358</v>
      </c>
      <c r="D295" t="s">
        <v>197</v>
      </c>
      <c r="E295" t="s">
        <v>1359</v>
      </c>
      <c r="F295" t="s">
        <v>1360</v>
      </c>
      <c r="G295" t="s">
        <v>179</v>
      </c>
      <c r="H295" t="s">
        <v>186</v>
      </c>
      <c r="I295" t="s">
        <v>49</v>
      </c>
      <c r="J295" t="s">
        <v>50</v>
      </c>
      <c r="K295" t="s">
        <v>100</v>
      </c>
      <c r="L295" t="s">
        <v>115</v>
      </c>
      <c r="M295" t="s">
        <v>166</v>
      </c>
      <c r="N295" t="s">
        <v>167</v>
      </c>
      <c r="O295" s="3">
        <v>490000</v>
      </c>
      <c r="P295" s="4">
        <v>60</v>
      </c>
      <c r="Q295" s="2">
        <v>46107</v>
      </c>
      <c r="R295" s="2">
        <v>46175</v>
      </c>
      <c r="S295" s="2">
        <v>46030</v>
      </c>
      <c r="T295" s="2"/>
      <c r="U295" t="str">
        <f t="shared" si="28"/>
        <v>No</v>
      </c>
      <c r="W2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5" t="str">
        <f t="shared" ca="1" si="29"/>
        <v>Overdue</v>
      </c>
      <c r="Y295" t="str">
        <f t="shared" si="30"/>
        <v>Open</v>
      </c>
      <c r="Z295" t="str">
        <f t="shared" si="31"/>
        <v>Jan-2026</v>
      </c>
      <c r="AA295" t="str">
        <f t="shared" si="32"/>
        <v>Q1 2026</v>
      </c>
      <c r="AB295" s="4">
        <f t="shared" ca="1" si="33"/>
        <v>173</v>
      </c>
      <c r="AC295" t="str">
        <f t="shared" si="34"/>
        <v>High</v>
      </c>
    </row>
    <row r="296" spans="1:29">
      <c r="A296" t="s">
        <v>1361</v>
      </c>
      <c r="B296" s="2">
        <v>46081</v>
      </c>
      <c r="C296" t="s">
        <v>925</v>
      </c>
      <c r="D296" t="s">
        <v>1148</v>
      </c>
      <c r="E296" t="s">
        <v>1362</v>
      </c>
      <c r="F296" t="s">
        <v>1363</v>
      </c>
      <c r="G296" t="s">
        <v>79</v>
      </c>
      <c r="H296" t="s">
        <v>228</v>
      </c>
      <c r="I296" t="s">
        <v>36</v>
      </c>
      <c r="J296" t="s">
        <v>37</v>
      </c>
      <c r="K296" t="s">
        <v>38</v>
      </c>
      <c r="L296" t="s">
        <v>63</v>
      </c>
      <c r="M296" t="s">
        <v>40</v>
      </c>
      <c r="N296" t="s">
        <v>41</v>
      </c>
      <c r="O296" s="3">
        <v>125000</v>
      </c>
      <c r="P296" s="4">
        <v>100</v>
      </c>
      <c r="Q296" s="2">
        <v>46162</v>
      </c>
      <c r="R296" s="2"/>
      <c r="S296" s="2">
        <v>46109</v>
      </c>
      <c r="T296" s="2">
        <v>46162</v>
      </c>
      <c r="U296" t="str">
        <f t="shared" si="28"/>
        <v>Yes</v>
      </c>
      <c r="W29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81</v>
      </c>
      <c r="X296" t="str">
        <f t="shared" ca="1" si="29"/>
        <v>Closed</v>
      </c>
      <c r="Y296" t="str">
        <f t="shared" si="30"/>
        <v>Closed</v>
      </c>
      <c r="Z296" t="str">
        <f t="shared" si="31"/>
        <v>Feb-2026</v>
      </c>
      <c r="AA296" t="str">
        <f t="shared" si="32"/>
        <v>Q1 2026</v>
      </c>
      <c r="AB296" s="4">
        <f t="shared" ca="1" si="33"/>
        <v>118</v>
      </c>
      <c r="AC296" t="str">
        <f t="shared" si="34"/>
        <v>Medium</v>
      </c>
    </row>
    <row r="297" spans="1:29">
      <c r="A297" t="s">
        <v>1364</v>
      </c>
      <c r="B297" s="2">
        <v>45665</v>
      </c>
      <c r="C297" t="s">
        <v>1365</v>
      </c>
      <c r="D297" t="s">
        <v>1366</v>
      </c>
      <c r="E297" t="s">
        <v>1367</v>
      </c>
      <c r="F297" t="s">
        <v>1368</v>
      </c>
      <c r="G297" t="s">
        <v>34</v>
      </c>
      <c r="H297" t="s">
        <v>446</v>
      </c>
      <c r="I297" t="s">
        <v>141</v>
      </c>
      <c r="J297" t="s">
        <v>50</v>
      </c>
      <c r="K297" t="s">
        <v>38</v>
      </c>
      <c r="L297" t="s">
        <v>39</v>
      </c>
      <c r="M297" t="s">
        <v>53</v>
      </c>
      <c r="N297" t="s">
        <v>54</v>
      </c>
      <c r="O297" s="3">
        <v>190000</v>
      </c>
      <c r="P297" s="4">
        <v>25</v>
      </c>
      <c r="Q297" s="2">
        <v>45700</v>
      </c>
      <c r="R297" s="2">
        <v>46186</v>
      </c>
      <c r="S297" s="2">
        <v>45672</v>
      </c>
      <c r="T297" s="2"/>
      <c r="U297" t="str">
        <f t="shared" si="28"/>
        <v>No</v>
      </c>
      <c r="W2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7" t="str">
        <f t="shared" ca="1" si="29"/>
        <v>Overdue</v>
      </c>
      <c r="Y297" t="str">
        <f t="shared" si="30"/>
        <v>Open</v>
      </c>
      <c r="Z297" t="str">
        <f t="shared" si="31"/>
        <v>Jan-2025</v>
      </c>
      <c r="AA297" t="str">
        <f t="shared" si="32"/>
        <v>Q1 2025</v>
      </c>
      <c r="AB297" s="4">
        <f t="shared" ca="1" si="33"/>
        <v>534</v>
      </c>
      <c r="AC297" t="str">
        <f t="shared" si="34"/>
        <v>Medium</v>
      </c>
    </row>
    <row r="298" spans="1:29">
      <c r="A298" t="s">
        <v>1369</v>
      </c>
      <c r="B298" s="2">
        <v>46146</v>
      </c>
      <c r="C298" t="s">
        <v>1370</v>
      </c>
      <c r="D298" t="s">
        <v>1021</v>
      </c>
      <c r="E298" t="s">
        <v>1371</v>
      </c>
      <c r="F298" t="s">
        <v>1372</v>
      </c>
      <c r="G298" t="s">
        <v>34</v>
      </c>
      <c r="H298" t="s">
        <v>238</v>
      </c>
      <c r="I298" t="s">
        <v>49</v>
      </c>
      <c r="J298" t="s">
        <v>50</v>
      </c>
      <c r="K298" t="s">
        <v>38</v>
      </c>
      <c r="L298" t="s">
        <v>154</v>
      </c>
      <c r="M298" t="s">
        <v>53</v>
      </c>
      <c r="N298" t="s">
        <v>54</v>
      </c>
      <c r="O298" s="3">
        <v>385000</v>
      </c>
      <c r="P298" s="4">
        <v>35</v>
      </c>
      <c r="Q298" s="2">
        <v>46167</v>
      </c>
      <c r="R298" s="2">
        <v>46155</v>
      </c>
      <c r="S298" s="2">
        <v>46170</v>
      </c>
      <c r="T298" s="2"/>
      <c r="U298" t="str">
        <f t="shared" si="28"/>
        <v>No</v>
      </c>
      <c r="W2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98" t="str">
        <f t="shared" ca="1" si="29"/>
        <v>Overdue</v>
      </c>
      <c r="Y298" t="str">
        <f t="shared" si="30"/>
        <v>Open</v>
      </c>
      <c r="Z298" t="str">
        <f t="shared" si="31"/>
        <v>May-2026</v>
      </c>
      <c r="AA298" t="str">
        <f t="shared" si="32"/>
        <v>Q2 2026</v>
      </c>
      <c r="AB298" s="4">
        <f t="shared" ca="1" si="33"/>
        <v>53</v>
      </c>
      <c r="AC298" t="str">
        <f t="shared" si="34"/>
        <v>High</v>
      </c>
    </row>
    <row r="299" spans="1:29">
      <c r="A299" t="s">
        <v>1373</v>
      </c>
      <c r="B299" s="2">
        <v>46096</v>
      </c>
      <c r="C299" t="s">
        <v>1374</v>
      </c>
      <c r="D299" t="s">
        <v>887</v>
      </c>
      <c r="E299" t="s">
        <v>1375</v>
      </c>
      <c r="F299" t="s">
        <v>1376</v>
      </c>
      <c r="G299" t="s">
        <v>179</v>
      </c>
      <c r="H299" t="s">
        <v>436</v>
      </c>
      <c r="I299" t="s">
        <v>187</v>
      </c>
      <c r="J299" t="s">
        <v>124</v>
      </c>
      <c r="K299" t="s">
        <v>100</v>
      </c>
      <c r="L299" t="s">
        <v>39</v>
      </c>
      <c r="M299" t="s">
        <v>210</v>
      </c>
      <c r="N299" t="s">
        <v>134</v>
      </c>
      <c r="O299" s="3">
        <v>180000</v>
      </c>
      <c r="P299" s="4">
        <v>0</v>
      </c>
      <c r="Q299" s="2">
        <v>46123</v>
      </c>
      <c r="R299" s="2"/>
      <c r="S299" s="2">
        <v>46111</v>
      </c>
      <c r="T299" s="2">
        <v>46123</v>
      </c>
      <c r="U299" t="str">
        <f t="shared" si="28"/>
        <v>No</v>
      </c>
      <c r="V299" t="s">
        <v>1105</v>
      </c>
      <c r="W2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299" t="str">
        <f t="shared" ca="1" si="29"/>
        <v>Closed</v>
      </c>
      <c r="Y299" t="str">
        <f t="shared" si="30"/>
        <v>Closed</v>
      </c>
      <c r="Z299" t="str">
        <f t="shared" si="31"/>
        <v>Mar-2026</v>
      </c>
      <c r="AA299" t="str">
        <f t="shared" si="32"/>
        <v>Q1 2026</v>
      </c>
      <c r="AB299" s="4">
        <f t="shared" ca="1" si="33"/>
        <v>103</v>
      </c>
      <c r="AC299" t="str">
        <f t="shared" si="34"/>
        <v>Medium</v>
      </c>
    </row>
    <row r="300" spans="1:29">
      <c r="A300" t="s">
        <v>1377</v>
      </c>
      <c r="B300" s="2">
        <v>45700</v>
      </c>
      <c r="C300" t="s">
        <v>1378</v>
      </c>
      <c r="D300" t="s">
        <v>66</v>
      </c>
      <c r="E300" t="s">
        <v>1379</v>
      </c>
      <c r="F300" t="s">
        <v>1380</v>
      </c>
      <c r="G300" t="s">
        <v>179</v>
      </c>
      <c r="H300" t="s">
        <v>180</v>
      </c>
      <c r="I300" t="s">
        <v>98</v>
      </c>
      <c r="J300" t="s">
        <v>124</v>
      </c>
      <c r="K300" t="s">
        <v>100</v>
      </c>
      <c r="L300" t="s">
        <v>72</v>
      </c>
      <c r="M300" t="s">
        <v>90</v>
      </c>
      <c r="N300" t="s">
        <v>91</v>
      </c>
      <c r="O300" s="3">
        <v>285000</v>
      </c>
      <c r="P300" s="4">
        <v>55</v>
      </c>
      <c r="Q300" s="2">
        <v>45751</v>
      </c>
      <c r="R300" s="2">
        <v>46161</v>
      </c>
      <c r="S300" s="2">
        <v>45717</v>
      </c>
      <c r="T300" s="2"/>
      <c r="U300" t="str">
        <f t="shared" si="28"/>
        <v>No</v>
      </c>
      <c r="W3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0" t="str">
        <f t="shared" ca="1" si="29"/>
        <v>Overdue</v>
      </c>
      <c r="Y300" t="str">
        <f t="shared" si="30"/>
        <v>Open</v>
      </c>
      <c r="Z300" t="str">
        <f t="shared" si="31"/>
        <v>Feb-2025</v>
      </c>
      <c r="AA300" t="str">
        <f t="shared" si="32"/>
        <v>Q1 2025</v>
      </c>
      <c r="AB300" s="4">
        <f t="shared" ca="1" si="33"/>
        <v>499</v>
      </c>
      <c r="AC300" t="str">
        <f t="shared" si="34"/>
        <v>Medium</v>
      </c>
    </row>
    <row r="301" spans="1:29">
      <c r="A301" t="s">
        <v>1381</v>
      </c>
      <c r="B301" s="2">
        <v>46192</v>
      </c>
      <c r="C301" t="s">
        <v>463</v>
      </c>
      <c r="D301" t="s">
        <v>342</v>
      </c>
      <c r="E301" t="s">
        <v>1382</v>
      </c>
      <c r="F301" t="s">
        <v>1383</v>
      </c>
      <c r="G301" t="s">
        <v>34</v>
      </c>
      <c r="H301" t="s">
        <v>238</v>
      </c>
      <c r="I301" t="s">
        <v>123</v>
      </c>
      <c r="J301" t="s">
        <v>99</v>
      </c>
      <c r="K301" t="s">
        <v>71</v>
      </c>
      <c r="L301" t="s">
        <v>154</v>
      </c>
      <c r="M301" t="s">
        <v>73</v>
      </c>
      <c r="N301" t="s">
        <v>73</v>
      </c>
      <c r="O301" s="3">
        <v>580000</v>
      </c>
      <c r="P301" s="4">
        <v>80</v>
      </c>
      <c r="Q301" s="2">
        <v>46282</v>
      </c>
      <c r="R301" s="2">
        <v>46153</v>
      </c>
      <c r="S301" s="2">
        <v>46197</v>
      </c>
      <c r="T301" s="2"/>
      <c r="U301" t="str">
        <f t="shared" si="28"/>
        <v>No</v>
      </c>
      <c r="W3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1" t="str">
        <f t="shared" ca="1" si="29"/>
        <v>Overdue</v>
      </c>
      <c r="Y301" t="str">
        <f t="shared" si="30"/>
        <v>Open</v>
      </c>
      <c r="Z301" t="str">
        <f t="shared" si="31"/>
        <v>Jun-2026</v>
      </c>
      <c r="AA301" t="str">
        <f t="shared" si="32"/>
        <v>Q2 2026</v>
      </c>
      <c r="AB301" s="4">
        <f t="shared" ca="1" si="33"/>
        <v>7</v>
      </c>
      <c r="AC301" t="str">
        <f t="shared" si="34"/>
        <v>High</v>
      </c>
    </row>
    <row r="302" spans="1:29">
      <c r="A302" t="s">
        <v>1384</v>
      </c>
      <c r="B302" s="2">
        <v>45919</v>
      </c>
      <c r="C302" t="s">
        <v>1385</v>
      </c>
      <c r="D302" t="s">
        <v>347</v>
      </c>
      <c r="E302" t="s">
        <v>1386</v>
      </c>
      <c r="F302" t="s">
        <v>1387</v>
      </c>
      <c r="G302" t="s">
        <v>47</v>
      </c>
      <c r="H302" t="s">
        <v>48</v>
      </c>
      <c r="I302" t="s">
        <v>98</v>
      </c>
      <c r="J302" t="s">
        <v>99</v>
      </c>
      <c r="K302" t="s">
        <v>51</v>
      </c>
      <c r="L302" t="s">
        <v>125</v>
      </c>
      <c r="M302" t="s">
        <v>90</v>
      </c>
      <c r="N302" t="s">
        <v>91</v>
      </c>
      <c r="O302" s="3">
        <v>605000</v>
      </c>
      <c r="P302" s="4">
        <v>55</v>
      </c>
      <c r="Q302" s="2">
        <v>45944</v>
      </c>
      <c r="R302" s="2">
        <v>46214</v>
      </c>
      <c r="S302" s="2">
        <v>45931</v>
      </c>
      <c r="T302" s="2"/>
      <c r="U302" t="str">
        <f t="shared" si="28"/>
        <v>No</v>
      </c>
      <c r="W3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2" t="str">
        <f t="shared" ca="1" si="29"/>
        <v>Due/Open</v>
      </c>
      <c r="Y302" t="str">
        <f t="shared" si="30"/>
        <v>Open</v>
      </c>
      <c r="Z302" t="str">
        <f t="shared" si="31"/>
        <v>Sep-2025</v>
      </c>
      <c r="AA302" t="str">
        <f t="shared" si="32"/>
        <v>Q3 2025</v>
      </c>
      <c r="AB302" s="4">
        <f t="shared" ca="1" si="33"/>
        <v>280</v>
      </c>
      <c r="AC302" t="str">
        <f t="shared" si="34"/>
        <v>High</v>
      </c>
    </row>
    <row r="303" spans="1:29">
      <c r="A303" t="s">
        <v>1388</v>
      </c>
      <c r="B303" s="2">
        <v>45670</v>
      </c>
      <c r="C303" t="s">
        <v>1389</v>
      </c>
      <c r="D303" t="s">
        <v>747</v>
      </c>
      <c r="E303" t="s">
        <v>1390</v>
      </c>
      <c r="F303" t="s">
        <v>1391</v>
      </c>
      <c r="G303" t="s">
        <v>47</v>
      </c>
      <c r="H303" t="s">
        <v>122</v>
      </c>
      <c r="I303" t="s">
        <v>61</v>
      </c>
      <c r="J303" t="s">
        <v>99</v>
      </c>
      <c r="K303" t="s">
        <v>51</v>
      </c>
      <c r="L303" t="s">
        <v>52</v>
      </c>
      <c r="M303" t="s">
        <v>53</v>
      </c>
      <c r="N303" t="s">
        <v>54</v>
      </c>
      <c r="O303" s="3">
        <v>440000</v>
      </c>
      <c r="P303" s="4">
        <v>35</v>
      </c>
      <c r="Q303" s="2">
        <v>45716</v>
      </c>
      <c r="R303" s="2">
        <v>46242</v>
      </c>
      <c r="S303" s="2">
        <v>45690</v>
      </c>
      <c r="T303" s="2"/>
      <c r="U303" t="str">
        <f t="shared" si="28"/>
        <v>No</v>
      </c>
      <c r="W3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3" t="str">
        <f t="shared" ca="1" si="29"/>
        <v>Due/Open</v>
      </c>
      <c r="Y303" t="str">
        <f t="shared" si="30"/>
        <v>Open</v>
      </c>
      <c r="Z303" t="str">
        <f t="shared" si="31"/>
        <v>Jan-2025</v>
      </c>
      <c r="AA303" t="str">
        <f t="shared" si="32"/>
        <v>Q1 2025</v>
      </c>
      <c r="AB303" s="4">
        <f t="shared" ca="1" si="33"/>
        <v>529</v>
      </c>
      <c r="AC303" t="str">
        <f t="shared" si="34"/>
        <v>High</v>
      </c>
    </row>
    <row r="304" spans="1:29">
      <c r="A304" t="s">
        <v>1392</v>
      </c>
      <c r="B304" s="2">
        <v>45853</v>
      </c>
      <c r="C304" t="s">
        <v>102</v>
      </c>
      <c r="D304" t="s">
        <v>926</v>
      </c>
      <c r="E304" t="s">
        <v>1393</v>
      </c>
      <c r="F304" t="s">
        <v>1394</v>
      </c>
      <c r="G304" t="s">
        <v>179</v>
      </c>
      <c r="H304" t="s">
        <v>296</v>
      </c>
      <c r="I304" t="s">
        <v>36</v>
      </c>
      <c r="J304" t="s">
        <v>131</v>
      </c>
      <c r="K304" t="s">
        <v>38</v>
      </c>
      <c r="L304" t="s">
        <v>52</v>
      </c>
      <c r="M304" t="s">
        <v>166</v>
      </c>
      <c r="N304" t="s">
        <v>167</v>
      </c>
      <c r="O304" s="3">
        <v>140000</v>
      </c>
      <c r="P304" s="4">
        <v>65</v>
      </c>
      <c r="Q304" s="2">
        <v>45907</v>
      </c>
      <c r="R304" s="2">
        <v>46210</v>
      </c>
      <c r="S304" s="2">
        <v>45855</v>
      </c>
      <c r="T304" s="2"/>
      <c r="U304" t="str">
        <f t="shared" si="28"/>
        <v>No</v>
      </c>
      <c r="W3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4" t="str">
        <f t="shared" ca="1" si="29"/>
        <v>Due/Open</v>
      </c>
      <c r="Y304" t="str">
        <f t="shared" si="30"/>
        <v>Open</v>
      </c>
      <c r="Z304" t="str">
        <f t="shared" si="31"/>
        <v>Jul-2025</v>
      </c>
      <c r="AA304" t="str">
        <f t="shared" si="32"/>
        <v>Q3 2025</v>
      </c>
      <c r="AB304" s="4">
        <f t="shared" ca="1" si="33"/>
        <v>346</v>
      </c>
      <c r="AC304" t="str">
        <f t="shared" si="34"/>
        <v>Medium</v>
      </c>
    </row>
    <row r="305" spans="1:29">
      <c r="A305" t="s">
        <v>1395</v>
      </c>
      <c r="B305" s="2">
        <v>45970</v>
      </c>
      <c r="C305" t="s">
        <v>43</v>
      </c>
      <c r="D305" t="s">
        <v>151</v>
      </c>
      <c r="E305" t="s">
        <v>1396</v>
      </c>
      <c r="F305" t="s">
        <v>1397</v>
      </c>
      <c r="G305" t="s">
        <v>69</v>
      </c>
      <c r="H305" t="s">
        <v>200</v>
      </c>
      <c r="I305" t="s">
        <v>36</v>
      </c>
      <c r="J305" t="s">
        <v>99</v>
      </c>
      <c r="K305" t="s">
        <v>100</v>
      </c>
      <c r="L305" t="s">
        <v>107</v>
      </c>
      <c r="M305" t="s">
        <v>166</v>
      </c>
      <c r="N305" t="s">
        <v>167</v>
      </c>
      <c r="O305" s="3">
        <v>290000</v>
      </c>
      <c r="P305" s="4">
        <v>70</v>
      </c>
      <c r="Q305" s="2">
        <v>46027</v>
      </c>
      <c r="R305" s="2">
        <v>46192</v>
      </c>
      <c r="S305" s="2">
        <v>45997</v>
      </c>
      <c r="T305" s="2"/>
      <c r="U305" t="str">
        <f t="shared" si="28"/>
        <v>No</v>
      </c>
      <c r="W3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5" t="str">
        <f t="shared" ca="1" si="29"/>
        <v>Overdue</v>
      </c>
      <c r="Y305" t="str">
        <f t="shared" si="30"/>
        <v>Open</v>
      </c>
      <c r="Z305" t="str">
        <f t="shared" si="31"/>
        <v>Nov-2025</v>
      </c>
      <c r="AA305" t="str">
        <f t="shared" si="32"/>
        <v>Q4 2025</v>
      </c>
      <c r="AB305" s="4">
        <f t="shared" ca="1" si="33"/>
        <v>229</v>
      </c>
      <c r="AC305" t="str">
        <f t="shared" si="34"/>
        <v>Medium</v>
      </c>
    </row>
    <row r="306" spans="1:29">
      <c r="A306" t="s">
        <v>1398</v>
      </c>
      <c r="B306" s="2">
        <v>45915</v>
      </c>
      <c r="C306" t="s">
        <v>1399</v>
      </c>
      <c r="D306" t="s">
        <v>934</v>
      </c>
      <c r="E306" t="s">
        <v>1400</v>
      </c>
      <c r="F306" t="s">
        <v>1401</v>
      </c>
      <c r="G306" t="s">
        <v>79</v>
      </c>
      <c r="H306" t="s">
        <v>97</v>
      </c>
      <c r="I306" t="s">
        <v>141</v>
      </c>
      <c r="J306" t="s">
        <v>50</v>
      </c>
      <c r="K306" t="s">
        <v>114</v>
      </c>
      <c r="L306" t="s">
        <v>239</v>
      </c>
      <c r="M306" t="s">
        <v>116</v>
      </c>
      <c r="N306" t="s">
        <v>54</v>
      </c>
      <c r="O306" s="3">
        <v>360000</v>
      </c>
      <c r="P306" s="4">
        <v>15</v>
      </c>
      <c r="Q306" s="2">
        <v>46000</v>
      </c>
      <c r="R306" s="2">
        <v>46219</v>
      </c>
      <c r="S306" s="2">
        <v>45936</v>
      </c>
      <c r="T306" s="2"/>
      <c r="U306" t="str">
        <f t="shared" si="28"/>
        <v>No</v>
      </c>
      <c r="W3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6" t="str">
        <f t="shared" ca="1" si="29"/>
        <v>Due/Open</v>
      </c>
      <c r="Y306" t="str">
        <f t="shared" si="30"/>
        <v>Open</v>
      </c>
      <c r="Z306" t="str">
        <f t="shared" si="31"/>
        <v>Sep-2025</v>
      </c>
      <c r="AA306" t="str">
        <f t="shared" si="32"/>
        <v>Q3 2025</v>
      </c>
      <c r="AB306" s="4">
        <f t="shared" ca="1" si="33"/>
        <v>284</v>
      </c>
      <c r="AC306" t="str">
        <f t="shared" si="34"/>
        <v>High</v>
      </c>
    </row>
    <row r="307" spans="1:29">
      <c r="A307" t="s">
        <v>1402</v>
      </c>
      <c r="B307" s="2">
        <v>45995</v>
      </c>
      <c r="C307" t="s">
        <v>1403</v>
      </c>
      <c r="D307" t="s">
        <v>1404</v>
      </c>
      <c r="E307" t="s">
        <v>1405</v>
      </c>
      <c r="F307" t="s">
        <v>1406</v>
      </c>
      <c r="G307" t="s">
        <v>79</v>
      </c>
      <c r="H307" t="s">
        <v>217</v>
      </c>
      <c r="I307" t="s">
        <v>36</v>
      </c>
      <c r="J307" t="s">
        <v>62</v>
      </c>
      <c r="K307" t="s">
        <v>100</v>
      </c>
      <c r="L307" t="s">
        <v>115</v>
      </c>
      <c r="M307" t="s">
        <v>53</v>
      </c>
      <c r="N307" t="s">
        <v>54</v>
      </c>
      <c r="O307" s="3">
        <v>120000</v>
      </c>
      <c r="P307" s="4">
        <v>30</v>
      </c>
      <c r="Q307" s="2">
        <v>46073</v>
      </c>
      <c r="R307" s="2">
        <v>46206</v>
      </c>
      <c r="S307" s="2">
        <v>46003</v>
      </c>
      <c r="T307" s="2"/>
      <c r="U307" t="str">
        <f t="shared" si="28"/>
        <v>No</v>
      </c>
      <c r="W3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7" t="str">
        <f t="shared" ca="1" si="29"/>
        <v>Due/Open</v>
      </c>
      <c r="Y307" t="str">
        <f t="shared" si="30"/>
        <v>Open</v>
      </c>
      <c r="Z307" t="str">
        <f t="shared" si="31"/>
        <v>Dec-2025</v>
      </c>
      <c r="AA307" t="str">
        <f t="shared" si="32"/>
        <v>Q4 2025</v>
      </c>
      <c r="AB307" s="4">
        <f t="shared" ca="1" si="33"/>
        <v>204</v>
      </c>
      <c r="AC307" t="str">
        <f t="shared" si="34"/>
        <v>Medium</v>
      </c>
    </row>
    <row r="308" spans="1:29">
      <c r="A308" t="s">
        <v>1407</v>
      </c>
      <c r="B308" s="2">
        <v>45970</v>
      </c>
      <c r="C308" t="s">
        <v>1152</v>
      </c>
      <c r="D308" t="s">
        <v>914</v>
      </c>
      <c r="E308" t="s">
        <v>1408</v>
      </c>
      <c r="F308" t="s">
        <v>1409</v>
      </c>
      <c r="G308" t="s">
        <v>179</v>
      </c>
      <c r="H308" t="s">
        <v>180</v>
      </c>
      <c r="I308" t="s">
        <v>148</v>
      </c>
      <c r="J308" t="s">
        <v>131</v>
      </c>
      <c r="K308" t="s">
        <v>194</v>
      </c>
      <c r="L308" t="s">
        <v>125</v>
      </c>
      <c r="M308" t="s">
        <v>116</v>
      </c>
      <c r="N308" t="s">
        <v>54</v>
      </c>
      <c r="O308" s="3">
        <v>375000</v>
      </c>
      <c r="P308" s="4">
        <v>15</v>
      </c>
      <c r="Q308" s="2">
        <v>46029</v>
      </c>
      <c r="R308" s="2">
        <v>46243</v>
      </c>
      <c r="S308" s="2">
        <v>45977</v>
      </c>
      <c r="T308" s="2"/>
      <c r="U308" t="str">
        <f t="shared" si="28"/>
        <v>No</v>
      </c>
      <c r="W3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8" t="str">
        <f t="shared" ca="1" si="29"/>
        <v>Due/Open</v>
      </c>
      <c r="Y308" t="str">
        <f t="shared" si="30"/>
        <v>Open</v>
      </c>
      <c r="Z308" t="str">
        <f t="shared" si="31"/>
        <v>Nov-2025</v>
      </c>
      <c r="AA308" t="str">
        <f t="shared" si="32"/>
        <v>Q4 2025</v>
      </c>
      <c r="AB308" s="4">
        <f t="shared" ca="1" si="33"/>
        <v>229</v>
      </c>
      <c r="AC308" t="str">
        <f t="shared" si="34"/>
        <v>High</v>
      </c>
    </row>
    <row r="309" spans="1:29">
      <c r="A309" t="s">
        <v>1410</v>
      </c>
      <c r="B309" s="2">
        <v>46174</v>
      </c>
      <c r="C309" t="s">
        <v>1411</v>
      </c>
      <c r="D309" t="s">
        <v>517</v>
      </c>
      <c r="E309" t="s">
        <v>1412</v>
      </c>
      <c r="F309" t="s">
        <v>1413</v>
      </c>
      <c r="G309" t="s">
        <v>79</v>
      </c>
      <c r="H309" t="s">
        <v>97</v>
      </c>
      <c r="I309" t="s">
        <v>141</v>
      </c>
      <c r="J309" t="s">
        <v>124</v>
      </c>
      <c r="K309" t="s">
        <v>71</v>
      </c>
      <c r="L309" t="s">
        <v>39</v>
      </c>
      <c r="M309" t="s">
        <v>90</v>
      </c>
      <c r="N309" t="s">
        <v>91</v>
      </c>
      <c r="O309" s="3">
        <v>220000</v>
      </c>
      <c r="P309" s="4">
        <v>50</v>
      </c>
      <c r="Q309" s="2">
        <v>46204</v>
      </c>
      <c r="R309" s="2">
        <v>46228</v>
      </c>
      <c r="S309" s="2">
        <v>46189</v>
      </c>
      <c r="T309" s="2"/>
      <c r="U309" t="str">
        <f t="shared" si="28"/>
        <v>No</v>
      </c>
      <c r="W3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09" t="str">
        <f t="shared" ca="1" si="29"/>
        <v>Due/Open</v>
      </c>
      <c r="Y309" t="str">
        <f t="shared" si="30"/>
        <v>Open</v>
      </c>
      <c r="Z309" t="str">
        <f t="shared" si="31"/>
        <v>Jun-2026</v>
      </c>
      <c r="AA309" t="str">
        <f t="shared" si="32"/>
        <v>Q2 2026</v>
      </c>
      <c r="AB309" s="4">
        <f t="shared" ca="1" si="33"/>
        <v>25</v>
      </c>
      <c r="AC309" t="str">
        <f t="shared" si="34"/>
        <v>Medium</v>
      </c>
    </row>
    <row r="310" spans="1:29">
      <c r="A310" t="s">
        <v>1414</v>
      </c>
      <c r="B310" s="2">
        <v>46100</v>
      </c>
      <c r="C310" t="s">
        <v>1415</v>
      </c>
      <c r="D310" t="s">
        <v>1416</v>
      </c>
      <c r="E310" t="s">
        <v>1417</v>
      </c>
      <c r="F310" t="s">
        <v>1418</v>
      </c>
      <c r="G310" t="s">
        <v>79</v>
      </c>
      <c r="H310" t="s">
        <v>260</v>
      </c>
      <c r="I310" t="s">
        <v>49</v>
      </c>
      <c r="J310" t="s">
        <v>37</v>
      </c>
      <c r="K310" t="s">
        <v>114</v>
      </c>
      <c r="L310" t="s">
        <v>125</v>
      </c>
      <c r="M310" t="s">
        <v>90</v>
      </c>
      <c r="N310" t="s">
        <v>91</v>
      </c>
      <c r="O310" s="3">
        <v>125000</v>
      </c>
      <c r="P310" s="4">
        <v>40</v>
      </c>
      <c r="Q310" s="2">
        <v>46129</v>
      </c>
      <c r="R310" s="2">
        <v>46203</v>
      </c>
      <c r="S310" s="2">
        <v>46124</v>
      </c>
      <c r="T310" s="2"/>
      <c r="U310" t="str">
        <f t="shared" si="28"/>
        <v>No</v>
      </c>
      <c r="W3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0" t="str">
        <f t="shared" ca="1" si="29"/>
        <v>Due/Open</v>
      </c>
      <c r="Y310" t="str">
        <f t="shared" si="30"/>
        <v>Open</v>
      </c>
      <c r="Z310" t="str">
        <f t="shared" si="31"/>
        <v>Mar-2026</v>
      </c>
      <c r="AA310" t="str">
        <f t="shared" si="32"/>
        <v>Q1 2026</v>
      </c>
      <c r="AB310" s="4">
        <f t="shared" ca="1" si="33"/>
        <v>99</v>
      </c>
      <c r="AC310" t="str">
        <f t="shared" si="34"/>
        <v>Medium</v>
      </c>
    </row>
    <row r="311" spans="1:29">
      <c r="A311" t="s">
        <v>1419</v>
      </c>
      <c r="B311" s="2">
        <v>45679</v>
      </c>
      <c r="C311" t="s">
        <v>1420</v>
      </c>
      <c r="D311" t="s">
        <v>775</v>
      </c>
      <c r="E311" t="s">
        <v>1421</v>
      </c>
      <c r="F311" t="s">
        <v>1422</v>
      </c>
      <c r="G311" t="s">
        <v>79</v>
      </c>
      <c r="H311" t="s">
        <v>260</v>
      </c>
      <c r="I311" t="s">
        <v>148</v>
      </c>
      <c r="J311" t="s">
        <v>99</v>
      </c>
      <c r="K311" t="s">
        <v>51</v>
      </c>
      <c r="L311" t="s">
        <v>52</v>
      </c>
      <c r="M311" t="s">
        <v>53</v>
      </c>
      <c r="N311" t="s">
        <v>54</v>
      </c>
      <c r="O311" s="3">
        <v>350000</v>
      </c>
      <c r="P311" s="4">
        <v>30</v>
      </c>
      <c r="Q311" s="2">
        <v>45760</v>
      </c>
      <c r="R311" s="2">
        <v>46227</v>
      </c>
      <c r="S311" s="2">
        <v>45702</v>
      </c>
      <c r="T311" s="2"/>
      <c r="U311" t="str">
        <f t="shared" si="28"/>
        <v>No</v>
      </c>
      <c r="W3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1" t="str">
        <f t="shared" ca="1" si="29"/>
        <v>Due/Open</v>
      </c>
      <c r="Y311" t="str">
        <f t="shared" si="30"/>
        <v>Open</v>
      </c>
      <c r="Z311" t="str">
        <f t="shared" si="31"/>
        <v>Jan-2025</v>
      </c>
      <c r="AA311" t="str">
        <f t="shared" si="32"/>
        <v>Q1 2025</v>
      </c>
      <c r="AB311" s="4">
        <f t="shared" ca="1" si="33"/>
        <v>520</v>
      </c>
      <c r="AC311" t="str">
        <f t="shared" si="34"/>
        <v>High</v>
      </c>
    </row>
    <row r="312" spans="1:29">
      <c r="A312" t="s">
        <v>1423</v>
      </c>
      <c r="B312" s="2">
        <v>45842</v>
      </c>
      <c r="C312" t="s">
        <v>1424</v>
      </c>
      <c r="D312" t="s">
        <v>1183</v>
      </c>
      <c r="E312" t="s">
        <v>1425</v>
      </c>
      <c r="F312" t="s">
        <v>1426</v>
      </c>
      <c r="G312" t="s">
        <v>179</v>
      </c>
      <c r="H312" t="s">
        <v>296</v>
      </c>
      <c r="I312" t="s">
        <v>187</v>
      </c>
      <c r="J312" t="s">
        <v>99</v>
      </c>
      <c r="K312" t="s">
        <v>71</v>
      </c>
      <c r="L312" t="s">
        <v>142</v>
      </c>
      <c r="M312" t="s">
        <v>73</v>
      </c>
      <c r="N312" t="s">
        <v>73</v>
      </c>
      <c r="O312" s="3">
        <v>310000</v>
      </c>
      <c r="P312" s="4">
        <v>80</v>
      </c>
      <c r="Q312" s="2">
        <v>45880</v>
      </c>
      <c r="R312" s="2">
        <v>46176</v>
      </c>
      <c r="S312" s="2">
        <v>45852</v>
      </c>
      <c r="T312" s="2"/>
      <c r="U312" t="str">
        <f t="shared" si="28"/>
        <v>No</v>
      </c>
      <c r="W3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2" t="str">
        <f t="shared" ca="1" si="29"/>
        <v>Overdue</v>
      </c>
      <c r="Y312" t="str">
        <f t="shared" si="30"/>
        <v>Open</v>
      </c>
      <c r="Z312" t="str">
        <f t="shared" si="31"/>
        <v>Jul-2025</v>
      </c>
      <c r="AA312" t="str">
        <f t="shared" si="32"/>
        <v>Q3 2025</v>
      </c>
      <c r="AB312" s="4">
        <f t="shared" ca="1" si="33"/>
        <v>357</v>
      </c>
      <c r="AC312" t="str">
        <f t="shared" si="34"/>
        <v>High</v>
      </c>
    </row>
    <row r="313" spans="1:29">
      <c r="A313" t="s">
        <v>1427</v>
      </c>
      <c r="B313" s="2">
        <v>46036</v>
      </c>
      <c r="C313" t="s">
        <v>1428</v>
      </c>
      <c r="D313" t="s">
        <v>755</v>
      </c>
      <c r="E313" t="s">
        <v>1429</v>
      </c>
      <c r="F313" t="s">
        <v>1430</v>
      </c>
      <c r="G313" t="s">
        <v>179</v>
      </c>
      <c r="H313" t="s">
        <v>436</v>
      </c>
      <c r="I313" t="s">
        <v>141</v>
      </c>
      <c r="J313" t="s">
        <v>50</v>
      </c>
      <c r="K313" t="s">
        <v>38</v>
      </c>
      <c r="L313" t="s">
        <v>115</v>
      </c>
      <c r="M313" t="s">
        <v>40</v>
      </c>
      <c r="N313" t="s">
        <v>41</v>
      </c>
      <c r="O313" s="3">
        <v>270000</v>
      </c>
      <c r="P313" s="4">
        <v>100</v>
      </c>
      <c r="Q313" s="2">
        <v>46072</v>
      </c>
      <c r="R313" s="2"/>
      <c r="S313" s="2">
        <v>46046</v>
      </c>
      <c r="T313" s="2">
        <v>46072</v>
      </c>
      <c r="U313" t="str">
        <f t="shared" si="28"/>
        <v>Yes</v>
      </c>
      <c r="W31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313" t="str">
        <f t="shared" ca="1" si="29"/>
        <v>Closed</v>
      </c>
      <c r="Y313" t="str">
        <f t="shared" si="30"/>
        <v>Closed</v>
      </c>
      <c r="Z313" t="str">
        <f t="shared" si="31"/>
        <v>Jan-2026</v>
      </c>
      <c r="AA313" t="str">
        <f t="shared" si="32"/>
        <v>Q1 2026</v>
      </c>
      <c r="AB313" s="4">
        <f t="shared" ca="1" si="33"/>
        <v>163</v>
      </c>
      <c r="AC313" t="str">
        <f t="shared" si="34"/>
        <v>Medium</v>
      </c>
    </row>
    <row r="314" spans="1:29">
      <c r="A314" t="s">
        <v>1431</v>
      </c>
      <c r="B314" s="2">
        <v>45810</v>
      </c>
      <c r="C314" t="s">
        <v>1432</v>
      </c>
      <c r="D314" t="s">
        <v>784</v>
      </c>
      <c r="E314" t="s">
        <v>1433</v>
      </c>
      <c r="F314" t="s">
        <v>1434</v>
      </c>
      <c r="G314" t="s">
        <v>179</v>
      </c>
      <c r="H314" t="s">
        <v>186</v>
      </c>
      <c r="I314" t="s">
        <v>98</v>
      </c>
      <c r="J314" t="s">
        <v>62</v>
      </c>
      <c r="K314" t="s">
        <v>51</v>
      </c>
      <c r="L314" t="s">
        <v>142</v>
      </c>
      <c r="M314" t="s">
        <v>82</v>
      </c>
      <c r="N314" t="s">
        <v>83</v>
      </c>
      <c r="O314" s="3">
        <v>205000</v>
      </c>
      <c r="P314" s="4">
        <v>5</v>
      </c>
      <c r="Q314" s="2">
        <v>45871</v>
      </c>
      <c r="R314" s="2">
        <v>46165</v>
      </c>
      <c r="S314" s="2">
        <v>45818</v>
      </c>
      <c r="T314" s="2"/>
      <c r="U314" t="str">
        <f t="shared" si="28"/>
        <v>No</v>
      </c>
      <c r="W3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4" t="str">
        <f t="shared" ca="1" si="29"/>
        <v>Overdue</v>
      </c>
      <c r="Y314" t="str">
        <f t="shared" si="30"/>
        <v>Open</v>
      </c>
      <c r="Z314" t="str">
        <f t="shared" si="31"/>
        <v>Jun-2025</v>
      </c>
      <c r="AA314" t="str">
        <f t="shared" si="32"/>
        <v>Q2 2025</v>
      </c>
      <c r="AB314" s="4">
        <f t="shared" ca="1" si="33"/>
        <v>389</v>
      </c>
      <c r="AC314" t="str">
        <f t="shared" si="34"/>
        <v>Medium</v>
      </c>
    </row>
    <row r="315" spans="1:29">
      <c r="A315" t="s">
        <v>1435</v>
      </c>
      <c r="B315" s="2">
        <v>45750</v>
      </c>
      <c r="C315" t="s">
        <v>1436</v>
      </c>
      <c r="D315" t="s">
        <v>375</v>
      </c>
      <c r="E315" t="s">
        <v>1437</v>
      </c>
      <c r="F315" t="s">
        <v>1438</v>
      </c>
      <c r="G315" t="s">
        <v>179</v>
      </c>
      <c r="H315" t="s">
        <v>436</v>
      </c>
      <c r="I315" t="s">
        <v>49</v>
      </c>
      <c r="J315" t="s">
        <v>37</v>
      </c>
      <c r="K315" t="s">
        <v>194</v>
      </c>
      <c r="L315" t="s">
        <v>115</v>
      </c>
      <c r="M315" t="s">
        <v>166</v>
      </c>
      <c r="N315" t="s">
        <v>167</v>
      </c>
      <c r="O315" s="3">
        <v>165000</v>
      </c>
      <c r="P315" s="4">
        <v>65</v>
      </c>
      <c r="Q315" s="2">
        <v>45773</v>
      </c>
      <c r="R315" s="2">
        <v>46220</v>
      </c>
      <c r="S315" s="2">
        <v>45759</v>
      </c>
      <c r="T315" s="2"/>
      <c r="U315" t="str">
        <f t="shared" si="28"/>
        <v>No</v>
      </c>
      <c r="W3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5" t="str">
        <f t="shared" ca="1" si="29"/>
        <v>Due/Open</v>
      </c>
      <c r="Y315" t="str">
        <f t="shared" si="30"/>
        <v>Open</v>
      </c>
      <c r="Z315" t="str">
        <f t="shared" si="31"/>
        <v>Apr-2025</v>
      </c>
      <c r="AA315" t="str">
        <f t="shared" si="32"/>
        <v>Q2 2025</v>
      </c>
      <c r="AB315" s="4">
        <f t="shared" ca="1" si="33"/>
        <v>449</v>
      </c>
      <c r="AC315" t="str">
        <f t="shared" si="34"/>
        <v>Medium</v>
      </c>
    </row>
    <row r="316" spans="1:29">
      <c r="A316" t="s">
        <v>1439</v>
      </c>
      <c r="B316" s="2">
        <v>45988</v>
      </c>
      <c r="C316" t="s">
        <v>1440</v>
      </c>
      <c r="D316" t="s">
        <v>640</v>
      </c>
      <c r="E316" t="s">
        <v>1441</v>
      </c>
      <c r="F316" t="s">
        <v>1442</v>
      </c>
      <c r="G316" t="s">
        <v>47</v>
      </c>
      <c r="H316" t="s">
        <v>122</v>
      </c>
      <c r="I316" t="s">
        <v>98</v>
      </c>
      <c r="J316" t="s">
        <v>124</v>
      </c>
      <c r="K316" t="s">
        <v>71</v>
      </c>
      <c r="L316" t="s">
        <v>39</v>
      </c>
      <c r="M316" t="s">
        <v>166</v>
      </c>
      <c r="N316" t="s">
        <v>167</v>
      </c>
      <c r="O316" s="3">
        <v>300000</v>
      </c>
      <c r="P316" s="4">
        <v>60</v>
      </c>
      <c r="Q316" s="2">
        <v>46048</v>
      </c>
      <c r="R316" s="2">
        <v>46207</v>
      </c>
      <c r="S316" s="2">
        <v>46011</v>
      </c>
      <c r="T316" s="2"/>
      <c r="U316" t="str">
        <f t="shared" si="28"/>
        <v>No</v>
      </c>
      <c r="W3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6" t="str">
        <f t="shared" ca="1" si="29"/>
        <v>Due/Open</v>
      </c>
      <c r="Y316" t="str">
        <f t="shared" si="30"/>
        <v>Open</v>
      </c>
      <c r="Z316" t="str">
        <f t="shared" si="31"/>
        <v>Nov-2025</v>
      </c>
      <c r="AA316" t="str">
        <f t="shared" si="32"/>
        <v>Q4 2025</v>
      </c>
      <c r="AB316" s="4">
        <f t="shared" ca="1" si="33"/>
        <v>211</v>
      </c>
      <c r="AC316" t="str">
        <f t="shared" si="34"/>
        <v>High</v>
      </c>
    </row>
    <row r="317" spans="1:29">
      <c r="A317" t="s">
        <v>1443</v>
      </c>
      <c r="B317" s="2">
        <v>45688</v>
      </c>
      <c r="C317" t="s">
        <v>1444</v>
      </c>
      <c r="D317" t="s">
        <v>565</v>
      </c>
      <c r="E317" t="s">
        <v>1445</v>
      </c>
      <c r="F317" t="s">
        <v>1446</v>
      </c>
      <c r="G317" t="s">
        <v>179</v>
      </c>
      <c r="H317" t="s">
        <v>180</v>
      </c>
      <c r="I317" t="s">
        <v>141</v>
      </c>
      <c r="J317" t="s">
        <v>131</v>
      </c>
      <c r="K317" t="s">
        <v>100</v>
      </c>
      <c r="L317" t="s">
        <v>125</v>
      </c>
      <c r="M317" t="s">
        <v>90</v>
      </c>
      <c r="N317" t="s">
        <v>91</v>
      </c>
      <c r="O317" s="3">
        <v>335000</v>
      </c>
      <c r="P317" s="4">
        <v>40</v>
      </c>
      <c r="Q317" s="2">
        <v>45732</v>
      </c>
      <c r="R317" s="2">
        <v>46155</v>
      </c>
      <c r="S317" s="2">
        <v>45698</v>
      </c>
      <c r="T317" s="2"/>
      <c r="U317" t="str">
        <f t="shared" si="28"/>
        <v>No</v>
      </c>
      <c r="W3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7" t="str">
        <f t="shared" ca="1" si="29"/>
        <v>Overdue</v>
      </c>
      <c r="Y317" t="str">
        <f t="shared" si="30"/>
        <v>Open</v>
      </c>
      <c r="Z317" t="str">
        <f t="shared" si="31"/>
        <v>Jan-2025</v>
      </c>
      <c r="AA317" t="str">
        <f t="shared" si="32"/>
        <v>Q1 2025</v>
      </c>
      <c r="AB317" s="4">
        <f t="shared" ca="1" si="33"/>
        <v>511</v>
      </c>
      <c r="AC317" t="str">
        <f t="shared" si="34"/>
        <v>High</v>
      </c>
    </row>
    <row r="318" spans="1:29">
      <c r="A318" t="s">
        <v>1447</v>
      </c>
      <c r="B318" s="2">
        <v>45830</v>
      </c>
      <c r="C318" t="s">
        <v>1448</v>
      </c>
      <c r="D318" t="s">
        <v>103</v>
      </c>
      <c r="E318" t="s">
        <v>1449</v>
      </c>
      <c r="F318" t="s">
        <v>1450</v>
      </c>
      <c r="G318" t="s">
        <v>79</v>
      </c>
      <c r="H318" t="s">
        <v>228</v>
      </c>
      <c r="I318" t="s">
        <v>36</v>
      </c>
      <c r="J318" t="s">
        <v>99</v>
      </c>
      <c r="K318" t="s">
        <v>100</v>
      </c>
      <c r="L318" t="s">
        <v>239</v>
      </c>
      <c r="M318" t="s">
        <v>116</v>
      </c>
      <c r="N318" t="s">
        <v>54</v>
      </c>
      <c r="O318" s="3">
        <v>605000</v>
      </c>
      <c r="P318" s="4">
        <v>25</v>
      </c>
      <c r="Q318" s="2">
        <v>45913</v>
      </c>
      <c r="R318" s="2">
        <v>46234</v>
      </c>
      <c r="S318" s="2">
        <v>45834</v>
      </c>
      <c r="T318" s="2"/>
      <c r="U318" t="str">
        <f t="shared" si="28"/>
        <v>No</v>
      </c>
      <c r="W3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18" t="str">
        <f t="shared" ca="1" si="29"/>
        <v>Due/Open</v>
      </c>
      <c r="Y318" t="str">
        <f t="shared" si="30"/>
        <v>Open</v>
      </c>
      <c r="Z318" t="str">
        <f t="shared" si="31"/>
        <v>Jun-2025</v>
      </c>
      <c r="AA318" t="str">
        <f t="shared" si="32"/>
        <v>Q2 2025</v>
      </c>
      <c r="AB318" s="4">
        <f t="shared" ca="1" si="33"/>
        <v>369</v>
      </c>
      <c r="AC318" t="str">
        <f t="shared" si="34"/>
        <v>High</v>
      </c>
    </row>
    <row r="319" spans="1:29">
      <c r="A319" t="s">
        <v>1451</v>
      </c>
      <c r="B319" s="2">
        <v>45765</v>
      </c>
      <c r="C319" t="s">
        <v>1452</v>
      </c>
      <c r="D319" t="s">
        <v>1017</v>
      </c>
      <c r="E319" t="s">
        <v>1453</v>
      </c>
      <c r="F319" t="s">
        <v>1454</v>
      </c>
      <c r="G319" t="s">
        <v>179</v>
      </c>
      <c r="H319" t="s">
        <v>296</v>
      </c>
      <c r="I319" t="s">
        <v>36</v>
      </c>
      <c r="J319" t="s">
        <v>50</v>
      </c>
      <c r="K319" t="s">
        <v>194</v>
      </c>
      <c r="L319" t="s">
        <v>72</v>
      </c>
      <c r="M319" t="s">
        <v>40</v>
      </c>
      <c r="N319" t="s">
        <v>41</v>
      </c>
      <c r="O319" s="3">
        <v>340000</v>
      </c>
      <c r="P319" s="4">
        <v>100</v>
      </c>
      <c r="Q319" s="2">
        <v>45807</v>
      </c>
      <c r="R319" s="2"/>
      <c r="S319" s="2">
        <v>45781</v>
      </c>
      <c r="T319" s="2">
        <v>45807</v>
      </c>
      <c r="U319" t="str">
        <f t="shared" si="28"/>
        <v>Yes</v>
      </c>
      <c r="W31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319" t="str">
        <f t="shared" ca="1" si="29"/>
        <v>Closed</v>
      </c>
      <c r="Y319" t="str">
        <f t="shared" si="30"/>
        <v>Closed</v>
      </c>
      <c r="Z319" t="str">
        <f t="shared" si="31"/>
        <v>Apr-2025</v>
      </c>
      <c r="AA319" t="str">
        <f t="shared" si="32"/>
        <v>Q2 2025</v>
      </c>
      <c r="AB319" s="4">
        <f t="shared" ca="1" si="33"/>
        <v>434</v>
      </c>
      <c r="AC319" t="str">
        <f t="shared" si="34"/>
        <v>High</v>
      </c>
    </row>
    <row r="320" spans="1:29">
      <c r="A320" t="s">
        <v>1455</v>
      </c>
      <c r="B320" s="2">
        <v>45971</v>
      </c>
      <c r="C320" t="s">
        <v>1147</v>
      </c>
      <c r="D320" t="s">
        <v>273</v>
      </c>
      <c r="E320" t="s">
        <v>1456</v>
      </c>
      <c r="F320" t="s">
        <v>1457</v>
      </c>
      <c r="G320" t="s">
        <v>179</v>
      </c>
      <c r="H320" t="s">
        <v>318</v>
      </c>
      <c r="I320" t="s">
        <v>148</v>
      </c>
      <c r="J320" t="s">
        <v>131</v>
      </c>
      <c r="K320" t="s">
        <v>114</v>
      </c>
      <c r="L320" t="s">
        <v>132</v>
      </c>
      <c r="M320" t="s">
        <v>40</v>
      </c>
      <c r="N320" t="s">
        <v>41</v>
      </c>
      <c r="O320" s="3">
        <v>110000</v>
      </c>
      <c r="P320" s="4">
        <v>100</v>
      </c>
      <c r="Q320" s="2">
        <v>45986</v>
      </c>
      <c r="R320" s="2"/>
      <c r="S320" s="2">
        <v>45997</v>
      </c>
      <c r="T320" s="2">
        <v>45986</v>
      </c>
      <c r="U320" t="str">
        <f t="shared" si="28"/>
        <v>Yes</v>
      </c>
      <c r="W32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15</v>
      </c>
      <c r="X320" t="str">
        <f t="shared" ca="1" si="29"/>
        <v>Closed</v>
      </c>
      <c r="Y320" t="str">
        <f t="shared" si="30"/>
        <v>Closed</v>
      </c>
      <c r="Z320" t="str">
        <f t="shared" si="31"/>
        <v>Nov-2025</v>
      </c>
      <c r="AA320" t="str">
        <f t="shared" si="32"/>
        <v>Q4 2025</v>
      </c>
      <c r="AB320" s="4">
        <f t="shared" ca="1" si="33"/>
        <v>228</v>
      </c>
      <c r="AC320" t="str">
        <f t="shared" si="34"/>
        <v>Low</v>
      </c>
    </row>
    <row r="321" spans="1:29">
      <c r="A321" t="s">
        <v>1458</v>
      </c>
      <c r="B321" s="2">
        <v>45661</v>
      </c>
      <c r="C321" t="s">
        <v>1459</v>
      </c>
      <c r="D321" t="s">
        <v>1460</v>
      </c>
      <c r="E321" t="s">
        <v>1461</v>
      </c>
      <c r="F321" t="s">
        <v>1462</v>
      </c>
      <c r="G321" t="s">
        <v>69</v>
      </c>
      <c r="H321" t="s">
        <v>312</v>
      </c>
      <c r="I321" t="s">
        <v>36</v>
      </c>
      <c r="J321" t="s">
        <v>99</v>
      </c>
      <c r="K321" t="s">
        <v>194</v>
      </c>
      <c r="L321" t="s">
        <v>132</v>
      </c>
      <c r="M321" t="s">
        <v>166</v>
      </c>
      <c r="N321" t="s">
        <v>167</v>
      </c>
      <c r="O321" s="3">
        <v>530000</v>
      </c>
      <c r="P321" s="4">
        <v>60</v>
      </c>
      <c r="Q321" s="2">
        <v>45737</v>
      </c>
      <c r="R321" s="2">
        <v>46165</v>
      </c>
      <c r="S321" s="2">
        <v>45679</v>
      </c>
      <c r="T321" s="2"/>
      <c r="U321" t="str">
        <f t="shared" si="28"/>
        <v>No</v>
      </c>
      <c r="W3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1" t="str">
        <f t="shared" ca="1" si="29"/>
        <v>Overdue</v>
      </c>
      <c r="Y321" t="str">
        <f t="shared" si="30"/>
        <v>Open</v>
      </c>
      <c r="Z321" t="str">
        <f t="shared" si="31"/>
        <v>Jan-2025</v>
      </c>
      <c r="AA321" t="str">
        <f t="shared" si="32"/>
        <v>Q1 2025</v>
      </c>
      <c r="AB321" s="4">
        <f t="shared" ca="1" si="33"/>
        <v>538</v>
      </c>
      <c r="AC321" t="str">
        <f t="shared" si="34"/>
        <v>High</v>
      </c>
    </row>
    <row r="322" spans="1:29">
      <c r="A322" t="s">
        <v>1463</v>
      </c>
      <c r="B322" s="2">
        <v>45892</v>
      </c>
      <c r="C322" t="s">
        <v>1464</v>
      </c>
      <c r="D322" t="s">
        <v>797</v>
      </c>
      <c r="E322" t="s">
        <v>1465</v>
      </c>
      <c r="F322" t="s">
        <v>1466</v>
      </c>
      <c r="G322" t="s">
        <v>79</v>
      </c>
      <c r="H322" t="s">
        <v>260</v>
      </c>
      <c r="I322" t="s">
        <v>49</v>
      </c>
      <c r="J322" t="s">
        <v>124</v>
      </c>
      <c r="K322" t="s">
        <v>114</v>
      </c>
      <c r="L322" t="s">
        <v>125</v>
      </c>
      <c r="M322" t="s">
        <v>73</v>
      </c>
      <c r="N322" t="s">
        <v>73</v>
      </c>
      <c r="O322" s="3">
        <v>240000</v>
      </c>
      <c r="P322" s="4">
        <v>75</v>
      </c>
      <c r="Q322" s="2">
        <v>45966</v>
      </c>
      <c r="R322" s="2">
        <v>46200</v>
      </c>
      <c r="S322" s="2">
        <v>45909</v>
      </c>
      <c r="T322" s="2"/>
      <c r="U322" t="str">
        <f t="shared" ref="U322:U385" si="35">IF(M322="Converted","Yes","No")</f>
        <v>No</v>
      </c>
      <c r="W3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2" t="str">
        <f t="shared" ref="X322:X385" ca="1" si="36">IF(OR(M322="Converted",M322="Lost",M322="Not Interested"),"Closed",IF(R322&lt;TODAY(),"Overdue","Due/Open"))</f>
        <v>Due/Open</v>
      </c>
      <c r="Y322" t="str">
        <f t="shared" ref="Y322:Y385" si="37">IF(OR(M322="Converted",M322="Lost",M322="Not Interested"),"Closed","Open")</f>
        <v>Open</v>
      </c>
      <c r="Z322" t="str">
        <f t="shared" ref="Z322:Z385" si="38">TEXT(B322,"mmm-yyyy")</f>
        <v>Aug-2025</v>
      </c>
      <c r="AA322" t="str">
        <f t="shared" ref="AA322:AA385" si="39">"Q"&amp;ROUNDUP(MONTH(B322)/3,0)&amp;" "&amp;YEAR(B322)</f>
        <v>Q3 2025</v>
      </c>
      <c r="AB322" s="4">
        <f t="shared" ref="AB322:AB385" ca="1" si="40">TODAY()-B322</f>
        <v>307</v>
      </c>
      <c r="AC322" t="str">
        <f t="shared" ref="AC322:AC385" si="41">IF(O322&gt;=300000,"High",IF(O322&gt;=120000,"Medium","Low"))</f>
        <v>Medium</v>
      </c>
    </row>
    <row r="323" spans="1:29">
      <c r="A323" t="s">
        <v>1467</v>
      </c>
      <c r="B323" s="2">
        <v>45878</v>
      </c>
      <c r="C323" t="s">
        <v>1468</v>
      </c>
      <c r="D323" t="s">
        <v>128</v>
      </c>
      <c r="E323" t="s">
        <v>1469</v>
      </c>
      <c r="F323" t="s">
        <v>1470</v>
      </c>
      <c r="G323" t="s">
        <v>179</v>
      </c>
      <c r="H323" t="s">
        <v>487</v>
      </c>
      <c r="I323" t="s">
        <v>36</v>
      </c>
      <c r="J323" t="s">
        <v>124</v>
      </c>
      <c r="K323" t="s">
        <v>71</v>
      </c>
      <c r="L323" t="s">
        <v>125</v>
      </c>
      <c r="M323" t="s">
        <v>210</v>
      </c>
      <c r="N323" t="s">
        <v>134</v>
      </c>
      <c r="O323" s="3">
        <v>235000</v>
      </c>
      <c r="P323" s="4">
        <v>0</v>
      </c>
      <c r="Q323" s="2">
        <v>45937</v>
      </c>
      <c r="R323" s="2"/>
      <c r="S323" s="2">
        <v>45889</v>
      </c>
      <c r="T323" s="2">
        <v>45937</v>
      </c>
      <c r="U323" t="str">
        <f t="shared" si="35"/>
        <v>No</v>
      </c>
      <c r="V323" t="s">
        <v>211</v>
      </c>
      <c r="W3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59</v>
      </c>
      <c r="X323" t="str">
        <f t="shared" ca="1" si="36"/>
        <v>Closed</v>
      </c>
      <c r="Y323" t="str">
        <f t="shared" si="37"/>
        <v>Closed</v>
      </c>
      <c r="Z323" t="str">
        <f t="shared" si="38"/>
        <v>Aug-2025</v>
      </c>
      <c r="AA323" t="str">
        <f t="shared" si="39"/>
        <v>Q3 2025</v>
      </c>
      <c r="AB323" s="4">
        <f t="shared" ca="1" si="40"/>
        <v>321</v>
      </c>
      <c r="AC323" t="str">
        <f t="shared" si="41"/>
        <v>Medium</v>
      </c>
    </row>
    <row r="324" spans="1:29">
      <c r="A324" t="s">
        <v>1471</v>
      </c>
      <c r="B324" s="2">
        <v>46081</v>
      </c>
      <c r="C324" t="s">
        <v>1472</v>
      </c>
      <c r="D324" t="s">
        <v>282</v>
      </c>
      <c r="E324" t="s">
        <v>1473</v>
      </c>
      <c r="F324" t="s">
        <v>1474</v>
      </c>
      <c r="G324" t="s">
        <v>79</v>
      </c>
      <c r="H324" t="s">
        <v>260</v>
      </c>
      <c r="I324" t="s">
        <v>49</v>
      </c>
      <c r="J324" t="s">
        <v>37</v>
      </c>
      <c r="K324" t="s">
        <v>71</v>
      </c>
      <c r="L324" t="s">
        <v>63</v>
      </c>
      <c r="M324" t="s">
        <v>90</v>
      </c>
      <c r="N324" t="s">
        <v>91</v>
      </c>
      <c r="O324" s="3">
        <v>135000</v>
      </c>
      <c r="P324" s="4">
        <v>50</v>
      </c>
      <c r="Q324" s="2">
        <v>46116</v>
      </c>
      <c r="R324" s="2">
        <v>46215</v>
      </c>
      <c r="S324" s="2">
        <v>46083</v>
      </c>
      <c r="T324" s="2"/>
      <c r="U324" t="str">
        <f t="shared" si="35"/>
        <v>No</v>
      </c>
      <c r="W3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4" t="str">
        <f t="shared" ca="1" si="36"/>
        <v>Due/Open</v>
      </c>
      <c r="Y324" t="str">
        <f t="shared" si="37"/>
        <v>Open</v>
      </c>
      <c r="Z324" t="str">
        <f t="shared" si="38"/>
        <v>Feb-2026</v>
      </c>
      <c r="AA324" t="str">
        <f t="shared" si="39"/>
        <v>Q1 2026</v>
      </c>
      <c r="AB324" s="4">
        <f t="shared" ca="1" si="40"/>
        <v>118</v>
      </c>
      <c r="AC324" t="str">
        <f t="shared" si="41"/>
        <v>Medium</v>
      </c>
    </row>
    <row r="325" spans="1:29">
      <c r="A325" t="s">
        <v>1475</v>
      </c>
      <c r="B325" s="2">
        <v>45764</v>
      </c>
      <c r="C325" t="s">
        <v>594</v>
      </c>
      <c r="D325" t="s">
        <v>645</v>
      </c>
      <c r="E325" t="s">
        <v>1476</v>
      </c>
      <c r="F325" t="s">
        <v>1477</v>
      </c>
      <c r="G325" t="s">
        <v>79</v>
      </c>
      <c r="H325" t="s">
        <v>217</v>
      </c>
      <c r="I325" t="s">
        <v>148</v>
      </c>
      <c r="J325" t="s">
        <v>62</v>
      </c>
      <c r="K325" t="s">
        <v>38</v>
      </c>
      <c r="L325" t="s">
        <v>107</v>
      </c>
      <c r="M325" t="s">
        <v>90</v>
      </c>
      <c r="N325" t="s">
        <v>91</v>
      </c>
      <c r="O325" s="3">
        <v>230000</v>
      </c>
      <c r="P325" s="4">
        <v>50</v>
      </c>
      <c r="Q325" s="2">
        <v>45820</v>
      </c>
      <c r="R325" s="2">
        <v>46195</v>
      </c>
      <c r="S325" s="2">
        <v>45769</v>
      </c>
      <c r="T325" s="2"/>
      <c r="U325" t="str">
        <f t="shared" si="35"/>
        <v>No</v>
      </c>
      <c r="W3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5" t="str">
        <f t="shared" ca="1" si="36"/>
        <v>Overdue</v>
      </c>
      <c r="Y325" t="str">
        <f t="shared" si="37"/>
        <v>Open</v>
      </c>
      <c r="Z325" t="str">
        <f t="shared" si="38"/>
        <v>Apr-2025</v>
      </c>
      <c r="AA325" t="str">
        <f t="shared" si="39"/>
        <v>Q2 2025</v>
      </c>
      <c r="AB325" s="4">
        <f t="shared" ca="1" si="40"/>
        <v>435</v>
      </c>
      <c r="AC325" t="str">
        <f t="shared" si="41"/>
        <v>Medium</v>
      </c>
    </row>
    <row r="326" spans="1:29">
      <c r="A326" t="s">
        <v>1478</v>
      </c>
      <c r="B326" s="2">
        <v>46017</v>
      </c>
      <c r="C326" t="s">
        <v>1479</v>
      </c>
      <c r="D326" t="s">
        <v>375</v>
      </c>
      <c r="E326" t="s">
        <v>1480</v>
      </c>
      <c r="F326" t="s">
        <v>1481</v>
      </c>
      <c r="G326" t="s">
        <v>47</v>
      </c>
      <c r="H326" t="s">
        <v>493</v>
      </c>
      <c r="I326" t="s">
        <v>49</v>
      </c>
      <c r="J326" t="s">
        <v>62</v>
      </c>
      <c r="K326" t="s">
        <v>194</v>
      </c>
      <c r="L326" t="s">
        <v>142</v>
      </c>
      <c r="M326" t="s">
        <v>116</v>
      </c>
      <c r="N326" t="s">
        <v>54</v>
      </c>
      <c r="O326" s="3">
        <v>445000</v>
      </c>
      <c r="P326" s="4">
        <v>25</v>
      </c>
      <c r="Q326" s="2">
        <v>46040</v>
      </c>
      <c r="R326" s="2">
        <v>46190</v>
      </c>
      <c r="S326" s="2">
        <v>46042</v>
      </c>
      <c r="T326" s="2"/>
      <c r="U326" t="str">
        <f t="shared" si="35"/>
        <v>No</v>
      </c>
      <c r="W3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6" t="str">
        <f t="shared" ca="1" si="36"/>
        <v>Overdue</v>
      </c>
      <c r="Y326" t="str">
        <f t="shared" si="37"/>
        <v>Open</v>
      </c>
      <c r="Z326" t="str">
        <f t="shared" si="38"/>
        <v>Dec-2025</v>
      </c>
      <c r="AA326" t="str">
        <f t="shared" si="39"/>
        <v>Q4 2025</v>
      </c>
      <c r="AB326" s="4">
        <f t="shared" ca="1" si="40"/>
        <v>182</v>
      </c>
      <c r="AC326" t="str">
        <f t="shared" si="41"/>
        <v>High</v>
      </c>
    </row>
    <row r="327" spans="1:29">
      <c r="A327" t="s">
        <v>1482</v>
      </c>
      <c r="B327" s="2">
        <v>46038</v>
      </c>
      <c r="C327" t="s">
        <v>206</v>
      </c>
      <c r="D327" t="s">
        <v>797</v>
      </c>
      <c r="E327" t="s">
        <v>1483</v>
      </c>
      <c r="F327" t="s">
        <v>1484</v>
      </c>
      <c r="G327" t="s">
        <v>69</v>
      </c>
      <c r="H327" t="s">
        <v>270</v>
      </c>
      <c r="I327" t="s">
        <v>61</v>
      </c>
      <c r="J327" t="s">
        <v>124</v>
      </c>
      <c r="K327" t="s">
        <v>114</v>
      </c>
      <c r="L327" t="s">
        <v>39</v>
      </c>
      <c r="M327" t="s">
        <v>90</v>
      </c>
      <c r="N327" t="s">
        <v>91</v>
      </c>
      <c r="O327" s="3">
        <v>225000</v>
      </c>
      <c r="P327" s="4">
        <v>50</v>
      </c>
      <c r="Q327" s="2">
        <v>46113</v>
      </c>
      <c r="R327" s="2">
        <v>46242</v>
      </c>
      <c r="S327" s="2">
        <v>46068</v>
      </c>
      <c r="T327" s="2"/>
      <c r="U327" t="str">
        <f t="shared" si="35"/>
        <v>No</v>
      </c>
      <c r="W3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7" t="str">
        <f t="shared" ca="1" si="36"/>
        <v>Due/Open</v>
      </c>
      <c r="Y327" t="str">
        <f t="shared" si="37"/>
        <v>Open</v>
      </c>
      <c r="Z327" t="str">
        <f t="shared" si="38"/>
        <v>Jan-2026</v>
      </c>
      <c r="AA327" t="str">
        <f t="shared" si="39"/>
        <v>Q1 2026</v>
      </c>
      <c r="AB327" s="4">
        <f t="shared" ca="1" si="40"/>
        <v>161</v>
      </c>
      <c r="AC327" t="str">
        <f t="shared" si="41"/>
        <v>Medium</v>
      </c>
    </row>
    <row r="328" spans="1:29">
      <c r="A328" t="s">
        <v>1485</v>
      </c>
      <c r="B328" s="2">
        <v>45682</v>
      </c>
      <c r="C328" t="s">
        <v>1486</v>
      </c>
      <c r="D328" t="s">
        <v>357</v>
      </c>
      <c r="E328" t="s">
        <v>1487</v>
      </c>
      <c r="F328" t="s">
        <v>1488</v>
      </c>
      <c r="G328" t="s">
        <v>69</v>
      </c>
      <c r="H328" t="s">
        <v>312</v>
      </c>
      <c r="I328" t="s">
        <v>148</v>
      </c>
      <c r="J328" t="s">
        <v>62</v>
      </c>
      <c r="K328" t="s">
        <v>114</v>
      </c>
      <c r="L328" t="s">
        <v>72</v>
      </c>
      <c r="M328" t="s">
        <v>90</v>
      </c>
      <c r="N328" t="s">
        <v>91</v>
      </c>
      <c r="O328" s="3">
        <v>160000</v>
      </c>
      <c r="P328" s="4">
        <v>40</v>
      </c>
      <c r="Q328" s="2">
        <v>45733</v>
      </c>
      <c r="R328" s="2">
        <v>46188</v>
      </c>
      <c r="S328" s="2">
        <v>45697</v>
      </c>
      <c r="T328" s="2"/>
      <c r="U328" t="str">
        <f t="shared" si="35"/>
        <v>No</v>
      </c>
      <c r="W3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28" t="str">
        <f t="shared" ca="1" si="36"/>
        <v>Overdue</v>
      </c>
      <c r="Y328" t="str">
        <f t="shared" si="37"/>
        <v>Open</v>
      </c>
      <c r="Z328" t="str">
        <f t="shared" si="38"/>
        <v>Jan-2025</v>
      </c>
      <c r="AA328" t="str">
        <f t="shared" si="39"/>
        <v>Q1 2025</v>
      </c>
      <c r="AB328" s="4">
        <f t="shared" ca="1" si="40"/>
        <v>517</v>
      </c>
      <c r="AC328" t="str">
        <f t="shared" si="41"/>
        <v>Medium</v>
      </c>
    </row>
    <row r="329" spans="1:29">
      <c r="A329" t="s">
        <v>1489</v>
      </c>
      <c r="B329" s="2">
        <v>45890</v>
      </c>
      <c r="C329" t="s">
        <v>1490</v>
      </c>
      <c r="D329" t="s">
        <v>433</v>
      </c>
      <c r="E329" t="s">
        <v>1491</v>
      </c>
      <c r="F329" t="s">
        <v>1492</v>
      </c>
      <c r="G329" t="s">
        <v>179</v>
      </c>
      <c r="H329" t="s">
        <v>186</v>
      </c>
      <c r="I329" t="s">
        <v>123</v>
      </c>
      <c r="J329" t="s">
        <v>50</v>
      </c>
      <c r="K329" t="s">
        <v>51</v>
      </c>
      <c r="L329" t="s">
        <v>72</v>
      </c>
      <c r="M329" t="s">
        <v>40</v>
      </c>
      <c r="N329" t="s">
        <v>41</v>
      </c>
      <c r="O329" s="3">
        <v>230000</v>
      </c>
      <c r="P329" s="4">
        <v>100</v>
      </c>
      <c r="Q329" s="2">
        <v>45918</v>
      </c>
      <c r="R329" s="2"/>
      <c r="S329" s="2">
        <v>45920</v>
      </c>
      <c r="T329" s="2">
        <v>45918</v>
      </c>
      <c r="U329" t="str">
        <f t="shared" si="35"/>
        <v>Yes</v>
      </c>
      <c r="W3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329" t="str">
        <f t="shared" ca="1" si="36"/>
        <v>Closed</v>
      </c>
      <c r="Y329" t="str">
        <f t="shared" si="37"/>
        <v>Closed</v>
      </c>
      <c r="Z329" t="str">
        <f t="shared" si="38"/>
        <v>Aug-2025</v>
      </c>
      <c r="AA329" t="str">
        <f t="shared" si="39"/>
        <v>Q3 2025</v>
      </c>
      <c r="AB329" s="4">
        <f t="shared" ca="1" si="40"/>
        <v>309</v>
      </c>
      <c r="AC329" t="str">
        <f t="shared" si="41"/>
        <v>Medium</v>
      </c>
    </row>
    <row r="330" spans="1:29">
      <c r="A330" t="s">
        <v>1493</v>
      </c>
      <c r="B330" s="2">
        <v>45700</v>
      </c>
      <c r="C330" t="s">
        <v>1494</v>
      </c>
      <c r="D330" t="s">
        <v>986</v>
      </c>
      <c r="E330" t="s">
        <v>1495</v>
      </c>
      <c r="F330" t="s">
        <v>1496</v>
      </c>
      <c r="G330" t="s">
        <v>34</v>
      </c>
      <c r="H330" t="s">
        <v>160</v>
      </c>
      <c r="I330" t="s">
        <v>61</v>
      </c>
      <c r="J330" t="s">
        <v>124</v>
      </c>
      <c r="K330" t="s">
        <v>100</v>
      </c>
      <c r="L330" t="s">
        <v>39</v>
      </c>
      <c r="M330" t="s">
        <v>73</v>
      </c>
      <c r="N330" t="s">
        <v>73</v>
      </c>
      <c r="O330" s="3">
        <v>265000</v>
      </c>
      <c r="P330" s="4">
        <v>85</v>
      </c>
      <c r="Q330" s="2">
        <v>45730</v>
      </c>
      <c r="R330" s="2">
        <v>46223</v>
      </c>
      <c r="S330" s="2">
        <v>45719</v>
      </c>
      <c r="T330" s="2"/>
      <c r="U330" t="str">
        <f t="shared" si="35"/>
        <v>No</v>
      </c>
      <c r="W3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0" t="str">
        <f t="shared" ca="1" si="36"/>
        <v>Due/Open</v>
      </c>
      <c r="Y330" t="str">
        <f t="shared" si="37"/>
        <v>Open</v>
      </c>
      <c r="Z330" t="str">
        <f t="shared" si="38"/>
        <v>Feb-2025</v>
      </c>
      <c r="AA330" t="str">
        <f t="shared" si="39"/>
        <v>Q1 2025</v>
      </c>
      <c r="AB330" s="4">
        <f t="shared" ca="1" si="40"/>
        <v>499</v>
      </c>
      <c r="AC330" t="str">
        <f t="shared" si="41"/>
        <v>Medium</v>
      </c>
    </row>
    <row r="331" spans="1:29">
      <c r="A331" t="s">
        <v>1497</v>
      </c>
      <c r="B331" s="2">
        <v>46192</v>
      </c>
      <c r="C331" t="s">
        <v>1498</v>
      </c>
      <c r="D331" t="s">
        <v>627</v>
      </c>
      <c r="E331" t="s">
        <v>1499</v>
      </c>
      <c r="F331" t="s">
        <v>1500</v>
      </c>
      <c r="G331" t="s">
        <v>69</v>
      </c>
      <c r="H331" t="s">
        <v>270</v>
      </c>
      <c r="I331" t="s">
        <v>98</v>
      </c>
      <c r="J331" t="s">
        <v>50</v>
      </c>
      <c r="K331" t="s">
        <v>114</v>
      </c>
      <c r="L331" t="s">
        <v>154</v>
      </c>
      <c r="M331" t="s">
        <v>116</v>
      </c>
      <c r="N331" t="s">
        <v>54</v>
      </c>
      <c r="O331" s="3">
        <v>345000</v>
      </c>
      <c r="P331" s="4">
        <v>25</v>
      </c>
      <c r="Q331" s="2">
        <v>46255</v>
      </c>
      <c r="R331" s="2">
        <v>46217</v>
      </c>
      <c r="S331" s="2">
        <v>46198</v>
      </c>
      <c r="T331" s="2"/>
      <c r="U331" t="str">
        <f t="shared" si="35"/>
        <v>No</v>
      </c>
      <c r="W3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1" t="str">
        <f t="shared" ca="1" si="36"/>
        <v>Due/Open</v>
      </c>
      <c r="Y331" t="str">
        <f t="shared" si="37"/>
        <v>Open</v>
      </c>
      <c r="Z331" t="str">
        <f t="shared" si="38"/>
        <v>Jun-2026</v>
      </c>
      <c r="AA331" t="str">
        <f t="shared" si="39"/>
        <v>Q2 2026</v>
      </c>
      <c r="AB331" s="4">
        <f t="shared" ca="1" si="40"/>
        <v>7</v>
      </c>
      <c r="AC331" t="str">
        <f t="shared" si="41"/>
        <v>High</v>
      </c>
    </row>
    <row r="332" spans="1:29">
      <c r="A332" t="s">
        <v>1501</v>
      </c>
      <c r="B332" s="2">
        <v>45697</v>
      </c>
      <c r="C332" t="s">
        <v>1502</v>
      </c>
      <c r="D332" t="s">
        <v>342</v>
      </c>
      <c r="E332" t="s">
        <v>1503</v>
      </c>
      <c r="F332" t="s">
        <v>1504</v>
      </c>
      <c r="G332" t="s">
        <v>47</v>
      </c>
      <c r="H332" t="s">
        <v>48</v>
      </c>
      <c r="I332" t="s">
        <v>61</v>
      </c>
      <c r="J332" t="s">
        <v>62</v>
      </c>
      <c r="K332" t="s">
        <v>38</v>
      </c>
      <c r="L332" t="s">
        <v>63</v>
      </c>
      <c r="M332" t="s">
        <v>53</v>
      </c>
      <c r="N332" t="s">
        <v>54</v>
      </c>
      <c r="O332" s="3">
        <v>220000</v>
      </c>
      <c r="P332" s="4">
        <v>25</v>
      </c>
      <c r="Q332" s="2">
        <v>45747</v>
      </c>
      <c r="R332" s="2">
        <v>46231</v>
      </c>
      <c r="S332" s="2">
        <v>45708</v>
      </c>
      <c r="T332" s="2"/>
      <c r="U332" t="str">
        <f t="shared" si="35"/>
        <v>No</v>
      </c>
      <c r="W3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2" t="str">
        <f t="shared" ca="1" si="36"/>
        <v>Due/Open</v>
      </c>
      <c r="Y332" t="str">
        <f t="shared" si="37"/>
        <v>Open</v>
      </c>
      <c r="Z332" t="str">
        <f t="shared" si="38"/>
        <v>Feb-2025</v>
      </c>
      <c r="AA332" t="str">
        <f t="shared" si="39"/>
        <v>Q1 2025</v>
      </c>
      <c r="AB332" s="4">
        <f t="shared" ca="1" si="40"/>
        <v>502</v>
      </c>
      <c r="AC332" t="str">
        <f t="shared" si="41"/>
        <v>Medium</v>
      </c>
    </row>
    <row r="333" spans="1:29">
      <c r="A333" t="s">
        <v>1505</v>
      </c>
      <c r="B333" s="2">
        <v>45877</v>
      </c>
      <c r="C333" t="s">
        <v>256</v>
      </c>
      <c r="D333" t="s">
        <v>459</v>
      </c>
      <c r="E333" t="s">
        <v>1506</v>
      </c>
      <c r="F333" t="s">
        <v>1507</v>
      </c>
      <c r="G333" t="s">
        <v>34</v>
      </c>
      <c r="H333" t="s">
        <v>446</v>
      </c>
      <c r="I333" t="s">
        <v>187</v>
      </c>
      <c r="J333" t="s">
        <v>131</v>
      </c>
      <c r="K333" t="s">
        <v>100</v>
      </c>
      <c r="L333" t="s">
        <v>142</v>
      </c>
      <c r="M333" t="s">
        <v>82</v>
      </c>
      <c r="N333" t="s">
        <v>83</v>
      </c>
      <c r="O333" s="3">
        <v>275000</v>
      </c>
      <c r="P333" s="4">
        <v>10</v>
      </c>
      <c r="Q333" s="2">
        <v>45898</v>
      </c>
      <c r="R333" s="2">
        <v>46197</v>
      </c>
      <c r="S333" s="2">
        <v>45880</v>
      </c>
      <c r="T333" s="2"/>
      <c r="U333" t="str">
        <f t="shared" si="35"/>
        <v>No</v>
      </c>
      <c r="W3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3" t="str">
        <f t="shared" ca="1" si="36"/>
        <v>Overdue</v>
      </c>
      <c r="Y333" t="str">
        <f t="shared" si="37"/>
        <v>Open</v>
      </c>
      <c r="Z333" t="str">
        <f t="shared" si="38"/>
        <v>Aug-2025</v>
      </c>
      <c r="AA333" t="str">
        <f t="shared" si="39"/>
        <v>Q3 2025</v>
      </c>
      <c r="AB333" s="4">
        <f t="shared" ca="1" si="40"/>
        <v>322</v>
      </c>
      <c r="AC333" t="str">
        <f t="shared" si="41"/>
        <v>Medium</v>
      </c>
    </row>
    <row r="334" spans="1:29">
      <c r="A334" t="s">
        <v>1508</v>
      </c>
      <c r="B334" s="2">
        <v>45717</v>
      </c>
      <c r="C334" t="s">
        <v>1509</v>
      </c>
      <c r="D334" t="s">
        <v>282</v>
      </c>
      <c r="E334" t="s">
        <v>1510</v>
      </c>
      <c r="F334" t="s">
        <v>1511</v>
      </c>
      <c r="G334" t="s">
        <v>47</v>
      </c>
      <c r="H334" t="s">
        <v>48</v>
      </c>
      <c r="I334" t="s">
        <v>98</v>
      </c>
      <c r="J334" t="s">
        <v>50</v>
      </c>
      <c r="K334" t="s">
        <v>114</v>
      </c>
      <c r="L334" t="s">
        <v>154</v>
      </c>
      <c r="M334" t="s">
        <v>90</v>
      </c>
      <c r="N334" t="s">
        <v>91</v>
      </c>
      <c r="O334" s="3">
        <v>165000</v>
      </c>
      <c r="P334" s="4">
        <v>50</v>
      </c>
      <c r="Q334" s="2">
        <v>45776</v>
      </c>
      <c r="R334" s="2">
        <v>46163</v>
      </c>
      <c r="S334" s="2">
        <v>45745</v>
      </c>
      <c r="T334" s="2"/>
      <c r="U334" t="str">
        <f t="shared" si="35"/>
        <v>No</v>
      </c>
      <c r="W3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4" t="str">
        <f t="shared" ca="1" si="36"/>
        <v>Overdue</v>
      </c>
      <c r="Y334" t="str">
        <f t="shared" si="37"/>
        <v>Open</v>
      </c>
      <c r="Z334" t="str">
        <f t="shared" si="38"/>
        <v>Mar-2025</v>
      </c>
      <c r="AA334" t="str">
        <f t="shared" si="39"/>
        <v>Q1 2025</v>
      </c>
      <c r="AB334" s="4">
        <f t="shared" ca="1" si="40"/>
        <v>482</v>
      </c>
      <c r="AC334" t="str">
        <f t="shared" si="41"/>
        <v>Medium</v>
      </c>
    </row>
    <row r="335" spans="1:29">
      <c r="A335" t="s">
        <v>1512</v>
      </c>
      <c r="B335" s="2">
        <v>45986</v>
      </c>
      <c r="C335" t="s">
        <v>1420</v>
      </c>
      <c r="D335" t="s">
        <v>640</v>
      </c>
      <c r="E335" t="s">
        <v>1513</v>
      </c>
      <c r="F335" t="s">
        <v>1514</v>
      </c>
      <c r="G335" t="s">
        <v>79</v>
      </c>
      <c r="H335" t="s">
        <v>217</v>
      </c>
      <c r="I335" t="s">
        <v>148</v>
      </c>
      <c r="J335" t="s">
        <v>131</v>
      </c>
      <c r="K335" t="s">
        <v>51</v>
      </c>
      <c r="L335" t="s">
        <v>39</v>
      </c>
      <c r="M335" t="s">
        <v>90</v>
      </c>
      <c r="N335" t="s">
        <v>91</v>
      </c>
      <c r="O335" s="3">
        <v>350000</v>
      </c>
      <c r="P335" s="4">
        <v>55</v>
      </c>
      <c r="Q335" s="2">
        <v>46042</v>
      </c>
      <c r="R335" s="2">
        <v>46169</v>
      </c>
      <c r="S335" s="2">
        <v>46005</v>
      </c>
      <c r="T335" s="2"/>
      <c r="U335" t="str">
        <f t="shared" si="35"/>
        <v>No</v>
      </c>
      <c r="W3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5" t="str">
        <f t="shared" ca="1" si="36"/>
        <v>Overdue</v>
      </c>
      <c r="Y335" t="str">
        <f t="shared" si="37"/>
        <v>Open</v>
      </c>
      <c r="Z335" t="str">
        <f t="shared" si="38"/>
        <v>Nov-2025</v>
      </c>
      <c r="AA335" t="str">
        <f t="shared" si="39"/>
        <v>Q4 2025</v>
      </c>
      <c r="AB335" s="4">
        <f t="shared" ca="1" si="40"/>
        <v>213</v>
      </c>
      <c r="AC335" t="str">
        <f t="shared" si="41"/>
        <v>High</v>
      </c>
    </row>
    <row r="336" spans="1:29">
      <c r="A336" t="s">
        <v>1515</v>
      </c>
      <c r="B336" s="2">
        <v>45848</v>
      </c>
      <c r="C336" t="s">
        <v>169</v>
      </c>
      <c r="D336" t="s">
        <v>138</v>
      </c>
      <c r="E336" t="s">
        <v>1516</v>
      </c>
      <c r="F336" t="s">
        <v>1517</v>
      </c>
      <c r="G336" t="s">
        <v>79</v>
      </c>
      <c r="H336" t="s">
        <v>217</v>
      </c>
      <c r="I336" t="s">
        <v>123</v>
      </c>
      <c r="J336" t="s">
        <v>37</v>
      </c>
      <c r="K336" t="s">
        <v>38</v>
      </c>
      <c r="L336" t="s">
        <v>107</v>
      </c>
      <c r="M336" t="s">
        <v>90</v>
      </c>
      <c r="N336" t="s">
        <v>91</v>
      </c>
      <c r="O336" s="3">
        <v>30000</v>
      </c>
      <c r="P336" s="4">
        <v>50</v>
      </c>
      <c r="Q336" s="2">
        <v>45932</v>
      </c>
      <c r="R336" s="2">
        <v>46218</v>
      </c>
      <c r="S336" s="2">
        <v>45874</v>
      </c>
      <c r="T336" s="2"/>
      <c r="U336" t="str">
        <f t="shared" si="35"/>
        <v>No</v>
      </c>
      <c r="W3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6" t="str">
        <f t="shared" ca="1" si="36"/>
        <v>Due/Open</v>
      </c>
      <c r="Y336" t="str">
        <f t="shared" si="37"/>
        <v>Open</v>
      </c>
      <c r="Z336" t="str">
        <f t="shared" si="38"/>
        <v>Jul-2025</v>
      </c>
      <c r="AA336" t="str">
        <f t="shared" si="39"/>
        <v>Q3 2025</v>
      </c>
      <c r="AB336" s="4">
        <f t="shared" ca="1" si="40"/>
        <v>351</v>
      </c>
      <c r="AC336" t="str">
        <f t="shared" si="41"/>
        <v>Low</v>
      </c>
    </row>
    <row r="337" spans="1:29">
      <c r="A337" t="s">
        <v>1518</v>
      </c>
      <c r="B337" s="2">
        <v>45950</v>
      </c>
      <c r="C337" t="s">
        <v>610</v>
      </c>
      <c r="D337" t="s">
        <v>31</v>
      </c>
      <c r="E337" t="s">
        <v>1519</v>
      </c>
      <c r="F337" t="s">
        <v>1520</v>
      </c>
      <c r="G337" t="s">
        <v>69</v>
      </c>
      <c r="H337" t="s">
        <v>270</v>
      </c>
      <c r="I337" t="s">
        <v>141</v>
      </c>
      <c r="J337" t="s">
        <v>131</v>
      </c>
      <c r="K337" t="s">
        <v>114</v>
      </c>
      <c r="L337" t="s">
        <v>39</v>
      </c>
      <c r="M337" t="s">
        <v>53</v>
      </c>
      <c r="N337" t="s">
        <v>54</v>
      </c>
      <c r="O337" s="3">
        <v>205000</v>
      </c>
      <c r="P337" s="4">
        <v>25</v>
      </c>
      <c r="Q337" s="2">
        <v>45986</v>
      </c>
      <c r="R337" s="2">
        <v>46208</v>
      </c>
      <c r="S337" s="2">
        <v>45958</v>
      </c>
      <c r="T337" s="2"/>
      <c r="U337" t="str">
        <f t="shared" si="35"/>
        <v>No</v>
      </c>
      <c r="W3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7" t="str">
        <f t="shared" ca="1" si="36"/>
        <v>Due/Open</v>
      </c>
      <c r="Y337" t="str">
        <f t="shared" si="37"/>
        <v>Open</v>
      </c>
      <c r="Z337" t="str">
        <f t="shared" si="38"/>
        <v>Oct-2025</v>
      </c>
      <c r="AA337" t="str">
        <f t="shared" si="39"/>
        <v>Q4 2025</v>
      </c>
      <c r="AB337" s="4">
        <f t="shared" ca="1" si="40"/>
        <v>249</v>
      </c>
      <c r="AC337" t="str">
        <f t="shared" si="41"/>
        <v>Medium</v>
      </c>
    </row>
    <row r="338" spans="1:29">
      <c r="A338" t="s">
        <v>1521</v>
      </c>
      <c r="B338" s="2">
        <v>45844</v>
      </c>
      <c r="C338" t="s">
        <v>438</v>
      </c>
      <c r="D338" t="s">
        <v>640</v>
      </c>
      <c r="E338" t="s">
        <v>1522</v>
      </c>
      <c r="F338" t="s">
        <v>1523</v>
      </c>
      <c r="G338" t="s">
        <v>69</v>
      </c>
      <c r="H338" t="s">
        <v>70</v>
      </c>
      <c r="I338" t="s">
        <v>98</v>
      </c>
      <c r="J338" t="s">
        <v>99</v>
      </c>
      <c r="K338" t="s">
        <v>194</v>
      </c>
      <c r="L338" t="s">
        <v>125</v>
      </c>
      <c r="M338" t="s">
        <v>40</v>
      </c>
      <c r="N338" t="s">
        <v>41</v>
      </c>
      <c r="O338" s="3">
        <v>360000</v>
      </c>
      <c r="P338" s="4">
        <v>100</v>
      </c>
      <c r="Q338" s="2">
        <v>45881</v>
      </c>
      <c r="R338" s="2"/>
      <c r="S338" s="2">
        <v>45852</v>
      </c>
      <c r="T338" s="2">
        <v>45881</v>
      </c>
      <c r="U338" t="str">
        <f t="shared" si="35"/>
        <v>Yes</v>
      </c>
      <c r="W33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338" t="str">
        <f t="shared" ca="1" si="36"/>
        <v>Closed</v>
      </c>
      <c r="Y338" t="str">
        <f t="shared" si="37"/>
        <v>Closed</v>
      </c>
      <c r="Z338" t="str">
        <f t="shared" si="38"/>
        <v>Jul-2025</v>
      </c>
      <c r="AA338" t="str">
        <f t="shared" si="39"/>
        <v>Q3 2025</v>
      </c>
      <c r="AB338" s="4">
        <f t="shared" ca="1" si="40"/>
        <v>355</v>
      </c>
      <c r="AC338" t="str">
        <f t="shared" si="41"/>
        <v>High</v>
      </c>
    </row>
    <row r="339" spans="1:29">
      <c r="A339" t="s">
        <v>1524</v>
      </c>
      <c r="B339" s="2">
        <v>46168</v>
      </c>
      <c r="C339" t="s">
        <v>1525</v>
      </c>
      <c r="D339" t="s">
        <v>581</v>
      </c>
      <c r="E339" t="s">
        <v>1526</v>
      </c>
      <c r="F339" t="s">
        <v>1527</v>
      </c>
      <c r="G339" t="s">
        <v>47</v>
      </c>
      <c r="H339" t="s">
        <v>113</v>
      </c>
      <c r="I339" t="s">
        <v>141</v>
      </c>
      <c r="J339" t="s">
        <v>124</v>
      </c>
      <c r="K339" t="s">
        <v>38</v>
      </c>
      <c r="L339" t="s">
        <v>239</v>
      </c>
      <c r="M339" t="s">
        <v>53</v>
      </c>
      <c r="N339" t="s">
        <v>54</v>
      </c>
      <c r="O339" s="3">
        <v>160000</v>
      </c>
      <c r="P339" s="4">
        <v>35</v>
      </c>
      <c r="Q339" s="2">
        <v>46224</v>
      </c>
      <c r="R339" s="2">
        <v>46174</v>
      </c>
      <c r="S339" s="2">
        <v>46170</v>
      </c>
      <c r="T339" s="2"/>
      <c r="U339" t="str">
        <f t="shared" si="35"/>
        <v>No</v>
      </c>
      <c r="W3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39" t="str">
        <f t="shared" ca="1" si="36"/>
        <v>Overdue</v>
      </c>
      <c r="Y339" t="str">
        <f t="shared" si="37"/>
        <v>Open</v>
      </c>
      <c r="Z339" t="str">
        <f t="shared" si="38"/>
        <v>May-2026</v>
      </c>
      <c r="AA339" t="str">
        <f t="shared" si="39"/>
        <v>Q2 2026</v>
      </c>
      <c r="AB339" s="4">
        <f t="shared" ca="1" si="40"/>
        <v>31</v>
      </c>
      <c r="AC339" t="str">
        <f t="shared" si="41"/>
        <v>Medium</v>
      </c>
    </row>
    <row r="340" spans="1:29">
      <c r="A340" t="s">
        <v>1528</v>
      </c>
      <c r="B340" s="2">
        <v>46106</v>
      </c>
      <c r="C340" t="s">
        <v>1529</v>
      </c>
      <c r="D340" t="s">
        <v>547</v>
      </c>
      <c r="E340" t="s">
        <v>1530</v>
      </c>
      <c r="F340" t="s">
        <v>1531</v>
      </c>
      <c r="G340" t="s">
        <v>179</v>
      </c>
      <c r="H340" t="s">
        <v>180</v>
      </c>
      <c r="I340" t="s">
        <v>36</v>
      </c>
      <c r="J340" t="s">
        <v>50</v>
      </c>
      <c r="K340" t="s">
        <v>71</v>
      </c>
      <c r="L340" t="s">
        <v>115</v>
      </c>
      <c r="M340" t="s">
        <v>166</v>
      </c>
      <c r="N340" t="s">
        <v>167</v>
      </c>
      <c r="O340" s="3">
        <v>145000</v>
      </c>
      <c r="P340" s="4">
        <v>60</v>
      </c>
      <c r="Q340" s="2">
        <v>46179</v>
      </c>
      <c r="R340" s="2">
        <v>46227</v>
      </c>
      <c r="S340" s="2">
        <v>46132</v>
      </c>
      <c r="T340" s="2"/>
      <c r="U340" t="str">
        <f t="shared" si="35"/>
        <v>No</v>
      </c>
      <c r="W3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0" t="str">
        <f t="shared" ca="1" si="36"/>
        <v>Due/Open</v>
      </c>
      <c r="Y340" t="str">
        <f t="shared" si="37"/>
        <v>Open</v>
      </c>
      <c r="Z340" t="str">
        <f t="shared" si="38"/>
        <v>Mar-2026</v>
      </c>
      <c r="AA340" t="str">
        <f t="shared" si="39"/>
        <v>Q1 2026</v>
      </c>
      <c r="AB340" s="4">
        <f t="shared" ca="1" si="40"/>
        <v>93</v>
      </c>
      <c r="AC340" t="str">
        <f t="shared" si="41"/>
        <v>Medium</v>
      </c>
    </row>
    <row r="341" spans="1:29">
      <c r="A341" t="s">
        <v>1532</v>
      </c>
      <c r="B341" s="2">
        <v>45912</v>
      </c>
      <c r="C341" t="s">
        <v>144</v>
      </c>
      <c r="D341" t="s">
        <v>231</v>
      </c>
      <c r="E341" t="s">
        <v>1533</v>
      </c>
      <c r="F341" t="s">
        <v>1534</v>
      </c>
      <c r="G341" t="s">
        <v>47</v>
      </c>
      <c r="H341" t="s">
        <v>89</v>
      </c>
      <c r="I341" t="s">
        <v>36</v>
      </c>
      <c r="J341" t="s">
        <v>50</v>
      </c>
      <c r="K341" t="s">
        <v>194</v>
      </c>
      <c r="L341" t="s">
        <v>72</v>
      </c>
      <c r="M341" t="s">
        <v>90</v>
      </c>
      <c r="N341" t="s">
        <v>91</v>
      </c>
      <c r="O341" s="3">
        <v>490000</v>
      </c>
      <c r="P341" s="4">
        <v>50</v>
      </c>
      <c r="Q341" s="2">
        <v>45974</v>
      </c>
      <c r="R341" s="2">
        <v>46240</v>
      </c>
      <c r="S341" s="2">
        <v>45929</v>
      </c>
      <c r="T341" s="2"/>
      <c r="U341" t="str">
        <f t="shared" si="35"/>
        <v>No</v>
      </c>
      <c r="W3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1" t="str">
        <f t="shared" ca="1" si="36"/>
        <v>Due/Open</v>
      </c>
      <c r="Y341" t="str">
        <f t="shared" si="37"/>
        <v>Open</v>
      </c>
      <c r="Z341" t="str">
        <f t="shared" si="38"/>
        <v>Sep-2025</v>
      </c>
      <c r="AA341" t="str">
        <f t="shared" si="39"/>
        <v>Q3 2025</v>
      </c>
      <c r="AB341" s="4">
        <f t="shared" ca="1" si="40"/>
        <v>287</v>
      </c>
      <c r="AC341" t="str">
        <f t="shared" si="41"/>
        <v>High</v>
      </c>
    </row>
    <row r="342" spans="1:29">
      <c r="A342" t="s">
        <v>1535</v>
      </c>
      <c r="B342" s="2">
        <v>46147</v>
      </c>
      <c r="C342" t="s">
        <v>1536</v>
      </c>
      <c r="D342" t="s">
        <v>645</v>
      </c>
      <c r="E342" t="s">
        <v>1537</v>
      </c>
      <c r="F342" t="s">
        <v>1538</v>
      </c>
      <c r="G342" t="s">
        <v>47</v>
      </c>
      <c r="H342" t="s">
        <v>122</v>
      </c>
      <c r="I342" t="s">
        <v>98</v>
      </c>
      <c r="J342" t="s">
        <v>99</v>
      </c>
      <c r="K342" t="s">
        <v>38</v>
      </c>
      <c r="L342" t="s">
        <v>107</v>
      </c>
      <c r="M342" t="s">
        <v>133</v>
      </c>
      <c r="N342" t="s">
        <v>134</v>
      </c>
      <c r="O342" s="3">
        <v>270000</v>
      </c>
      <c r="P342" s="4">
        <v>0</v>
      </c>
      <c r="Q342" s="2">
        <v>46178</v>
      </c>
      <c r="R342" s="2"/>
      <c r="S342" s="2">
        <v>46156</v>
      </c>
      <c r="T342" s="2">
        <v>46178</v>
      </c>
      <c r="U342" t="str">
        <f t="shared" si="35"/>
        <v>No</v>
      </c>
      <c r="V342" t="s">
        <v>319</v>
      </c>
      <c r="W3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342" t="str">
        <f t="shared" ca="1" si="36"/>
        <v>Closed</v>
      </c>
      <c r="Y342" t="str">
        <f t="shared" si="37"/>
        <v>Closed</v>
      </c>
      <c r="Z342" t="str">
        <f t="shared" si="38"/>
        <v>May-2026</v>
      </c>
      <c r="AA342" t="str">
        <f t="shared" si="39"/>
        <v>Q2 2026</v>
      </c>
      <c r="AB342" s="4">
        <f t="shared" ca="1" si="40"/>
        <v>52</v>
      </c>
      <c r="AC342" t="str">
        <f t="shared" si="41"/>
        <v>Medium</v>
      </c>
    </row>
    <row r="343" spans="1:29">
      <c r="A343" t="s">
        <v>1539</v>
      </c>
      <c r="B343" s="2">
        <v>45752</v>
      </c>
      <c r="C343" t="s">
        <v>1540</v>
      </c>
      <c r="D343" t="s">
        <v>322</v>
      </c>
      <c r="E343" t="s">
        <v>1541</v>
      </c>
      <c r="F343" t="s">
        <v>1542</v>
      </c>
      <c r="G343" t="s">
        <v>179</v>
      </c>
      <c r="H343" t="s">
        <v>180</v>
      </c>
      <c r="I343" t="s">
        <v>123</v>
      </c>
      <c r="J343" t="s">
        <v>50</v>
      </c>
      <c r="K343" t="s">
        <v>194</v>
      </c>
      <c r="L343" t="s">
        <v>52</v>
      </c>
      <c r="M343" t="s">
        <v>133</v>
      </c>
      <c r="N343" t="s">
        <v>134</v>
      </c>
      <c r="O343" s="3">
        <v>265000</v>
      </c>
      <c r="P343" s="4">
        <v>0</v>
      </c>
      <c r="Q343" s="2">
        <v>45788</v>
      </c>
      <c r="R343" s="2"/>
      <c r="S343" s="2">
        <v>45755</v>
      </c>
      <c r="T343" s="2">
        <v>45788</v>
      </c>
      <c r="U343" t="str">
        <f t="shared" si="35"/>
        <v>No</v>
      </c>
      <c r="V343" t="s">
        <v>211</v>
      </c>
      <c r="W3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343" t="str">
        <f t="shared" ca="1" si="36"/>
        <v>Closed</v>
      </c>
      <c r="Y343" t="str">
        <f t="shared" si="37"/>
        <v>Closed</v>
      </c>
      <c r="Z343" t="str">
        <f t="shared" si="38"/>
        <v>Apr-2025</v>
      </c>
      <c r="AA343" t="str">
        <f t="shared" si="39"/>
        <v>Q2 2025</v>
      </c>
      <c r="AB343" s="4">
        <f t="shared" ca="1" si="40"/>
        <v>447</v>
      </c>
      <c r="AC343" t="str">
        <f t="shared" si="41"/>
        <v>Medium</v>
      </c>
    </row>
    <row r="344" spans="1:29">
      <c r="A344" t="s">
        <v>1543</v>
      </c>
      <c r="B344" s="2">
        <v>45936</v>
      </c>
      <c r="C344" t="s">
        <v>1452</v>
      </c>
      <c r="D344" t="s">
        <v>517</v>
      </c>
      <c r="E344" t="s">
        <v>1544</v>
      </c>
      <c r="F344" t="s">
        <v>1545</v>
      </c>
      <c r="G344" t="s">
        <v>34</v>
      </c>
      <c r="H344" t="s">
        <v>173</v>
      </c>
      <c r="I344" t="s">
        <v>148</v>
      </c>
      <c r="J344" t="s">
        <v>37</v>
      </c>
      <c r="K344" t="s">
        <v>114</v>
      </c>
      <c r="L344" t="s">
        <v>39</v>
      </c>
      <c r="M344" t="s">
        <v>90</v>
      </c>
      <c r="N344" t="s">
        <v>91</v>
      </c>
      <c r="O344" s="3">
        <v>135000</v>
      </c>
      <c r="P344" s="4">
        <v>40</v>
      </c>
      <c r="Q344" s="2">
        <v>45981</v>
      </c>
      <c r="R344" s="2">
        <v>46217</v>
      </c>
      <c r="S344" s="2">
        <v>45943</v>
      </c>
      <c r="T344" s="2"/>
      <c r="U344" t="str">
        <f t="shared" si="35"/>
        <v>No</v>
      </c>
      <c r="W3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4" t="str">
        <f t="shared" ca="1" si="36"/>
        <v>Due/Open</v>
      </c>
      <c r="Y344" t="str">
        <f t="shared" si="37"/>
        <v>Open</v>
      </c>
      <c r="Z344" t="str">
        <f t="shared" si="38"/>
        <v>Oct-2025</v>
      </c>
      <c r="AA344" t="str">
        <f t="shared" si="39"/>
        <v>Q4 2025</v>
      </c>
      <c r="AB344" s="4">
        <f t="shared" ca="1" si="40"/>
        <v>263</v>
      </c>
      <c r="AC344" t="str">
        <f t="shared" si="41"/>
        <v>Medium</v>
      </c>
    </row>
    <row r="345" spans="1:29">
      <c r="A345" t="s">
        <v>1546</v>
      </c>
      <c r="B345" s="2">
        <v>46116</v>
      </c>
      <c r="C345" t="s">
        <v>1547</v>
      </c>
      <c r="D345" t="s">
        <v>1098</v>
      </c>
      <c r="E345" t="s">
        <v>1548</v>
      </c>
      <c r="F345" t="s">
        <v>1549</v>
      </c>
      <c r="G345" t="s">
        <v>79</v>
      </c>
      <c r="H345" t="s">
        <v>106</v>
      </c>
      <c r="I345" t="s">
        <v>36</v>
      </c>
      <c r="J345" t="s">
        <v>37</v>
      </c>
      <c r="K345" t="s">
        <v>114</v>
      </c>
      <c r="L345" t="s">
        <v>52</v>
      </c>
      <c r="M345" t="s">
        <v>166</v>
      </c>
      <c r="N345" t="s">
        <v>167</v>
      </c>
      <c r="O345" s="3">
        <v>110000</v>
      </c>
      <c r="P345" s="4">
        <v>60</v>
      </c>
      <c r="Q345" s="2">
        <v>46204</v>
      </c>
      <c r="R345" s="2">
        <v>46188</v>
      </c>
      <c r="S345" s="2">
        <v>46133</v>
      </c>
      <c r="T345" s="2"/>
      <c r="U345" t="str">
        <f t="shared" si="35"/>
        <v>No</v>
      </c>
      <c r="W3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5" t="str">
        <f t="shared" ca="1" si="36"/>
        <v>Overdue</v>
      </c>
      <c r="Y345" t="str">
        <f t="shared" si="37"/>
        <v>Open</v>
      </c>
      <c r="Z345" t="str">
        <f t="shared" si="38"/>
        <v>Apr-2026</v>
      </c>
      <c r="AA345" t="str">
        <f t="shared" si="39"/>
        <v>Q2 2026</v>
      </c>
      <c r="AB345" s="4">
        <f t="shared" ca="1" si="40"/>
        <v>83</v>
      </c>
      <c r="AC345" t="str">
        <f t="shared" si="41"/>
        <v>Low</v>
      </c>
    </row>
    <row r="346" spans="1:29">
      <c r="A346" t="s">
        <v>1550</v>
      </c>
      <c r="B346" s="2">
        <v>45933</v>
      </c>
      <c r="C346" t="s">
        <v>1551</v>
      </c>
      <c r="D346" t="s">
        <v>684</v>
      </c>
      <c r="E346" t="s">
        <v>1552</v>
      </c>
      <c r="F346" t="s">
        <v>1553</v>
      </c>
      <c r="G346" t="s">
        <v>79</v>
      </c>
      <c r="H346" t="s">
        <v>80</v>
      </c>
      <c r="I346" t="s">
        <v>123</v>
      </c>
      <c r="J346" t="s">
        <v>50</v>
      </c>
      <c r="K346" t="s">
        <v>71</v>
      </c>
      <c r="L346" t="s">
        <v>52</v>
      </c>
      <c r="M346" t="s">
        <v>166</v>
      </c>
      <c r="N346" t="s">
        <v>167</v>
      </c>
      <c r="O346" s="3">
        <v>530000</v>
      </c>
      <c r="P346" s="4">
        <v>60</v>
      </c>
      <c r="Q346" s="2">
        <v>46026</v>
      </c>
      <c r="R346" s="2">
        <v>46160</v>
      </c>
      <c r="S346" s="2">
        <v>45956</v>
      </c>
      <c r="T346" s="2"/>
      <c r="U346" t="str">
        <f t="shared" si="35"/>
        <v>No</v>
      </c>
      <c r="W3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6" t="str">
        <f t="shared" ca="1" si="36"/>
        <v>Overdue</v>
      </c>
      <c r="Y346" t="str">
        <f t="shared" si="37"/>
        <v>Open</v>
      </c>
      <c r="Z346" t="str">
        <f t="shared" si="38"/>
        <v>Oct-2025</v>
      </c>
      <c r="AA346" t="str">
        <f t="shared" si="39"/>
        <v>Q4 2025</v>
      </c>
      <c r="AB346" s="4">
        <f t="shared" ca="1" si="40"/>
        <v>266</v>
      </c>
      <c r="AC346" t="str">
        <f t="shared" si="41"/>
        <v>High</v>
      </c>
    </row>
    <row r="347" spans="1:29">
      <c r="A347" t="s">
        <v>1554</v>
      </c>
      <c r="B347" s="2">
        <v>45826</v>
      </c>
      <c r="C347" t="s">
        <v>1555</v>
      </c>
      <c r="D347" t="s">
        <v>443</v>
      </c>
      <c r="E347" t="s">
        <v>1556</v>
      </c>
      <c r="F347" t="s">
        <v>1557</v>
      </c>
      <c r="G347" t="s">
        <v>47</v>
      </c>
      <c r="H347" t="s">
        <v>89</v>
      </c>
      <c r="I347" t="s">
        <v>36</v>
      </c>
      <c r="J347" t="s">
        <v>124</v>
      </c>
      <c r="K347" t="s">
        <v>71</v>
      </c>
      <c r="L347" t="s">
        <v>72</v>
      </c>
      <c r="M347" t="s">
        <v>90</v>
      </c>
      <c r="N347" t="s">
        <v>91</v>
      </c>
      <c r="O347" s="3">
        <v>165000</v>
      </c>
      <c r="P347" s="4">
        <v>40</v>
      </c>
      <c r="Q347" s="2">
        <v>45866</v>
      </c>
      <c r="R347" s="2">
        <v>46221</v>
      </c>
      <c r="S347" s="2">
        <v>45833</v>
      </c>
      <c r="T347" s="2"/>
      <c r="U347" t="str">
        <f t="shared" si="35"/>
        <v>No</v>
      </c>
      <c r="W3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7" t="str">
        <f t="shared" ca="1" si="36"/>
        <v>Due/Open</v>
      </c>
      <c r="Y347" t="str">
        <f t="shared" si="37"/>
        <v>Open</v>
      </c>
      <c r="Z347" t="str">
        <f t="shared" si="38"/>
        <v>Jun-2025</v>
      </c>
      <c r="AA347" t="str">
        <f t="shared" si="39"/>
        <v>Q2 2025</v>
      </c>
      <c r="AB347" s="4">
        <f t="shared" ca="1" si="40"/>
        <v>373</v>
      </c>
      <c r="AC347" t="str">
        <f t="shared" si="41"/>
        <v>Medium</v>
      </c>
    </row>
    <row r="348" spans="1:29">
      <c r="A348" t="s">
        <v>1558</v>
      </c>
      <c r="B348" s="2">
        <v>45734</v>
      </c>
      <c r="C348" t="s">
        <v>1559</v>
      </c>
      <c r="D348" t="s">
        <v>1560</v>
      </c>
      <c r="E348" t="s">
        <v>1561</v>
      </c>
      <c r="F348" t="s">
        <v>1562</v>
      </c>
      <c r="G348" t="s">
        <v>69</v>
      </c>
      <c r="H348" t="s">
        <v>285</v>
      </c>
      <c r="I348" t="s">
        <v>141</v>
      </c>
      <c r="J348" t="s">
        <v>62</v>
      </c>
      <c r="K348" t="s">
        <v>71</v>
      </c>
      <c r="L348" t="s">
        <v>154</v>
      </c>
      <c r="M348" t="s">
        <v>116</v>
      </c>
      <c r="N348" t="s">
        <v>54</v>
      </c>
      <c r="O348" s="3">
        <v>410000</v>
      </c>
      <c r="P348" s="4">
        <v>15</v>
      </c>
      <c r="Q348" s="2">
        <v>45766</v>
      </c>
      <c r="R348" s="2">
        <v>46203</v>
      </c>
      <c r="S348" s="2">
        <v>45758</v>
      </c>
      <c r="T348" s="2"/>
      <c r="U348" t="str">
        <f t="shared" si="35"/>
        <v>No</v>
      </c>
      <c r="W3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8" t="str">
        <f t="shared" ca="1" si="36"/>
        <v>Due/Open</v>
      </c>
      <c r="Y348" t="str">
        <f t="shared" si="37"/>
        <v>Open</v>
      </c>
      <c r="Z348" t="str">
        <f t="shared" si="38"/>
        <v>Mar-2025</v>
      </c>
      <c r="AA348" t="str">
        <f t="shared" si="39"/>
        <v>Q1 2025</v>
      </c>
      <c r="AB348" s="4">
        <f t="shared" ca="1" si="40"/>
        <v>465</v>
      </c>
      <c r="AC348" t="str">
        <f t="shared" si="41"/>
        <v>High</v>
      </c>
    </row>
    <row r="349" spans="1:29">
      <c r="A349" t="s">
        <v>1563</v>
      </c>
      <c r="B349" s="2">
        <v>46098</v>
      </c>
      <c r="C349" t="s">
        <v>1564</v>
      </c>
      <c r="D349" t="s">
        <v>561</v>
      </c>
      <c r="E349" t="s">
        <v>1565</v>
      </c>
      <c r="F349" t="s">
        <v>1566</v>
      </c>
      <c r="G349" t="s">
        <v>79</v>
      </c>
      <c r="H349" t="s">
        <v>80</v>
      </c>
      <c r="I349" t="s">
        <v>36</v>
      </c>
      <c r="J349" t="s">
        <v>131</v>
      </c>
      <c r="K349" t="s">
        <v>71</v>
      </c>
      <c r="L349" t="s">
        <v>132</v>
      </c>
      <c r="M349" t="s">
        <v>53</v>
      </c>
      <c r="N349" t="s">
        <v>54</v>
      </c>
      <c r="O349" s="3">
        <v>335000</v>
      </c>
      <c r="P349" s="4">
        <v>35</v>
      </c>
      <c r="Q349" s="2">
        <v>46151</v>
      </c>
      <c r="R349" s="2">
        <v>46231</v>
      </c>
      <c r="S349" s="2">
        <v>46122</v>
      </c>
      <c r="T349" s="2"/>
      <c r="U349" t="str">
        <f t="shared" si="35"/>
        <v>No</v>
      </c>
      <c r="W3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49" t="str">
        <f t="shared" ca="1" si="36"/>
        <v>Due/Open</v>
      </c>
      <c r="Y349" t="str">
        <f t="shared" si="37"/>
        <v>Open</v>
      </c>
      <c r="Z349" t="str">
        <f t="shared" si="38"/>
        <v>Mar-2026</v>
      </c>
      <c r="AA349" t="str">
        <f t="shared" si="39"/>
        <v>Q1 2026</v>
      </c>
      <c r="AB349" s="4">
        <f t="shared" ca="1" si="40"/>
        <v>101</v>
      </c>
      <c r="AC349" t="str">
        <f t="shared" si="41"/>
        <v>High</v>
      </c>
    </row>
    <row r="350" spans="1:29">
      <c r="A350" t="s">
        <v>1567</v>
      </c>
      <c r="B350" s="2">
        <v>45992</v>
      </c>
      <c r="C350" t="s">
        <v>675</v>
      </c>
      <c r="D350" t="s">
        <v>490</v>
      </c>
      <c r="E350" t="s">
        <v>1568</v>
      </c>
      <c r="F350" t="s">
        <v>1569</v>
      </c>
      <c r="G350" t="s">
        <v>79</v>
      </c>
      <c r="H350" t="s">
        <v>260</v>
      </c>
      <c r="I350" t="s">
        <v>187</v>
      </c>
      <c r="J350" t="s">
        <v>99</v>
      </c>
      <c r="K350" t="s">
        <v>38</v>
      </c>
      <c r="L350" t="s">
        <v>63</v>
      </c>
      <c r="M350" t="s">
        <v>53</v>
      </c>
      <c r="N350" t="s">
        <v>54</v>
      </c>
      <c r="O350" s="3">
        <v>355000</v>
      </c>
      <c r="P350" s="4">
        <v>35</v>
      </c>
      <c r="Q350" s="2">
        <v>46053</v>
      </c>
      <c r="R350" s="2">
        <v>46215</v>
      </c>
      <c r="S350" s="2">
        <v>46022</v>
      </c>
      <c r="T350" s="2"/>
      <c r="U350" t="str">
        <f t="shared" si="35"/>
        <v>No</v>
      </c>
      <c r="W3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50" t="str">
        <f t="shared" ca="1" si="36"/>
        <v>Due/Open</v>
      </c>
      <c r="Y350" t="str">
        <f t="shared" si="37"/>
        <v>Open</v>
      </c>
      <c r="Z350" t="str">
        <f t="shared" si="38"/>
        <v>Dec-2025</v>
      </c>
      <c r="AA350" t="str">
        <f t="shared" si="39"/>
        <v>Q4 2025</v>
      </c>
      <c r="AB350" s="4">
        <f t="shared" ca="1" si="40"/>
        <v>207</v>
      </c>
      <c r="AC350" t="str">
        <f t="shared" si="41"/>
        <v>High</v>
      </c>
    </row>
    <row r="351" spans="1:29">
      <c r="A351" t="s">
        <v>1570</v>
      </c>
      <c r="B351" s="2">
        <v>45859</v>
      </c>
      <c r="C351" t="s">
        <v>1334</v>
      </c>
      <c r="D351" t="s">
        <v>909</v>
      </c>
      <c r="E351" t="s">
        <v>1571</v>
      </c>
      <c r="F351" t="s">
        <v>1572</v>
      </c>
      <c r="G351" t="s">
        <v>34</v>
      </c>
      <c r="H351" t="s">
        <v>60</v>
      </c>
      <c r="I351" t="s">
        <v>187</v>
      </c>
      <c r="J351" t="s">
        <v>37</v>
      </c>
      <c r="K351" t="s">
        <v>38</v>
      </c>
      <c r="L351" t="s">
        <v>107</v>
      </c>
      <c r="M351" t="s">
        <v>90</v>
      </c>
      <c r="N351" t="s">
        <v>91</v>
      </c>
      <c r="O351" s="3">
        <v>165000</v>
      </c>
      <c r="P351" s="4">
        <v>55</v>
      </c>
      <c r="Q351" s="2">
        <v>45906</v>
      </c>
      <c r="R351" s="2">
        <v>46242</v>
      </c>
      <c r="S351" s="2">
        <v>45864</v>
      </c>
      <c r="T351" s="2"/>
      <c r="U351" t="str">
        <f t="shared" si="35"/>
        <v>No</v>
      </c>
      <c r="W3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51" t="str">
        <f t="shared" ca="1" si="36"/>
        <v>Due/Open</v>
      </c>
      <c r="Y351" t="str">
        <f t="shared" si="37"/>
        <v>Open</v>
      </c>
      <c r="Z351" t="str">
        <f t="shared" si="38"/>
        <v>Jul-2025</v>
      </c>
      <c r="AA351" t="str">
        <f t="shared" si="39"/>
        <v>Q3 2025</v>
      </c>
      <c r="AB351" s="4">
        <f t="shared" ca="1" si="40"/>
        <v>340</v>
      </c>
      <c r="AC351" t="str">
        <f t="shared" si="41"/>
        <v>Medium</v>
      </c>
    </row>
    <row r="352" spans="1:29">
      <c r="A352" t="s">
        <v>1573</v>
      </c>
      <c r="B352" s="2">
        <v>46027</v>
      </c>
      <c r="C352" t="s">
        <v>839</v>
      </c>
      <c r="D352" t="s">
        <v>183</v>
      </c>
      <c r="E352" t="s">
        <v>1574</v>
      </c>
      <c r="F352" t="s">
        <v>1575</v>
      </c>
      <c r="G352" t="s">
        <v>34</v>
      </c>
      <c r="H352" t="s">
        <v>238</v>
      </c>
      <c r="I352" t="s">
        <v>49</v>
      </c>
      <c r="J352" t="s">
        <v>131</v>
      </c>
      <c r="K352" t="s">
        <v>100</v>
      </c>
      <c r="L352" t="s">
        <v>39</v>
      </c>
      <c r="M352" t="s">
        <v>40</v>
      </c>
      <c r="N352" t="s">
        <v>41</v>
      </c>
      <c r="O352" s="3">
        <v>180000</v>
      </c>
      <c r="P352" s="4">
        <v>100</v>
      </c>
      <c r="Q352" s="2">
        <v>46107</v>
      </c>
      <c r="R352" s="2"/>
      <c r="S352" s="2">
        <v>46056</v>
      </c>
      <c r="T352" s="2">
        <v>46107</v>
      </c>
      <c r="U352" t="str">
        <f t="shared" si="35"/>
        <v>Yes</v>
      </c>
      <c r="W35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352" t="str">
        <f t="shared" ca="1" si="36"/>
        <v>Closed</v>
      </c>
      <c r="Y352" t="str">
        <f t="shared" si="37"/>
        <v>Closed</v>
      </c>
      <c r="Z352" t="str">
        <f t="shared" si="38"/>
        <v>Jan-2026</v>
      </c>
      <c r="AA352" t="str">
        <f t="shared" si="39"/>
        <v>Q1 2026</v>
      </c>
      <c r="AB352" s="4">
        <f t="shared" ca="1" si="40"/>
        <v>172</v>
      </c>
      <c r="AC352" t="str">
        <f t="shared" si="41"/>
        <v>Medium</v>
      </c>
    </row>
    <row r="353" spans="1:29">
      <c r="A353" t="s">
        <v>1576</v>
      </c>
      <c r="B353" s="2">
        <v>45801</v>
      </c>
      <c r="C353" t="s">
        <v>1577</v>
      </c>
      <c r="D353" t="s">
        <v>779</v>
      </c>
      <c r="E353" t="s">
        <v>1578</v>
      </c>
      <c r="F353" t="s">
        <v>1579</v>
      </c>
      <c r="G353" t="s">
        <v>47</v>
      </c>
      <c r="H353" t="s">
        <v>48</v>
      </c>
      <c r="I353" t="s">
        <v>98</v>
      </c>
      <c r="J353" t="s">
        <v>131</v>
      </c>
      <c r="K353" t="s">
        <v>194</v>
      </c>
      <c r="L353" t="s">
        <v>142</v>
      </c>
      <c r="M353" t="s">
        <v>210</v>
      </c>
      <c r="N353" t="s">
        <v>134</v>
      </c>
      <c r="O353" s="3">
        <v>200000</v>
      </c>
      <c r="P353" s="4">
        <v>0</v>
      </c>
      <c r="Q353" s="2">
        <v>45853</v>
      </c>
      <c r="R353" s="2"/>
      <c r="S353" s="2">
        <v>45815</v>
      </c>
      <c r="T353" s="2">
        <v>45853</v>
      </c>
      <c r="U353" t="str">
        <f t="shared" si="35"/>
        <v>No</v>
      </c>
      <c r="V353" t="s">
        <v>1105</v>
      </c>
      <c r="W35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353" t="str">
        <f t="shared" ca="1" si="36"/>
        <v>Closed</v>
      </c>
      <c r="Y353" t="str">
        <f t="shared" si="37"/>
        <v>Closed</v>
      </c>
      <c r="Z353" t="str">
        <f t="shared" si="38"/>
        <v>May-2025</v>
      </c>
      <c r="AA353" t="str">
        <f t="shared" si="39"/>
        <v>Q2 2025</v>
      </c>
      <c r="AB353" s="4">
        <f t="shared" ca="1" si="40"/>
        <v>398</v>
      </c>
      <c r="AC353" t="str">
        <f t="shared" si="41"/>
        <v>Medium</v>
      </c>
    </row>
    <row r="354" spans="1:29">
      <c r="A354" t="s">
        <v>1580</v>
      </c>
      <c r="B354" s="2">
        <v>45801</v>
      </c>
      <c r="C354" t="s">
        <v>1365</v>
      </c>
      <c r="D354" t="s">
        <v>176</v>
      </c>
      <c r="E354" t="s">
        <v>1581</v>
      </c>
      <c r="F354" t="s">
        <v>1582</v>
      </c>
      <c r="G354" t="s">
        <v>47</v>
      </c>
      <c r="H354" t="s">
        <v>113</v>
      </c>
      <c r="I354" t="s">
        <v>123</v>
      </c>
      <c r="J354" t="s">
        <v>131</v>
      </c>
      <c r="K354" t="s">
        <v>51</v>
      </c>
      <c r="L354" t="s">
        <v>81</v>
      </c>
      <c r="M354" t="s">
        <v>73</v>
      </c>
      <c r="N354" t="s">
        <v>73</v>
      </c>
      <c r="O354" s="3">
        <v>370000</v>
      </c>
      <c r="P354" s="4">
        <v>75</v>
      </c>
      <c r="Q354" s="2">
        <v>45839</v>
      </c>
      <c r="R354" s="2">
        <v>46193</v>
      </c>
      <c r="S354" s="2">
        <v>45803</v>
      </c>
      <c r="T354" s="2"/>
      <c r="U354" t="str">
        <f t="shared" si="35"/>
        <v>No</v>
      </c>
      <c r="W3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54" t="str">
        <f t="shared" ca="1" si="36"/>
        <v>Overdue</v>
      </c>
      <c r="Y354" t="str">
        <f t="shared" si="37"/>
        <v>Open</v>
      </c>
      <c r="Z354" t="str">
        <f t="shared" si="38"/>
        <v>May-2025</v>
      </c>
      <c r="AA354" t="str">
        <f t="shared" si="39"/>
        <v>Q2 2025</v>
      </c>
      <c r="AB354" s="4">
        <f t="shared" ca="1" si="40"/>
        <v>398</v>
      </c>
      <c r="AC354" t="str">
        <f t="shared" si="41"/>
        <v>High</v>
      </c>
    </row>
    <row r="355" spans="1:29">
      <c r="A355" t="s">
        <v>1583</v>
      </c>
      <c r="B355" s="2">
        <v>45992</v>
      </c>
      <c r="C355" t="s">
        <v>1584</v>
      </c>
      <c r="D355" t="s">
        <v>214</v>
      </c>
      <c r="E355" t="s">
        <v>1585</v>
      </c>
      <c r="F355" t="s">
        <v>1586</v>
      </c>
      <c r="G355" t="s">
        <v>69</v>
      </c>
      <c r="H355" t="s">
        <v>200</v>
      </c>
      <c r="I355" t="s">
        <v>148</v>
      </c>
      <c r="J355" t="s">
        <v>131</v>
      </c>
      <c r="K355" t="s">
        <v>51</v>
      </c>
      <c r="L355" t="s">
        <v>107</v>
      </c>
      <c r="M355" t="s">
        <v>133</v>
      </c>
      <c r="N355" t="s">
        <v>134</v>
      </c>
      <c r="O355" s="3">
        <v>335000</v>
      </c>
      <c r="P355" s="4">
        <v>0</v>
      </c>
      <c r="Q355" s="2">
        <v>46064</v>
      </c>
      <c r="R355" s="2"/>
      <c r="S355" s="2">
        <v>46022</v>
      </c>
      <c r="T355" s="2">
        <v>46064</v>
      </c>
      <c r="U355" t="str">
        <f t="shared" si="35"/>
        <v>No</v>
      </c>
      <c r="V355" t="s">
        <v>276</v>
      </c>
      <c r="W3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355" t="str">
        <f t="shared" ca="1" si="36"/>
        <v>Closed</v>
      </c>
      <c r="Y355" t="str">
        <f t="shared" si="37"/>
        <v>Closed</v>
      </c>
      <c r="Z355" t="str">
        <f t="shared" si="38"/>
        <v>Dec-2025</v>
      </c>
      <c r="AA355" t="str">
        <f t="shared" si="39"/>
        <v>Q4 2025</v>
      </c>
      <c r="AB355" s="4">
        <f t="shared" ca="1" si="40"/>
        <v>207</v>
      </c>
      <c r="AC355" t="str">
        <f t="shared" si="41"/>
        <v>High</v>
      </c>
    </row>
    <row r="356" spans="1:29">
      <c r="A356" t="s">
        <v>1587</v>
      </c>
      <c r="B356" s="2">
        <v>45872</v>
      </c>
      <c r="C356" t="s">
        <v>1588</v>
      </c>
      <c r="D356" t="s">
        <v>327</v>
      </c>
      <c r="E356" t="s">
        <v>1589</v>
      </c>
      <c r="F356" t="s">
        <v>1590</v>
      </c>
      <c r="G356" t="s">
        <v>47</v>
      </c>
      <c r="H356" t="s">
        <v>89</v>
      </c>
      <c r="I356" t="s">
        <v>123</v>
      </c>
      <c r="J356" t="s">
        <v>99</v>
      </c>
      <c r="K356" t="s">
        <v>114</v>
      </c>
      <c r="L356" t="s">
        <v>52</v>
      </c>
      <c r="M356" t="s">
        <v>40</v>
      </c>
      <c r="N356" t="s">
        <v>41</v>
      </c>
      <c r="O356" s="3">
        <v>535000</v>
      </c>
      <c r="P356" s="4">
        <v>100</v>
      </c>
      <c r="Q356" s="2">
        <v>45910</v>
      </c>
      <c r="R356" s="2"/>
      <c r="S356" s="2">
        <v>45901</v>
      </c>
      <c r="T356" s="2">
        <v>45910</v>
      </c>
      <c r="U356" t="str">
        <f t="shared" si="35"/>
        <v>Yes</v>
      </c>
      <c r="W35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356" t="str">
        <f t="shared" ca="1" si="36"/>
        <v>Closed</v>
      </c>
      <c r="Y356" t="str">
        <f t="shared" si="37"/>
        <v>Closed</v>
      </c>
      <c r="Z356" t="str">
        <f t="shared" si="38"/>
        <v>Aug-2025</v>
      </c>
      <c r="AA356" t="str">
        <f t="shared" si="39"/>
        <v>Q3 2025</v>
      </c>
      <c r="AB356" s="4">
        <f t="shared" ca="1" si="40"/>
        <v>327</v>
      </c>
      <c r="AC356" t="str">
        <f t="shared" si="41"/>
        <v>High</v>
      </c>
    </row>
    <row r="357" spans="1:29">
      <c r="A357" t="s">
        <v>1591</v>
      </c>
      <c r="B357" s="2">
        <v>45836</v>
      </c>
      <c r="C357" t="s">
        <v>1592</v>
      </c>
      <c r="D357" t="s">
        <v>561</v>
      </c>
      <c r="E357" t="s">
        <v>1593</v>
      </c>
      <c r="F357" t="s">
        <v>1594</v>
      </c>
      <c r="G357" t="s">
        <v>69</v>
      </c>
      <c r="H357" t="s">
        <v>70</v>
      </c>
      <c r="I357" t="s">
        <v>36</v>
      </c>
      <c r="J357" t="s">
        <v>62</v>
      </c>
      <c r="K357" t="s">
        <v>114</v>
      </c>
      <c r="L357" t="s">
        <v>107</v>
      </c>
      <c r="M357" t="s">
        <v>210</v>
      </c>
      <c r="N357" t="s">
        <v>134</v>
      </c>
      <c r="O357" s="3">
        <v>360000</v>
      </c>
      <c r="P357" s="4">
        <v>0</v>
      </c>
      <c r="Q357" s="2">
        <v>45906</v>
      </c>
      <c r="R357" s="2"/>
      <c r="S357" s="2">
        <v>45847</v>
      </c>
      <c r="T357" s="2">
        <v>45906</v>
      </c>
      <c r="U357" t="str">
        <f t="shared" si="35"/>
        <v>No</v>
      </c>
      <c r="V357" t="s">
        <v>452</v>
      </c>
      <c r="W35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357" t="str">
        <f t="shared" ca="1" si="36"/>
        <v>Closed</v>
      </c>
      <c r="Y357" t="str">
        <f t="shared" si="37"/>
        <v>Closed</v>
      </c>
      <c r="Z357" t="str">
        <f t="shared" si="38"/>
        <v>Jun-2025</v>
      </c>
      <c r="AA357" t="str">
        <f t="shared" si="39"/>
        <v>Q2 2025</v>
      </c>
      <c r="AB357" s="4">
        <f t="shared" ca="1" si="40"/>
        <v>363</v>
      </c>
      <c r="AC357" t="str">
        <f t="shared" si="41"/>
        <v>High</v>
      </c>
    </row>
    <row r="358" spans="1:29">
      <c r="A358" t="s">
        <v>1595</v>
      </c>
      <c r="B358" s="2">
        <v>45763</v>
      </c>
      <c r="C358" t="s">
        <v>1498</v>
      </c>
      <c r="D358" t="s">
        <v>1017</v>
      </c>
      <c r="E358" t="s">
        <v>1596</v>
      </c>
      <c r="F358" t="s">
        <v>1597</v>
      </c>
      <c r="G358" t="s">
        <v>47</v>
      </c>
      <c r="H358" t="s">
        <v>418</v>
      </c>
      <c r="I358" t="s">
        <v>98</v>
      </c>
      <c r="J358" t="s">
        <v>124</v>
      </c>
      <c r="K358" t="s">
        <v>51</v>
      </c>
      <c r="L358" t="s">
        <v>107</v>
      </c>
      <c r="M358" t="s">
        <v>40</v>
      </c>
      <c r="N358" t="s">
        <v>41</v>
      </c>
      <c r="O358" s="3">
        <v>155000</v>
      </c>
      <c r="P358" s="4">
        <v>100</v>
      </c>
      <c r="Q358" s="2">
        <v>45830</v>
      </c>
      <c r="R358" s="2"/>
      <c r="S358" s="2">
        <v>45792</v>
      </c>
      <c r="T358" s="2">
        <v>45830</v>
      </c>
      <c r="U358" t="str">
        <f t="shared" si="35"/>
        <v>Yes</v>
      </c>
      <c r="W35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358" t="str">
        <f t="shared" ca="1" si="36"/>
        <v>Closed</v>
      </c>
      <c r="Y358" t="str">
        <f t="shared" si="37"/>
        <v>Closed</v>
      </c>
      <c r="Z358" t="str">
        <f t="shared" si="38"/>
        <v>Apr-2025</v>
      </c>
      <c r="AA358" t="str">
        <f t="shared" si="39"/>
        <v>Q2 2025</v>
      </c>
      <c r="AB358" s="4">
        <f t="shared" ca="1" si="40"/>
        <v>436</v>
      </c>
      <c r="AC358" t="str">
        <f t="shared" si="41"/>
        <v>Medium</v>
      </c>
    </row>
    <row r="359" spans="1:29">
      <c r="A359" t="s">
        <v>1598</v>
      </c>
      <c r="B359" s="2">
        <v>46016</v>
      </c>
      <c r="C359" t="s">
        <v>1599</v>
      </c>
      <c r="D359" t="s">
        <v>1600</v>
      </c>
      <c r="E359" t="s">
        <v>1601</v>
      </c>
      <c r="F359" t="s">
        <v>1602</v>
      </c>
      <c r="G359" t="s">
        <v>79</v>
      </c>
      <c r="H359" t="s">
        <v>260</v>
      </c>
      <c r="I359" t="s">
        <v>141</v>
      </c>
      <c r="J359" t="s">
        <v>50</v>
      </c>
      <c r="K359" t="s">
        <v>71</v>
      </c>
      <c r="L359" t="s">
        <v>52</v>
      </c>
      <c r="M359" t="s">
        <v>166</v>
      </c>
      <c r="N359" t="s">
        <v>167</v>
      </c>
      <c r="O359" s="3">
        <v>350000</v>
      </c>
      <c r="P359" s="4">
        <v>60</v>
      </c>
      <c r="Q359" s="2">
        <v>46049</v>
      </c>
      <c r="R359" s="2">
        <v>46190</v>
      </c>
      <c r="S359" s="2">
        <v>46020</v>
      </c>
      <c r="T359" s="2"/>
      <c r="U359" t="str">
        <f t="shared" si="35"/>
        <v>No</v>
      </c>
      <c r="W3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59" t="str">
        <f t="shared" ca="1" si="36"/>
        <v>Overdue</v>
      </c>
      <c r="Y359" t="str">
        <f t="shared" si="37"/>
        <v>Open</v>
      </c>
      <c r="Z359" t="str">
        <f t="shared" si="38"/>
        <v>Dec-2025</v>
      </c>
      <c r="AA359" t="str">
        <f t="shared" si="39"/>
        <v>Q4 2025</v>
      </c>
      <c r="AB359" s="4">
        <f t="shared" ca="1" si="40"/>
        <v>183</v>
      </c>
      <c r="AC359" t="str">
        <f t="shared" si="41"/>
        <v>High</v>
      </c>
    </row>
    <row r="360" spans="1:29">
      <c r="A360" t="s">
        <v>1603</v>
      </c>
      <c r="B360" s="2">
        <v>46180</v>
      </c>
      <c r="C360" t="s">
        <v>1604</v>
      </c>
      <c r="D360" t="s">
        <v>943</v>
      </c>
      <c r="E360" t="s">
        <v>1605</v>
      </c>
      <c r="F360" t="s">
        <v>1606</v>
      </c>
      <c r="G360" t="s">
        <v>79</v>
      </c>
      <c r="H360" t="s">
        <v>97</v>
      </c>
      <c r="I360" t="s">
        <v>123</v>
      </c>
      <c r="J360" t="s">
        <v>131</v>
      </c>
      <c r="K360" t="s">
        <v>194</v>
      </c>
      <c r="L360" t="s">
        <v>81</v>
      </c>
      <c r="M360" t="s">
        <v>73</v>
      </c>
      <c r="N360" t="s">
        <v>73</v>
      </c>
      <c r="O360" s="3">
        <v>180000</v>
      </c>
      <c r="P360" s="4">
        <v>85</v>
      </c>
      <c r="Q360" s="2">
        <v>46201</v>
      </c>
      <c r="R360" s="2">
        <v>46225</v>
      </c>
      <c r="S360" s="2">
        <v>46196</v>
      </c>
      <c r="T360" s="2"/>
      <c r="U360" t="str">
        <f t="shared" si="35"/>
        <v>No</v>
      </c>
      <c r="W3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0" t="str">
        <f t="shared" ca="1" si="36"/>
        <v>Due/Open</v>
      </c>
      <c r="Y360" t="str">
        <f t="shared" si="37"/>
        <v>Open</v>
      </c>
      <c r="Z360" t="str">
        <f t="shared" si="38"/>
        <v>Jun-2026</v>
      </c>
      <c r="AA360" t="str">
        <f t="shared" si="39"/>
        <v>Q2 2026</v>
      </c>
      <c r="AB360" s="4">
        <f t="shared" ca="1" si="40"/>
        <v>19</v>
      </c>
      <c r="AC360" t="str">
        <f t="shared" si="41"/>
        <v>Medium</v>
      </c>
    </row>
    <row r="361" spans="1:29">
      <c r="A361" t="s">
        <v>1607</v>
      </c>
      <c r="B361" s="2">
        <v>45759</v>
      </c>
      <c r="C361" t="s">
        <v>1608</v>
      </c>
      <c r="D361" t="s">
        <v>110</v>
      </c>
      <c r="E361" t="s">
        <v>1609</v>
      </c>
      <c r="F361" t="s">
        <v>1610</v>
      </c>
      <c r="G361" t="s">
        <v>179</v>
      </c>
      <c r="H361" t="s">
        <v>296</v>
      </c>
      <c r="I361" t="s">
        <v>148</v>
      </c>
      <c r="J361" t="s">
        <v>37</v>
      </c>
      <c r="K361" t="s">
        <v>71</v>
      </c>
      <c r="L361" t="s">
        <v>81</v>
      </c>
      <c r="M361" t="s">
        <v>116</v>
      </c>
      <c r="N361" t="s">
        <v>54</v>
      </c>
      <c r="O361" s="3">
        <v>80000</v>
      </c>
      <c r="P361" s="4">
        <v>20</v>
      </c>
      <c r="Q361" s="2">
        <v>45845</v>
      </c>
      <c r="R361" s="2">
        <v>46199</v>
      </c>
      <c r="S361" s="2">
        <v>45761</v>
      </c>
      <c r="T361" s="2"/>
      <c r="U361" t="str">
        <f t="shared" si="35"/>
        <v>No</v>
      </c>
      <c r="W3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1" t="str">
        <f t="shared" ca="1" si="36"/>
        <v>Due/Open</v>
      </c>
      <c r="Y361" t="str">
        <f t="shared" si="37"/>
        <v>Open</v>
      </c>
      <c r="Z361" t="str">
        <f t="shared" si="38"/>
        <v>Apr-2025</v>
      </c>
      <c r="AA361" t="str">
        <f t="shared" si="39"/>
        <v>Q2 2025</v>
      </c>
      <c r="AB361" s="4">
        <f t="shared" ca="1" si="40"/>
        <v>440</v>
      </c>
      <c r="AC361" t="str">
        <f t="shared" si="41"/>
        <v>Low</v>
      </c>
    </row>
    <row r="362" spans="1:29">
      <c r="A362" t="s">
        <v>1611</v>
      </c>
      <c r="B362" s="2">
        <v>45774</v>
      </c>
      <c r="C362" t="s">
        <v>1612</v>
      </c>
      <c r="D362" t="s">
        <v>590</v>
      </c>
      <c r="E362" t="s">
        <v>1613</v>
      </c>
      <c r="F362" t="s">
        <v>1614</v>
      </c>
      <c r="G362" t="s">
        <v>34</v>
      </c>
      <c r="H362" t="s">
        <v>35</v>
      </c>
      <c r="I362" t="s">
        <v>36</v>
      </c>
      <c r="J362" t="s">
        <v>37</v>
      </c>
      <c r="K362" t="s">
        <v>51</v>
      </c>
      <c r="L362" t="s">
        <v>63</v>
      </c>
      <c r="M362" t="s">
        <v>166</v>
      </c>
      <c r="N362" t="s">
        <v>167</v>
      </c>
      <c r="O362" s="3">
        <v>95000</v>
      </c>
      <c r="P362" s="4">
        <v>70</v>
      </c>
      <c r="Q362" s="2">
        <v>45802</v>
      </c>
      <c r="R362" s="2">
        <v>46154</v>
      </c>
      <c r="S362" s="2">
        <v>45797</v>
      </c>
      <c r="T362" s="2"/>
      <c r="U362" t="str">
        <f t="shared" si="35"/>
        <v>No</v>
      </c>
      <c r="W3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2" t="str">
        <f t="shared" ca="1" si="36"/>
        <v>Overdue</v>
      </c>
      <c r="Y362" t="str">
        <f t="shared" si="37"/>
        <v>Open</v>
      </c>
      <c r="Z362" t="str">
        <f t="shared" si="38"/>
        <v>Apr-2025</v>
      </c>
      <c r="AA362" t="str">
        <f t="shared" si="39"/>
        <v>Q2 2025</v>
      </c>
      <c r="AB362" s="4">
        <f t="shared" ca="1" si="40"/>
        <v>425</v>
      </c>
      <c r="AC362" t="str">
        <f t="shared" si="41"/>
        <v>Low</v>
      </c>
    </row>
    <row r="363" spans="1:29">
      <c r="A363" t="s">
        <v>1615</v>
      </c>
      <c r="B363" s="2">
        <v>45883</v>
      </c>
      <c r="C363" t="s">
        <v>671</v>
      </c>
      <c r="D363" t="s">
        <v>986</v>
      </c>
      <c r="E363" t="s">
        <v>1616</v>
      </c>
      <c r="F363" t="s">
        <v>1617</v>
      </c>
      <c r="G363" t="s">
        <v>34</v>
      </c>
      <c r="H363" t="s">
        <v>160</v>
      </c>
      <c r="I363" t="s">
        <v>61</v>
      </c>
      <c r="J363" t="s">
        <v>37</v>
      </c>
      <c r="K363" t="s">
        <v>114</v>
      </c>
      <c r="L363" t="s">
        <v>52</v>
      </c>
      <c r="M363" t="s">
        <v>40</v>
      </c>
      <c r="N363" t="s">
        <v>41</v>
      </c>
      <c r="O363" s="3">
        <v>80000</v>
      </c>
      <c r="P363" s="4">
        <v>100</v>
      </c>
      <c r="Q363" s="2">
        <v>45964</v>
      </c>
      <c r="R363" s="2"/>
      <c r="S363" s="2">
        <v>45893</v>
      </c>
      <c r="T363" s="2">
        <v>45964</v>
      </c>
      <c r="U363" t="str">
        <f t="shared" si="35"/>
        <v>Yes</v>
      </c>
      <c r="W3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81</v>
      </c>
      <c r="X363" t="str">
        <f t="shared" ca="1" si="36"/>
        <v>Closed</v>
      </c>
      <c r="Y363" t="str">
        <f t="shared" si="37"/>
        <v>Closed</v>
      </c>
      <c r="Z363" t="str">
        <f t="shared" si="38"/>
        <v>Aug-2025</v>
      </c>
      <c r="AA363" t="str">
        <f t="shared" si="39"/>
        <v>Q3 2025</v>
      </c>
      <c r="AB363" s="4">
        <f t="shared" ca="1" si="40"/>
        <v>316</v>
      </c>
      <c r="AC363" t="str">
        <f t="shared" si="41"/>
        <v>Low</v>
      </c>
    </row>
    <row r="364" spans="1:29">
      <c r="A364" t="s">
        <v>1618</v>
      </c>
      <c r="B364" s="2">
        <v>46065</v>
      </c>
      <c r="C364" t="s">
        <v>1619</v>
      </c>
      <c r="D364" t="s">
        <v>428</v>
      </c>
      <c r="E364" t="s">
        <v>1620</v>
      </c>
      <c r="F364" t="s">
        <v>1621</v>
      </c>
      <c r="G364" t="s">
        <v>34</v>
      </c>
      <c r="H364" t="s">
        <v>35</v>
      </c>
      <c r="I364" t="s">
        <v>49</v>
      </c>
      <c r="J364" t="s">
        <v>99</v>
      </c>
      <c r="K364" t="s">
        <v>51</v>
      </c>
      <c r="L364" t="s">
        <v>63</v>
      </c>
      <c r="M364" t="s">
        <v>73</v>
      </c>
      <c r="N364" t="s">
        <v>73</v>
      </c>
      <c r="O364" s="3">
        <v>460000</v>
      </c>
      <c r="P364" s="4">
        <v>75</v>
      </c>
      <c r="Q364" s="2">
        <v>46108</v>
      </c>
      <c r="R364" s="2">
        <v>46155</v>
      </c>
      <c r="S364" s="2">
        <v>46080</v>
      </c>
      <c r="T364" s="2"/>
      <c r="U364" t="str">
        <f t="shared" si="35"/>
        <v>No</v>
      </c>
      <c r="W3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4" t="str">
        <f t="shared" ca="1" si="36"/>
        <v>Overdue</v>
      </c>
      <c r="Y364" t="str">
        <f t="shared" si="37"/>
        <v>Open</v>
      </c>
      <c r="Z364" t="str">
        <f t="shared" si="38"/>
        <v>Feb-2026</v>
      </c>
      <c r="AA364" t="str">
        <f t="shared" si="39"/>
        <v>Q1 2026</v>
      </c>
      <c r="AB364" s="4">
        <f t="shared" ca="1" si="40"/>
        <v>134</v>
      </c>
      <c r="AC364" t="str">
        <f t="shared" si="41"/>
        <v>High</v>
      </c>
    </row>
    <row r="365" spans="1:29">
      <c r="A365" t="s">
        <v>1622</v>
      </c>
      <c r="B365" s="2">
        <v>46023</v>
      </c>
      <c r="C365" t="s">
        <v>1623</v>
      </c>
      <c r="D365" t="s">
        <v>557</v>
      </c>
      <c r="E365" t="s">
        <v>1624</v>
      </c>
      <c r="F365" t="s">
        <v>1625</v>
      </c>
      <c r="G365" t="s">
        <v>34</v>
      </c>
      <c r="H365" t="s">
        <v>35</v>
      </c>
      <c r="I365" t="s">
        <v>98</v>
      </c>
      <c r="J365" t="s">
        <v>37</v>
      </c>
      <c r="K365" t="s">
        <v>71</v>
      </c>
      <c r="L365" t="s">
        <v>142</v>
      </c>
      <c r="M365" t="s">
        <v>53</v>
      </c>
      <c r="N365" t="s">
        <v>54</v>
      </c>
      <c r="O365" s="3">
        <v>50000</v>
      </c>
      <c r="P365" s="4">
        <v>25</v>
      </c>
      <c r="Q365" s="2">
        <v>46090</v>
      </c>
      <c r="R365" s="2">
        <v>46225</v>
      </c>
      <c r="S365" s="2">
        <v>46030</v>
      </c>
      <c r="T365" s="2"/>
      <c r="U365" t="str">
        <f t="shared" si="35"/>
        <v>No</v>
      </c>
      <c r="W3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5" t="str">
        <f t="shared" ca="1" si="36"/>
        <v>Due/Open</v>
      </c>
      <c r="Y365" t="str">
        <f t="shared" si="37"/>
        <v>Open</v>
      </c>
      <c r="Z365" t="str">
        <f t="shared" si="38"/>
        <v>Jan-2026</v>
      </c>
      <c r="AA365" t="str">
        <f t="shared" si="39"/>
        <v>Q1 2026</v>
      </c>
      <c r="AB365" s="4">
        <f t="shared" ca="1" si="40"/>
        <v>176</v>
      </c>
      <c r="AC365" t="str">
        <f t="shared" si="41"/>
        <v>Low</v>
      </c>
    </row>
    <row r="366" spans="1:29">
      <c r="A366" t="s">
        <v>1626</v>
      </c>
      <c r="B366" s="2">
        <v>45730</v>
      </c>
      <c r="C366" t="s">
        <v>876</v>
      </c>
      <c r="D366" t="s">
        <v>1043</v>
      </c>
      <c r="E366" t="s">
        <v>1627</v>
      </c>
      <c r="F366" t="s">
        <v>1628</v>
      </c>
      <c r="G366" t="s">
        <v>47</v>
      </c>
      <c r="H366" t="s">
        <v>418</v>
      </c>
      <c r="I366" t="s">
        <v>61</v>
      </c>
      <c r="J366" t="s">
        <v>124</v>
      </c>
      <c r="K366" t="s">
        <v>194</v>
      </c>
      <c r="L366" t="s">
        <v>63</v>
      </c>
      <c r="M366" t="s">
        <v>82</v>
      </c>
      <c r="N366" t="s">
        <v>83</v>
      </c>
      <c r="O366" s="3">
        <v>115000</v>
      </c>
      <c r="P366" s="4">
        <v>5</v>
      </c>
      <c r="Q366" s="2">
        <v>45824</v>
      </c>
      <c r="R366" s="2">
        <v>46241</v>
      </c>
      <c r="S366" s="2">
        <v>45734</v>
      </c>
      <c r="T366" s="2"/>
      <c r="U366" t="str">
        <f t="shared" si="35"/>
        <v>No</v>
      </c>
      <c r="W3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6" t="str">
        <f t="shared" ca="1" si="36"/>
        <v>Due/Open</v>
      </c>
      <c r="Y366" t="str">
        <f t="shared" si="37"/>
        <v>Open</v>
      </c>
      <c r="Z366" t="str">
        <f t="shared" si="38"/>
        <v>Mar-2025</v>
      </c>
      <c r="AA366" t="str">
        <f t="shared" si="39"/>
        <v>Q1 2025</v>
      </c>
      <c r="AB366" s="4">
        <f t="shared" ca="1" si="40"/>
        <v>469</v>
      </c>
      <c r="AC366" t="str">
        <f t="shared" si="41"/>
        <v>Low</v>
      </c>
    </row>
    <row r="367" spans="1:29">
      <c r="A367" t="s">
        <v>1629</v>
      </c>
      <c r="B367" s="2">
        <v>46085</v>
      </c>
      <c r="C367" t="s">
        <v>1630</v>
      </c>
      <c r="D367" t="s">
        <v>1600</v>
      </c>
      <c r="E367" t="s">
        <v>1631</v>
      </c>
      <c r="F367" t="s">
        <v>1632</v>
      </c>
      <c r="G367" t="s">
        <v>47</v>
      </c>
      <c r="H367" t="s">
        <v>48</v>
      </c>
      <c r="I367" t="s">
        <v>49</v>
      </c>
      <c r="J367" t="s">
        <v>131</v>
      </c>
      <c r="K367" t="s">
        <v>194</v>
      </c>
      <c r="L367" t="s">
        <v>63</v>
      </c>
      <c r="M367" t="s">
        <v>40</v>
      </c>
      <c r="N367" t="s">
        <v>41</v>
      </c>
      <c r="O367" s="3">
        <v>105000</v>
      </c>
      <c r="P367" s="4">
        <v>100</v>
      </c>
      <c r="Q367" s="2">
        <v>46135</v>
      </c>
      <c r="R367" s="2"/>
      <c r="S367" s="2">
        <v>46093</v>
      </c>
      <c r="T367" s="2">
        <v>46135</v>
      </c>
      <c r="U367" t="str">
        <f t="shared" si="35"/>
        <v>Yes</v>
      </c>
      <c r="W36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367" t="str">
        <f t="shared" ca="1" si="36"/>
        <v>Closed</v>
      </c>
      <c r="Y367" t="str">
        <f t="shared" si="37"/>
        <v>Closed</v>
      </c>
      <c r="Z367" t="str">
        <f t="shared" si="38"/>
        <v>Mar-2026</v>
      </c>
      <c r="AA367" t="str">
        <f t="shared" si="39"/>
        <v>Q1 2026</v>
      </c>
      <c r="AB367" s="4">
        <f t="shared" ca="1" si="40"/>
        <v>114</v>
      </c>
      <c r="AC367" t="str">
        <f t="shared" si="41"/>
        <v>Low</v>
      </c>
    </row>
    <row r="368" spans="1:29">
      <c r="A368" t="s">
        <v>1633</v>
      </c>
      <c r="B368" s="2">
        <v>46010</v>
      </c>
      <c r="C368" t="s">
        <v>454</v>
      </c>
      <c r="D368" t="s">
        <v>1052</v>
      </c>
      <c r="E368" t="s">
        <v>1634</v>
      </c>
      <c r="F368" t="s">
        <v>1635</v>
      </c>
      <c r="G368" t="s">
        <v>34</v>
      </c>
      <c r="H368" t="s">
        <v>35</v>
      </c>
      <c r="I368" t="s">
        <v>187</v>
      </c>
      <c r="J368" t="s">
        <v>99</v>
      </c>
      <c r="K368" t="s">
        <v>38</v>
      </c>
      <c r="L368" t="s">
        <v>81</v>
      </c>
      <c r="M368" t="s">
        <v>133</v>
      </c>
      <c r="N368" t="s">
        <v>134</v>
      </c>
      <c r="O368" s="3">
        <v>315000</v>
      </c>
      <c r="P368" s="4">
        <v>0</v>
      </c>
      <c r="Q368" s="2">
        <v>46035</v>
      </c>
      <c r="R368" s="2"/>
      <c r="S368" s="2">
        <v>46013</v>
      </c>
      <c r="T368" s="2">
        <v>46035</v>
      </c>
      <c r="U368" t="str">
        <f t="shared" si="35"/>
        <v>No</v>
      </c>
      <c r="V368" t="s">
        <v>276</v>
      </c>
      <c r="W3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368" t="str">
        <f t="shared" ca="1" si="36"/>
        <v>Closed</v>
      </c>
      <c r="Y368" t="str">
        <f t="shared" si="37"/>
        <v>Closed</v>
      </c>
      <c r="Z368" t="str">
        <f t="shared" si="38"/>
        <v>Dec-2025</v>
      </c>
      <c r="AA368" t="str">
        <f t="shared" si="39"/>
        <v>Q4 2025</v>
      </c>
      <c r="AB368" s="4">
        <f t="shared" ca="1" si="40"/>
        <v>189</v>
      </c>
      <c r="AC368" t="str">
        <f t="shared" si="41"/>
        <v>High</v>
      </c>
    </row>
    <row r="369" spans="1:29">
      <c r="A369" t="s">
        <v>1636</v>
      </c>
      <c r="B369" s="2">
        <v>46179</v>
      </c>
      <c r="C369" t="s">
        <v>1637</v>
      </c>
      <c r="D369" t="s">
        <v>684</v>
      </c>
      <c r="E369" t="s">
        <v>1638</v>
      </c>
      <c r="F369" t="s">
        <v>1639</v>
      </c>
      <c r="G369" t="s">
        <v>34</v>
      </c>
      <c r="H369" t="s">
        <v>173</v>
      </c>
      <c r="I369" t="s">
        <v>141</v>
      </c>
      <c r="J369" t="s">
        <v>99</v>
      </c>
      <c r="K369" t="s">
        <v>51</v>
      </c>
      <c r="L369" t="s">
        <v>81</v>
      </c>
      <c r="M369" t="s">
        <v>53</v>
      </c>
      <c r="N369" t="s">
        <v>54</v>
      </c>
      <c r="O369" s="3">
        <v>300000</v>
      </c>
      <c r="P369" s="4">
        <v>25</v>
      </c>
      <c r="Q369" s="2">
        <v>46241</v>
      </c>
      <c r="R369" s="2">
        <v>46228</v>
      </c>
      <c r="S369" s="2">
        <v>46190</v>
      </c>
      <c r="T369" s="2"/>
      <c r="U369" t="str">
        <f t="shared" si="35"/>
        <v>No</v>
      </c>
      <c r="W3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69" t="str">
        <f t="shared" ca="1" si="36"/>
        <v>Due/Open</v>
      </c>
      <c r="Y369" t="str">
        <f t="shared" si="37"/>
        <v>Open</v>
      </c>
      <c r="Z369" t="str">
        <f t="shared" si="38"/>
        <v>Jun-2026</v>
      </c>
      <c r="AA369" t="str">
        <f t="shared" si="39"/>
        <v>Q2 2026</v>
      </c>
      <c r="AB369" s="4">
        <f t="shared" ca="1" si="40"/>
        <v>20</v>
      </c>
      <c r="AC369" t="str">
        <f t="shared" si="41"/>
        <v>High</v>
      </c>
    </row>
    <row r="370" spans="1:29">
      <c r="A370" t="s">
        <v>1640</v>
      </c>
      <c r="B370" s="2">
        <v>45929</v>
      </c>
      <c r="C370" t="s">
        <v>1261</v>
      </c>
      <c r="D370" t="s">
        <v>484</v>
      </c>
      <c r="E370" t="s">
        <v>1641</v>
      </c>
      <c r="F370" t="s">
        <v>1642</v>
      </c>
      <c r="G370" t="s">
        <v>79</v>
      </c>
      <c r="H370" t="s">
        <v>228</v>
      </c>
      <c r="I370" t="s">
        <v>98</v>
      </c>
      <c r="J370" t="s">
        <v>50</v>
      </c>
      <c r="K370" t="s">
        <v>51</v>
      </c>
      <c r="L370" t="s">
        <v>154</v>
      </c>
      <c r="M370" t="s">
        <v>116</v>
      </c>
      <c r="N370" t="s">
        <v>54</v>
      </c>
      <c r="O370" s="3">
        <v>395000</v>
      </c>
      <c r="P370" s="4">
        <v>25</v>
      </c>
      <c r="Q370" s="2">
        <v>45960</v>
      </c>
      <c r="R370" s="2">
        <v>46234</v>
      </c>
      <c r="S370" s="2">
        <v>45939</v>
      </c>
      <c r="T370" s="2"/>
      <c r="U370" t="str">
        <f t="shared" si="35"/>
        <v>No</v>
      </c>
      <c r="W3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0" t="str">
        <f t="shared" ca="1" si="36"/>
        <v>Due/Open</v>
      </c>
      <c r="Y370" t="str">
        <f t="shared" si="37"/>
        <v>Open</v>
      </c>
      <c r="Z370" t="str">
        <f t="shared" si="38"/>
        <v>Sep-2025</v>
      </c>
      <c r="AA370" t="str">
        <f t="shared" si="39"/>
        <v>Q3 2025</v>
      </c>
      <c r="AB370" s="4">
        <f t="shared" ca="1" si="40"/>
        <v>270</v>
      </c>
      <c r="AC370" t="str">
        <f t="shared" si="41"/>
        <v>High</v>
      </c>
    </row>
    <row r="371" spans="1:29">
      <c r="A371" t="s">
        <v>1643</v>
      </c>
      <c r="B371" s="2">
        <v>46091</v>
      </c>
      <c r="C371" t="s">
        <v>1644</v>
      </c>
      <c r="D371" t="s">
        <v>1404</v>
      </c>
      <c r="E371" t="s">
        <v>1645</v>
      </c>
      <c r="F371" t="s">
        <v>1646</v>
      </c>
      <c r="G371" t="s">
        <v>69</v>
      </c>
      <c r="H371" t="s">
        <v>70</v>
      </c>
      <c r="I371" t="s">
        <v>123</v>
      </c>
      <c r="J371" t="s">
        <v>131</v>
      </c>
      <c r="K371" t="s">
        <v>114</v>
      </c>
      <c r="L371" t="s">
        <v>142</v>
      </c>
      <c r="M371" t="s">
        <v>82</v>
      </c>
      <c r="N371" t="s">
        <v>83</v>
      </c>
      <c r="O371" s="3">
        <v>170000</v>
      </c>
      <c r="P371" s="4">
        <v>10</v>
      </c>
      <c r="Q371" s="2">
        <v>46148</v>
      </c>
      <c r="R371" s="2">
        <v>46230</v>
      </c>
      <c r="S371" s="2">
        <v>46105</v>
      </c>
      <c r="T371" s="2"/>
      <c r="U371" t="str">
        <f t="shared" si="35"/>
        <v>No</v>
      </c>
      <c r="W3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1" t="str">
        <f t="shared" ca="1" si="36"/>
        <v>Due/Open</v>
      </c>
      <c r="Y371" t="str">
        <f t="shared" si="37"/>
        <v>Open</v>
      </c>
      <c r="Z371" t="str">
        <f t="shared" si="38"/>
        <v>Mar-2026</v>
      </c>
      <c r="AA371" t="str">
        <f t="shared" si="39"/>
        <v>Q1 2026</v>
      </c>
      <c r="AB371" s="4">
        <f t="shared" ca="1" si="40"/>
        <v>108</v>
      </c>
      <c r="AC371" t="str">
        <f t="shared" si="41"/>
        <v>Medium</v>
      </c>
    </row>
    <row r="372" spans="1:29">
      <c r="A372" t="s">
        <v>1647</v>
      </c>
      <c r="B372" s="2">
        <v>46024</v>
      </c>
      <c r="C372" t="s">
        <v>1444</v>
      </c>
      <c r="D372" t="s">
        <v>484</v>
      </c>
      <c r="E372" t="s">
        <v>1648</v>
      </c>
      <c r="F372" t="s">
        <v>1649</v>
      </c>
      <c r="G372" t="s">
        <v>79</v>
      </c>
      <c r="H372" t="s">
        <v>97</v>
      </c>
      <c r="I372" t="s">
        <v>141</v>
      </c>
      <c r="J372" t="s">
        <v>124</v>
      </c>
      <c r="K372" t="s">
        <v>38</v>
      </c>
      <c r="L372" t="s">
        <v>39</v>
      </c>
      <c r="M372" t="s">
        <v>166</v>
      </c>
      <c r="N372" t="s">
        <v>167</v>
      </c>
      <c r="O372" s="3">
        <v>300000</v>
      </c>
      <c r="P372" s="4">
        <v>60</v>
      </c>
      <c r="Q372" s="2">
        <v>46110</v>
      </c>
      <c r="R372" s="2">
        <v>46161</v>
      </c>
      <c r="S372" s="2">
        <v>46054</v>
      </c>
      <c r="T372" s="2"/>
      <c r="U372" t="str">
        <f t="shared" si="35"/>
        <v>No</v>
      </c>
      <c r="W3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2" t="str">
        <f t="shared" ca="1" si="36"/>
        <v>Overdue</v>
      </c>
      <c r="Y372" t="str">
        <f t="shared" si="37"/>
        <v>Open</v>
      </c>
      <c r="Z372" t="str">
        <f t="shared" si="38"/>
        <v>Jan-2026</v>
      </c>
      <c r="AA372" t="str">
        <f t="shared" si="39"/>
        <v>Q1 2026</v>
      </c>
      <c r="AB372" s="4">
        <f t="shared" ca="1" si="40"/>
        <v>175</v>
      </c>
      <c r="AC372" t="str">
        <f t="shared" si="41"/>
        <v>High</v>
      </c>
    </row>
    <row r="373" spans="1:29">
      <c r="A373" t="s">
        <v>1650</v>
      </c>
      <c r="B373" s="2">
        <v>45988</v>
      </c>
      <c r="C373" t="s">
        <v>1651</v>
      </c>
      <c r="D373" t="s">
        <v>366</v>
      </c>
      <c r="E373" t="s">
        <v>1652</v>
      </c>
      <c r="F373" t="s">
        <v>1653</v>
      </c>
      <c r="G373" t="s">
        <v>69</v>
      </c>
      <c r="H373" t="s">
        <v>70</v>
      </c>
      <c r="I373" t="s">
        <v>49</v>
      </c>
      <c r="J373" t="s">
        <v>131</v>
      </c>
      <c r="K373" t="s">
        <v>51</v>
      </c>
      <c r="L373" t="s">
        <v>154</v>
      </c>
      <c r="M373" t="s">
        <v>53</v>
      </c>
      <c r="N373" t="s">
        <v>54</v>
      </c>
      <c r="O373" s="3">
        <v>225000</v>
      </c>
      <c r="P373" s="4">
        <v>35</v>
      </c>
      <c r="Q373" s="2">
        <v>46069</v>
      </c>
      <c r="R373" s="2">
        <v>46208</v>
      </c>
      <c r="S373" s="2">
        <v>45992</v>
      </c>
      <c r="T373" s="2"/>
      <c r="U373" t="str">
        <f t="shared" si="35"/>
        <v>No</v>
      </c>
      <c r="W3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3" t="str">
        <f t="shared" ca="1" si="36"/>
        <v>Due/Open</v>
      </c>
      <c r="Y373" t="str">
        <f t="shared" si="37"/>
        <v>Open</v>
      </c>
      <c r="Z373" t="str">
        <f t="shared" si="38"/>
        <v>Nov-2025</v>
      </c>
      <c r="AA373" t="str">
        <f t="shared" si="39"/>
        <v>Q4 2025</v>
      </c>
      <c r="AB373" s="4">
        <f t="shared" ca="1" si="40"/>
        <v>211</v>
      </c>
      <c r="AC373" t="str">
        <f t="shared" si="41"/>
        <v>Medium</v>
      </c>
    </row>
    <row r="374" spans="1:29">
      <c r="A374" t="s">
        <v>1654</v>
      </c>
      <c r="B374" s="2">
        <v>45758</v>
      </c>
      <c r="C374" t="s">
        <v>1273</v>
      </c>
      <c r="D374" t="s">
        <v>640</v>
      </c>
      <c r="E374" t="s">
        <v>1655</v>
      </c>
      <c r="F374" t="s">
        <v>1656</v>
      </c>
      <c r="G374" t="s">
        <v>69</v>
      </c>
      <c r="H374" t="s">
        <v>70</v>
      </c>
      <c r="I374" t="s">
        <v>49</v>
      </c>
      <c r="J374" t="s">
        <v>124</v>
      </c>
      <c r="K374" t="s">
        <v>100</v>
      </c>
      <c r="L374" t="s">
        <v>239</v>
      </c>
      <c r="M374" t="s">
        <v>40</v>
      </c>
      <c r="N374" t="s">
        <v>41</v>
      </c>
      <c r="O374" s="3">
        <v>300000</v>
      </c>
      <c r="P374" s="4">
        <v>100</v>
      </c>
      <c r="Q374" s="2">
        <v>45841</v>
      </c>
      <c r="R374" s="2"/>
      <c r="S374" s="2">
        <v>45772</v>
      </c>
      <c r="T374" s="2">
        <v>45841</v>
      </c>
      <c r="U374" t="str">
        <f t="shared" si="35"/>
        <v>Yes</v>
      </c>
      <c r="W37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374" t="str">
        <f t="shared" ca="1" si="36"/>
        <v>Closed</v>
      </c>
      <c r="Y374" t="str">
        <f t="shared" si="37"/>
        <v>Closed</v>
      </c>
      <c r="Z374" t="str">
        <f t="shared" si="38"/>
        <v>Apr-2025</v>
      </c>
      <c r="AA374" t="str">
        <f t="shared" si="39"/>
        <v>Q2 2025</v>
      </c>
      <c r="AB374" s="4">
        <f t="shared" ca="1" si="40"/>
        <v>441</v>
      </c>
      <c r="AC374" t="str">
        <f t="shared" si="41"/>
        <v>High</v>
      </c>
    </row>
    <row r="375" spans="1:29">
      <c r="A375" t="s">
        <v>1657</v>
      </c>
      <c r="B375" s="2">
        <v>45806</v>
      </c>
      <c r="C375" t="s">
        <v>1658</v>
      </c>
      <c r="D375" t="s">
        <v>207</v>
      </c>
      <c r="E375" t="s">
        <v>1659</v>
      </c>
      <c r="F375" t="s">
        <v>1660</v>
      </c>
      <c r="G375" t="s">
        <v>79</v>
      </c>
      <c r="H375" t="s">
        <v>106</v>
      </c>
      <c r="I375" t="s">
        <v>98</v>
      </c>
      <c r="J375" t="s">
        <v>131</v>
      </c>
      <c r="K375" t="s">
        <v>38</v>
      </c>
      <c r="L375" t="s">
        <v>142</v>
      </c>
      <c r="M375" t="s">
        <v>40</v>
      </c>
      <c r="N375" t="s">
        <v>41</v>
      </c>
      <c r="O375" s="3">
        <v>325000</v>
      </c>
      <c r="P375" s="4">
        <v>100</v>
      </c>
      <c r="Q375" s="2">
        <v>45817</v>
      </c>
      <c r="R375" s="2"/>
      <c r="S375" s="2">
        <v>45815</v>
      </c>
      <c r="T375" s="2">
        <v>45817</v>
      </c>
      <c r="U375" t="str">
        <f t="shared" si="35"/>
        <v>Yes</v>
      </c>
      <c r="W37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375" t="str">
        <f t="shared" ca="1" si="36"/>
        <v>Closed</v>
      </c>
      <c r="Y375" t="str">
        <f t="shared" si="37"/>
        <v>Closed</v>
      </c>
      <c r="Z375" t="str">
        <f t="shared" si="38"/>
        <v>May-2025</v>
      </c>
      <c r="AA375" t="str">
        <f t="shared" si="39"/>
        <v>Q2 2025</v>
      </c>
      <c r="AB375" s="4">
        <f t="shared" ca="1" si="40"/>
        <v>393</v>
      </c>
      <c r="AC375" t="str">
        <f t="shared" si="41"/>
        <v>High</v>
      </c>
    </row>
    <row r="376" spans="1:29">
      <c r="A376" t="s">
        <v>1661</v>
      </c>
      <c r="B376" s="2">
        <v>45829</v>
      </c>
      <c r="C376" t="s">
        <v>921</v>
      </c>
      <c r="D376" t="s">
        <v>1662</v>
      </c>
      <c r="E376" t="s">
        <v>1663</v>
      </c>
      <c r="F376" t="s">
        <v>1664</v>
      </c>
      <c r="G376" t="s">
        <v>34</v>
      </c>
      <c r="H376" t="s">
        <v>238</v>
      </c>
      <c r="I376" t="s">
        <v>141</v>
      </c>
      <c r="J376" t="s">
        <v>99</v>
      </c>
      <c r="K376" t="s">
        <v>114</v>
      </c>
      <c r="L376" t="s">
        <v>115</v>
      </c>
      <c r="M376" t="s">
        <v>73</v>
      </c>
      <c r="N376" t="s">
        <v>73</v>
      </c>
      <c r="O376" s="3">
        <v>495000</v>
      </c>
      <c r="P376" s="4">
        <v>75</v>
      </c>
      <c r="Q376" s="2">
        <v>45857</v>
      </c>
      <c r="R376" s="2">
        <v>46238</v>
      </c>
      <c r="S376" s="2">
        <v>45845</v>
      </c>
      <c r="T376" s="2"/>
      <c r="U376" t="str">
        <f t="shared" si="35"/>
        <v>No</v>
      </c>
      <c r="W3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6" t="str">
        <f t="shared" ca="1" si="36"/>
        <v>Due/Open</v>
      </c>
      <c r="Y376" t="str">
        <f t="shared" si="37"/>
        <v>Open</v>
      </c>
      <c r="Z376" t="str">
        <f t="shared" si="38"/>
        <v>Jun-2025</v>
      </c>
      <c r="AA376" t="str">
        <f t="shared" si="39"/>
        <v>Q2 2025</v>
      </c>
      <c r="AB376" s="4">
        <f t="shared" ca="1" si="40"/>
        <v>370</v>
      </c>
      <c r="AC376" t="str">
        <f t="shared" si="41"/>
        <v>High</v>
      </c>
    </row>
    <row r="377" spans="1:29">
      <c r="A377" t="s">
        <v>1665</v>
      </c>
      <c r="B377" s="2">
        <v>45762</v>
      </c>
      <c r="C377" t="s">
        <v>85</v>
      </c>
      <c r="D377" t="s">
        <v>517</v>
      </c>
      <c r="E377" t="s">
        <v>1666</v>
      </c>
      <c r="F377" t="s">
        <v>1667</v>
      </c>
      <c r="G377" t="s">
        <v>34</v>
      </c>
      <c r="H377" t="s">
        <v>173</v>
      </c>
      <c r="I377" t="s">
        <v>49</v>
      </c>
      <c r="J377" t="s">
        <v>99</v>
      </c>
      <c r="K377" t="s">
        <v>194</v>
      </c>
      <c r="L377" t="s">
        <v>125</v>
      </c>
      <c r="M377" t="s">
        <v>53</v>
      </c>
      <c r="N377" t="s">
        <v>54</v>
      </c>
      <c r="O377" s="3">
        <v>220000</v>
      </c>
      <c r="P377" s="4">
        <v>35</v>
      </c>
      <c r="Q377" s="2">
        <v>45810</v>
      </c>
      <c r="R377" s="2">
        <v>46199</v>
      </c>
      <c r="S377" s="2">
        <v>45777</v>
      </c>
      <c r="T377" s="2"/>
      <c r="U377" t="str">
        <f t="shared" si="35"/>
        <v>No</v>
      </c>
      <c r="W3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7" t="str">
        <f t="shared" ca="1" si="36"/>
        <v>Due/Open</v>
      </c>
      <c r="Y377" t="str">
        <f t="shared" si="37"/>
        <v>Open</v>
      </c>
      <c r="Z377" t="str">
        <f t="shared" si="38"/>
        <v>Apr-2025</v>
      </c>
      <c r="AA377" t="str">
        <f t="shared" si="39"/>
        <v>Q2 2025</v>
      </c>
      <c r="AB377" s="4">
        <f t="shared" ca="1" si="40"/>
        <v>437</v>
      </c>
      <c r="AC377" t="str">
        <f t="shared" si="41"/>
        <v>Medium</v>
      </c>
    </row>
    <row r="378" spans="1:29">
      <c r="A378" t="s">
        <v>1668</v>
      </c>
      <c r="B378" s="2">
        <v>45766</v>
      </c>
      <c r="C378" t="s">
        <v>801</v>
      </c>
      <c r="D378" t="s">
        <v>1093</v>
      </c>
      <c r="E378" t="s">
        <v>1669</v>
      </c>
      <c r="F378" t="s">
        <v>1670</v>
      </c>
      <c r="G378" t="s">
        <v>47</v>
      </c>
      <c r="H378" t="s">
        <v>493</v>
      </c>
      <c r="I378" t="s">
        <v>36</v>
      </c>
      <c r="J378" t="s">
        <v>99</v>
      </c>
      <c r="K378" t="s">
        <v>71</v>
      </c>
      <c r="L378" t="s">
        <v>132</v>
      </c>
      <c r="M378" t="s">
        <v>73</v>
      </c>
      <c r="N378" t="s">
        <v>73</v>
      </c>
      <c r="O378" s="3">
        <v>200000</v>
      </c>
      <c r="P378" s="4">
        <v>85</v>
      </c>
      <c r="Q378" s="2">
        <v>45801</v>
      </c>
      <c r="R378" s="2">
        <v>46187</v>
      </c>
      <c r="S378" s="2">
        <v>45780</v>
      </c>
      <c r="T378" s="2"/>
      <c r="U378" t="str">
        <f t="shared" si="35"/>
        <v>No</v>
      </c>
      <c r="W3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8" t="str">
        <f t="shared" ca="1" si="36"/>
        <v>Overdue</v>
      </c>
      <c r="Y378" t="str">
        <f t="shared" si="37"/>
        <v>Open</v>
      </c>
      <c r="Z378" t="str">
        <f t="shared" si="38"/>
        <v>Apr-2025</v>
      </c>
      <c r="AA378" t="str">
        <f t="shared" si="39"/>
        <v>Q2 2025</v>
      </c>
      <c r="AB378" s="4">
        <f t="shared" ca="1" si="40"/>
        <v>433</v>
      </c>
      <c r="AC378" t="str">
        <f t="shared" si="41"/>
        <v>Medium</v>
      </c>
    </row>
    <row r="379" spans="1:29">
      <c r="A379" t="s">
        <v>1671</v>
      </c>
      <c r="B379" s="2">
        <v>45969</v>
      </c>
      <c r="C379" t="s">
        <v>1672</v>
      </c>
      <c r="D379" t="s">
        <v>1132</v>
      </c>
      <c r="E379" t="s">
        <v>1673</v>
      </c>
      <c r="F379" t="s">
        <v>1674</v>
      </c>
      <c r="G379" t="s">
        <v>47</v>
      </c>
      <c r="H379" t="s">
        <v>122</v>
      </c>
      <c r="I379" t="s">
        <v>141</v>
      </c>
      <c r="J379" t="s">
        <v>37</v>
      </c>
      <c r="K379" t="s">
        <v>38</v>
      </c>
      <c r="L379" t="s">
        <v>81</v>
      </c>
      <c r="M379" t="s">
        <v>53</v>
      </c>
      <c r="N379" t="s">
        <v>54</v>
      </c>
      <c r="O379" s="3">
        <v>180000</v>
      </c>
      <c r="P379" s="4">
        <v>25</v>
      </c>
      <c r="Q379" s="2">
        <v>45992</v>
      </c>
      <c r="R379" s="2">
        <v>46218</v>
      </c>
      <c r="S379" s="2">
        <v>45982</v>
      </c>
      <c r="T379" s="2"/>
      <c r="U379" t="str">
        <f t="shared" si="35"/>
        <v>No</v>
      </c>
      <c r="W3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79" t="str">
        <f t="shared" ca="1" si="36"/>
        <v>Due/Open</v>
      </c>
      <c r="Y379" t="str">
        <f t="shared" si="37"/>
        <v>Open</v>
      </c>
      <c r="Z379" t="str">
        <f t="shared" si="38"/>
        <v>Nov-2025</v>
      </c>
      <c r="AA379" t="str">
        <f t="shared" si="39"/>
        <v>Q4 2025</v>
      </c>
      <c r="AB379" s="4">
        <f t="shared" ca="1" si="40"/>
        <v>230</v>
      </c>
      <c r="AC379" t="str">
        <f t="shared" si="41"/>
        <v>Medium</v>
      </c>
    </row>
    <row r="380" spans="1:29">
      <c r="A380" t="s">
        <v>1675</v>
      </c>
      <c r="B380" s="2">
        <v>45702</v>
      </c>
      <c r="C380" t="s">
        <v>913</v>
      </c>
      <c r="D380" t="s">
        <v>517</v>
      </c>
      <c r="E380" t="s">
        <v>1676</v>
      </c>
      <c r="F380" t="s">
        <v>1677</v>
      </c>
      <c r="G380" t="s">
        <v>34</v>
      </c>
      <c r="H380" t="s">
        <v>35</v>
      </c>
      <c r="I380" t="s">
        <v>36</v>
      </c>
      <c r="J380" t="s">
        <v>37</v>
      </c>
      <c r="K380" t="s">
        <v>71</v>
      </c>
      <c r="L380" t="s">
        <v>72</v>
      </c>
      <c r="M380" t="s">
        <v>53</v>
      </c>
      <c r="N380" t="s">
        <v>54</v>
      </c>
      <c r="O380" s="3">
        <v>55000</v>
      </c>
      <c r="P380" s="4">
        <v>25</v>
      </c>
      <c r="Q380" s="2">
        <v>45780</v>
      </c>
      <c r="R380" s="2">
        <v>46168</v>
      </c>
      <c r="S380" s="2">
        <v>45732</v>
      </c>
      <c r="T380" s="2"/>
      <c r="U380" t="str">
        <f t="shared" si="35"/>
        <v>No</v>
      </c>
      <c r="W3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0" t="str">
        <f t="shared" ca="1" si="36"/>
        <v>Overdue</v>
      </c>
      <c r="Y380" t="str">
        <f t="shared" si="37"/>
        <v>Open</v>
      </c>
      <c r="Z380" t="str">
        <f t="shared" si="38"/>
        <v>Feb-2025</v>
      </c>
      <c r="AA380" t="str">
        <f t="shared" si="39"/>
        <v>Q1 2025</v>
      </c>
      <c r="AB380" s="4">
        <f t="shared" ca="1" si="40"/>
        <v>497</v>
      </c>
      <c r="AC380" t="str">
        <f t="shared" si="41"/>
        <v>Low</v>
      </c>
    </row>
    <row r="381" spans="1:29">
      <c r="A381" t="s">
        <v>1678</v>
      </c>
      <c r="B381" s="2">
        <v>46045</v>
      </c>
      <c r="C381" t="s">
        <v>246</v>
      </c>
      <c r="D381" t="s">
        <v>914</v>
      </c>
      <c r="E381" t="s">
        <v>1679</v>
      </c>
      <c r="F381" t="s">
        <v>1680</v>
      </c>
      <c r="G381" t="s">
        <v>179</v>
      </c>
      <c r="H381" t="s">
        <v>318</v>
      </c>
      <c r="I381" t="s">
        <v>36</v>
      </c>
      <c r="J381" t="s">
        <v>37</v>
      </c>
      <c r="K381" t="s">
        <v>38</v>
      </c>
      <c r="L381" t="s">
        <v>154</v>
      </c>
      <c r="M381" t="s">
        <v>53</v>
      </c>
      <c r="N381" t="s">
        <v>54</v>
      </c>
      <c r="O381" s="3">
        <v>55000</v>
      </c>
      <c r="P381" s="4">
        <v>25</v>
      </c>
      <c r="Q381" s="2">
        <v>46092</v>
      </c>
      <c r="R381" s="2">
        <v>46230</v>
      </c>
      <c r="S381" s="2">
        <v>46073</v>
      </c>
      <c r="T381" s="2"/>
      <c r="U381" t="str">
        <f t="shared" si="35"/>
        <v>No</v>
      </c>
      <c r="W3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1" t="str">
        <f t="shared" ca="1" si="36"/>
        <v>Due/Open</v>
      </c>
      <c r="Y381" t="str">
        <f t="shared" si="37"/>
        <v>Open</v>
      </c>
      <c r="Z381" t="str">
        <f t="shared" si="38"/>
        <v>Jan-2026</v>
      </c>
      <c r="AA381" t="str">
        <f t="shared" si="39"/>
        <v>Q1 2026</v>
      </c>
      <c r="AB381" s="4">
        <f t="shared" ca="1" si="40"/>
        <v>154</v>
      </c>
      <c r="AC381" t="str">
        <f t="shared" si="41"/>
        <v>Low</v>
      </c>
    </row>
    <row r="382" spans="1:29">
      <c r="A382" t="s">
        <v>1681</v>
      </c>
      <c r="B382" s="2">
        <v>46037</v>
      </c>
      <c r="C382" t="s">
        <v>1682</v>
      </c>
      <c r="D382" t="s">
        <v>1683</v>
      </c>
      <c r="E382" t="s">
        <v>1684</v>
      </c>
      <c r="F382" t="s">
        <v>1685</v>
      </c>
      <c r="G382" t="s">
        <v>179</v>
      </c>
      <c r="H382" t="s">
        <v>436</v>
      </c>
      <c r="I382" t="s">
        <v>98</v>
      </c>
      <c r="J382" t="s">
        <v>62</v>
      </c>
      <c r="K382" t="s">
        <v>100</v>
      </c>
      <c r="L382" t="s">
        <v>125</v>
      </c>
      <c r="M382" t="s">
        <v>90</v>
      </c>
      <c r="N382" t="s">
        <v>91</v>
      </c>
      <c r="O382" s="3">
        <v>130000</v>
      </c>
      <c r="P382" s="4">
        <v>50</v>
      </c>
      <c r="Q382" s="2">
        <v>46118</v>
      </c>
      <c r="R382" s="2">
        <v>46242</v>
      </c>
      <c r="S382" s="2">
        <v>46066</v>
      </c>
      <c r="T382" s="2"/>
      <c r="U382" t="str">
        <f t="shared" si="35"/>
        <v>No</v>
      </c>
      <c r="W3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2" t="str">
        <f t="shared" ca="1" si="36"/>
        <v>Due/Open</v>
      </c>
      <c r="Y382" t="str">
        <f t="shared" si="37"/>
        <v>Open</v>
      </c>
      <c r="Z382" t="str">
        <f t="shared" si="38"/>
        <v>Jan-2026</v>
      </c>
      <c r="AA382" t="str">
        <f t="shared" si="39"/>
        <v>Q1 2026</v>
      </c>
      <c r="AB382" s="4">
        <f t="shared" ca="1" si="40"/>
        <v>162</v>
      </c>
      <c r="AC382" t="str">
        <f t="shared" si="41"/>
        <v>Medium</v>
      </c>
    </row>
    <row r="383" spans="1:29">
      <c r="A383" t="s">
        <v>1686</v>
      </c>
      <c r="B383" s="2">
        <v>45786</v>
      </c>
      <c r="C383" t="s">
        <v>1672</v>
      </c>
      <c r="D383" t="s">
        <v>1118</v>
      </c>
      <c r="E383" t="s">
        <v>1687</v>
      </c>
      <c r="F383" t="s">
        <v>1688</v>
      </c>
      <c r="G383" t="s">
        <v>69</v>
      </c>
      <c r="H383" t="s">
        <v>270</v>
      </c>
      <c r="I383" t="s">
        <v>36</v>
      </c>
      <c r="J383" t="s">
        <v>50</v>
      </c>
      <c r="K383" t="s">
        <v>114</v>
      </c>
      <c r="L383" t="s">
        <v>81</v>
      </c>
      <c r="M383" t="s">
        <v>116</v>
      </c>
      <c r="N383" t="s">
        <v>54</v>
      </c>
      <c r="O383" s="3">
        <v>345000</v>
      </c>
      <c r="P383" s="4">
        <v>25</v>
      </c>
      <c r="Q383" s="2">
        <v>45870</v>
      </c>
      <c r="R383" s="2">
        <v>46225</v>
      </c>
      <c r="S383" s="2">
        <v>45793</v>
      </c>
      <c r="T383" s="2"/>
      <c r="U383" t="str">
        <f t="shared" si="35"/>
        <v>No</v>
      </c>
      <c r="W3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3" t="str">
        <f t="shared" ca="1" si="36"/>
        <v>Due/Open</v>
      </c>
      <c r="Y383" t="str">
        <f t="shared" si="37"/>
        <v>Open</v>
      </c>
      <c r="Z383" t="str">
        <f t="shared" si="38"/>
        <v>May-2025</v>
      </c>
      <c r="AA383" t="str">
        <f t="shared" si="39"/>
        <v>Q2 2025</v>
      </c>
      <c r="AB383" s="4">
        <f t="shared" ca="1" si="40"/>
        <v>413</v>
      </c>
      <c r="AC383" t="str">
        <f t="shared" si="41"/>
        <v>High</v>
      </c>
    </row>
    <row r="384" spans="1:29">
      <c r="A384" t="s">
        <v>1689</v>
      </c>
      <c r="B384" s="2">
        <v>45857</v>
      </c>
      <c r="C384" t="s">
        <v>1690</v>
      </c>
      <c r="D384" t="s">
        <v>225</v>
      </c>
      <c r="E384" t="s">
        <v>1691</v>
      </c>
      <c r="F384" t="s">
        <v>1692</v>
      </c>
      <c r="G384" t="s">
        <v>34</v>
      </c>
      <c r="H384" t="s">
        <v>173</v>
      </c>
      <c r="I384" t="s">
        <v>49</v>
      </c>
      <c r="J384" t="s">
        <v>50</v>
      </c>
      <c r="K384" t="s">
        <v>38</v>
      </c>
      <c r="L384" t="s">
        <v>81</v>
      </c>
      <c r="M384" t="s">
        <v>90</v>
      </c>
      <c r="N384" t="s">
        <v>91</v>
      </c>
      <c r="O384" s="3">
        <v>475000</v>
      </c>
      <c r="P384" s="4">
        <v>55</v>
      </c>
      <c r="Q384" s="2">
        <v>45937</v>
      </c>
      <c r="R384" s="2">
        <v>46170</v>
      </c>
      <c r="S384" s="2">
        <v>45869</v>
      </c>
      <c r="T384" s="2"/>
      <c r="U384" t="str">
        <f t="shared" si="35"/>
        <v>No</v>
      </c>
      <c r="W3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4" t="str">
        <f t="shared" ca="1" si="36"/>
        <v>Overdue</v>
      </c>
      <c r="Y384" t="str">
        <f t="shared" si="37"/>
        <v>Open</v>
      </c>
      <c r="Z384" t="str">
        <f t="shared" si="38"/>
        <v>Jul-2025</v>
      </c>
      <c r="AA384" t="str">
        <f t="shared" si="39"/>
        <v>Q3 2025</v>
      </c>
      <c r="AB384" s="4">
        <f t="shared" ca="1" si="40"/>
        <v>342</v>
      </c>
      <c r="AC384" t="str">
        <f t="shared" si="41"/>
        <v>High</v>
      </c>
    </row>
    <row r="385" spans="1:29">
      <c r="A385" t="s">
        <v>1693</v>
      </c>
      <c r="B385" s="2">
        <v>46102</v>
      </c>
      <c r="C385" t="s">
        <v>102</v>
      </c>
      <c r="D385" t="s">
        <v>138</v>
      </c>
      <c r="E385" t="s">
        <v>1694</v>
      </c>
      <c r="F385" t="s">
        <v>1695</v>
      </c>
      <c r="G385" t="s">
        <v>47</v>
      </c>
      <c r="H385" t="s">
        <v>113</v>
      </c>
      <c r="I385" t="s">
        <v>36</v>
      </c>
      <c r="J385" t="s">
        <v>50</v>
      </c>
      <c r="K385" t="s">
        <v>38</v>
      </c>
      <c r="L385" t="s">
        <v>239</v>
      </c>
      <c r="M385" t="s">
        <v>166</v>
      </c>
      <c r="N385" t="s">
        <v>167</v>
      </c>
      <c r="O385" s="3">
        <v>290000</v>
      </c>
      <c r="P385" s="4">
        <v>60</v>
      </c>
      <c r="Q385" s="2">
        <v>46128</v>
      </c>
      <c r="R385" s="2">
        <v>46231</v>
      </c>
      <c r="S385" s="2">
        <v>46123</v>
      </c>
      <c r="T385" s="2"/>
      <c r="U385" t="str">
        <f t="shared" si="35"/>
        <v>No</v>
      </c>
      <c r="W3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5" t="str">
        <f t="shared" ca="1" si="36"/>
        <v>Due/Open</v>
      </c>
      <c r="Y385" t="str">
        <f t="shared" si="37"/>
        <v>Open</v>
      </c>
      <c r="Z385" t="str">
        <f t="shared" si="38"/>
        <v>Mar-2026</v>
      </c>
      <c r="AA385" t="str">
        <f t="shared" si="39"/>
        <v>Q1 2026</v>
      </c>
      <c r="AB385" s="4">
        <f t="shared" ca="1" si="40"/>
        <v>97</v>
      </c>
      <c r="AC385" t="str">
        <f t="shared" si="41"/>
        <v>Medium</v>
      </c>
    </row>
    <row r="386" spans="1:29">
      <c r="A386" t="s">
        <v>1696</v>
      </c>
      <c r="B386" s="2">
        <v>45679</v>
      </c>
      <c r="C386" t="s">
        <v>860</v>
      </c>
      <c r="D386" t="s">
        <v>1086</v>
      </c>
      <c r="E386" t="s">
        <v>1697</v>
      </c>
      <c r="F386" t="s">
        <v>1698</v>
      </c>
      <c r="G386" t="s">
        <v>79</v>
      </c>
      <c r="H386" t="s">
        <v>106</v>
      </c>
      <c r="I386" t="s">
        <v>148</v>
      </c>
      <c r="J386" t="s">
        <v>131</v>
      </c>
      <c r="K386" t="s">
        <v>38</v>
      </c>
      <c r="L386" t="s">
        <v>154</v>
      </c>
      <c r="M386" t="s">
        <v>166</v>
      </c>
      <c r="N386" t="s">
        <v>167</v>
      </c>
      <c r="O386" s="3">
        <v>110000</v>
      </c>
      <c r="P386" s="4">
        <v>70</v>
      </c>
      <c r="Q386" s="2">
        <v>45748</v>
      </c>
      <c r="R386" s="2">
        <v>46206</v>
      </c>
      <c r="S386" s="2">
        <v>45686</v>
      </c>
      <c r="T386" s="2"/>
      <c r="U386" t="str">
        <f t="shared" ref="U386:U449" si="42">IF(M386="Converted","Yes","No")</f>
        <v>No</v>
      </c>
      <c r="W3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6" t="str">
        <f t="shared" ref="X386:X449" ca="1" si="43">IF(OR(M386="Converted",M386="Lost",M386="Not Interested"),"Closed",IF(R386&lt;TODAY(),"Overdue","Due/Open"))</f>
        <v>Due/Open</v>
      </c>
      <c r="Y386" t="str">
        <f t="shared" ref="Y386:Y449" si="44">IF(OR(M386="Converted",M386="Lost",M386="Not Interested"),"Closed","Open")</f>
        <v>Open</v>
      </c>
      <c r="Z386" t="str">
        <f t="shared" ref="Z386:Z449" si="45">TEXT(B386,"mmm-yyyy")</f>
        <v>Jan-2025</v>
      </c>
      <c r="AA386" t="str">
        <f t="shared" ref="AA386:AA449" si="46">"Q"&amp;ROUNDUP(MONTH(B386)/3,0)&amp;" "&amp;YEAR(B386)</f>
        <v>Q1 2025</v>
      </c>
      <c r="AB386" s="4">
        <f t="shared" ref="AB386:AB449" ca="1" si="47">TODAY()-B386</f>
        <v>520</v>
      </c>
      <c r="AC386" t="str">
        <f t="shared" ref="AC386:AC449" si="48">IF(O386&gt;=300000,"High",IF(O386&gt;=120000,"Medium","Low"))</f>
        <v>Low</v>
      </c>
    </row>
    <row r="387" spans="1:29">
      <c r="A387" t="s">
        <v>1699</v>
      </c>
      <c r="B387" s="2">
        <v>46163</v>
      </c>
      <c r="C387" t="s">
        <v>1700</v>
      </c>
      <c r="D387" t="s">
        <v>1701</v>
      </c>
      <c r="E387" t="s">
        <v>1702</v>
      </c>
      <c r="F387" t="s">
        <v>1703</v>
      </c>
      <c r="G387" t="s">
        <v>47</v>
      </c>
      <c r="H387" t="s">
        <v>48</v>
      </c>
      <c r="I387" t="s">
        <v>141</v>
      </c>
      <c r="J387" t="s">
        <v>131</v>
      </c>
      <c r="K387" t="s">
        <v>100</v>
      </c>
      <c r="L387" t="s">
        <v>132</v>
      </c>
      <c r="M387" t="s">
        <v>53</v>
      </c>
      <c r="N387" t="s">
        <v>54</v>
      </c>
      <c r="O387" s="3">
        <v>205000</v>
      </c>
      <c r="P387" s="4">
        <v>30</v>
      </c>
      <c r="Q387" s="2">
        <v>46185</v>
      </c>
      <c r="R387" s="2">
        <v>46218</v>
      </c>
      <c r="S387" s="2">
        <v>46177</v>
      </c>
      <c r="T387" s="2"/>
      <c r="U387" t="str">
        <f t="shared" si="42"/>
        <v>No</v>
      </c>
      <c r="W3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87" t="str">
        <f t="shared" ca="1" si="43"/>
        <v>Due/Open</v>
      </c>
      <c r="Y387" t="str">
        <f t="shared" si="44"/>
        <v>Open</v>
      </c>
      <c r="Z387" t="str">
        <f t="shared" si="45"/>
        <v>May-2026</v>
      </c>
      <c r="AA387" t="str">
        <f t="shared" si="46"/>
        <v>Q2 2026</v>
      </c>
      <c r="AB387" s="4">
        <f t="shared" ca="1" si="47"/>
        <v>36</v>
      </c>
      <c r="AC387" t="str">
        <f t="shared" si="48"/>
        <v>Medium</v>
      </c>
    </row>
    <row r="388" spans="1:29">
      <c r="A388" t="s">
        <v>1704</v>
      </c>
      <c r="B388" s="2">
        <v>45897</v>
      </c>
      <c r="C388" t="s">
        <v>1705</v>
      </c>
      <c r="D388" t="s">
        <v>895</v>
      </c>
      <c r="E388" t="s">
        <v>1706</v>
      </c>
      <c r="F388" t="s">
        <v>1707</v>
      </c>
      <c r="G388" t="s">
        <v>79</v>
      </c>
      <c r="H388" t="s">
        <v>106</v>
      </c>
      <c r="I388" t="s">
        <v>141</v>
      </c>
      <c r="J388" t="s">
        <v>131</v>
      </c>
      <c r="K388" t="s">
        <v>38</v>
      </c>
      <c r="L388" t="s">
        <v>39</v>
      </c>
      <c r="M388" t="s">
        <v>133</v>
      </c>
      <c r="N388" t="s">
        <v>134</v>
      </c>
      <c r="O388" s="3">
        <v>285000</v>
      </c>
      <c r="P388" s="4">
        <v>0</v>
      </c>
      <c r="Q388" s="2">
        <v>45957</v>
      </c>
      <c r="R388" s="2"/>
      <c r="S388" s="2">
        <v>45919</v>
      </c>
      <c r="T388" s="2">
        <v>45957</v>
      </c>
      <c r="U388" t="str">
        <f t="shared" si="42"/>
        <v>No</v>
      </c>
      <c r="V388" t="s">
        <v>452</v>
      </c>
      <c r="W38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388" t="str">
        <f t="shared" ca="1" si="43"/>
        <v>Closed</v>
      </c>
      <c r="Y388" t="str">
        <f t="shared" si="44"/>
        <v>Closed</v>
      </c>
      <c r="Z388" t="str">
        <f t="shared" si="45"/>
        <v>Aug-2025</v>
      </c>
      <c r="AA388" t="str">
        <f t="shared" si="46"/>
        <v>Q3 2025</v>
      </c>
      <c r="AB388" s="4">
        <f t="shared" ca="1" si="47"/>
        <v>302</v>
      </c>
      <c r="AC388" t="str">
        <f t="shared" si="48"/>
        <v>Medium</v>
      </c>
    </row>
    <row r="389" spans="1:29">
      <c r="A389" t="s">
        <v>1708</v>
      </c>
      <c r="B389" s="2">
        <v>46043</v>
      </c>
      <c r="C389" t="s">
        <v>1709</v>
      </c>
      <c r="D389" t="s">
        <v>1254</v>
      </c>
      <c r="E389" t="s">
        <v>1710</v>
      </c>
      <c r="F389" t="s">
        <v>1711</v>
      </c>
      <c r="G389" t="s">
        <v>47</v>
      </c>
      <c r="H389" t="s">
        <v>122</v>
      </c>
      <c r="I389" t="s">
        <v>36</v>
      </c>
      <c r="J389" t="s">
        <v>131</v>
      </c>
      <c r="K389" t="s">
        <v>51</v>
      </c>
      <c r="L389" t="s">
        <v>239</v>
      </c>
      <c r="M389" t="s">
        <v>40</v>
      </c>
      <c r="N389" t="s">
        <v>41</v>
      </c>
      <c r="O389" s="3">
        <v>100000</v>
      </c>
      <c r="P389" s="4">
        <v>100</v>
      </c>
      <c r="Q389" s="2">
        <v>46109</v>
      </c>
      <c r="R389" s="2"/>
      <c r="S389" s="2">
        <v>46047</v>
      </c>
      <c r="T389" s="2">
        <v>46109</v>
      </c>
      <c r="U389" t="str">
        <f t="shared" si="42"/>
        <v>Yes</v>
      </c>
      <c r="W3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389" t="str">
        <f t="shared" ca="1" si="43"/>
        <v>Closed</v>
      </c>
      <c r="Y389" t="str">
        <f t="shared" si="44"/>
        <v>Closed</v>
      </c>
      <c r="Z389" t="str">
        <f t="shared" si="45"/>
        <v>Jan-2026</v>
      </c>
      <c r="AA389" t="str">
        <f t="shared" si="46"/>
        <v>Q1 2026</v>
      </c>
      <c r="AB389" s="4">
        <f t="shared" ca="1" si="47"/>
        <v>156</v>
      </c>
      <c r="AC389" t="str">
        <f t="shared" si="48"/>
        <v>Low</v>
      </c>
    </row>
    <row r="390" spans="1:29">
      <c r="A390" t="s">
        <v>1712</v>
      </c>
      <c r="B390" s="2">
        <v>45862</v>
      </c>
      <c r="C390" t="s">
        <v>1713</v>
      </c>
      <c r="D390" t="s">
        <v>357</v>
      </c>
      <c r="E390" t="s">
        <v>1714</v>
      </c>
      <c r="F390" t="s">
        <v>1715</v>
      </c>
      <c r="G390" t="s">
        <v>69</v>
      </c>
      <c r="H390" t="s">
        <v>270</v>
      </c>
      <c r="I390" t="s">
        <v>187</v>
      </c>
      <c r="J390" t="s">
        <v>124</v>
      </c>
      <c r="K390" t="s">
        <v>100</v>
      </c>
      <c r="L390" t="s">
        <v>72</v>
      </c>
      <c r="M390" t="s">
        <v>90</v>
      </c>
      <c r="N390" t="s">
        <v>91</v>
      </c>
      <c r="O390" s="3">
        <v>225000</v>
      </c>
      <c r="P390" s="4">
        <v>50</v>
      </c>
      <c r="Q390" s="2">
        <v>45948</v>
      </c>
      <c r="R390" s="2">
        <v>46209</v>
      </c>
      <c r="S390" s="2">
        <v>45868</v>
      </c>
      <c r="T390" s="2"/>
      <c r="U390" t="str">
        <f t="shared" si="42"/>
        <v>No</v>
      </c>
      <c r="W3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0" t="str">
        <f t="shared" ca="1" si="43"/>
        <v>Due/Open</v>
      </c>
      <c r="Y390" t="str">
        <f t="shared" si="44"/>
        <v>Open</v>
      </c>
      <c r="Z390" t="str">
        <f t="shared" si="45"/>
        <v>Jul-2025</v>
      </c>
      <c r="AA390" t="str">
        <f t="shared" si="46"/>
        <v>Q3 2025</v>
      </c>
      <c r="AB390" s="4">
        <f t="shared" ca="1" si="47"/>
        <v>337</v>
      </c>
      <c r="AC390" t="str">
        <f t="shared" si="48"/>
        <v>Medium</v>
      </c>
    </row>
    <row r="391" spans="1:29">
      <c r="A391" t="s">
        <v>1716</v>
      </c>
      <c r="B391" s="2">
        <v>46070</v>
      </c>
      <c r="C391" t="s">
        <v>346</v>
      </c>
      <c r="D391" t="s">
        <v>1717</v>
      </c>
      <c r="E391" t="s">
        <v>1718</v>
      </c>
      <c r="F391" t="s">
        <v>1719</v>
      </c>
      <c r="G391" t="s">
        <v>179</v>
      </c>
      <c r="H391" t="s">
        <v>180</v>
      </c>
      <c r="I391" t="s">
        <v>49</v>
      </c>
      <c r="J391" t="s">
        <v>62</v>
      </c>
      <c r="K391" t="s">
        <v>38</v>
      </c>
      <c r="L391" t="s">
        <v>239</v>
      </c>
      <c r="M391" t="s">
        <v>53</v>
      </c>
      <c r="N391" t="s">
        <v>54</v>
      </c>
      <c r="O391" s="3">
        <v>345000</v>
      </c>
      <c r="P391" s="4">
        <v>35</v>
      </c>
      <c r="Q391" s="2">
        <v>46153</v>
      </c>
      <c r="R391" s="2">
        <v>46208</v>
      </c>
      <c r="S391" s="2">
        <v>46083</v>
      </c>
      <c r="T391" s="2"/>
      <c r="U391" t="str">
        <f t="shared" si="42"/>
        <v>No</v>
      </c>
      <c r="W3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1" t="str">
        <f t="shared" ca="1" si="43"/>
        <v>Due/Open</v>
      </c>
      <c r="Y391" t="str">
        <f t="shared" si="44"/>
        <v>Open</v>
      </c>
      <c r="Z391" t="str">
        <f t="shared" si="45"/>
        <v>Feb-2026</v>
      </c>
      <c r="AA391" t="str">
        <f t="shared" si="46"/>
        <v>Q1 2026</v>
      </c>
      <c r="AB391" s="4">
        <f t="shared" ca="1" si="47"/>
        <v>129</v>
      </c>
      <c r="AC391" t="str">
        <f t="shared" si="48"/>
        <v>High</v>
      </c>
    </row>
    <row r="392" spans="1:29">
      <c r="A392" t="s">
        <v>1720</v>
      </c>
      <c r="B392" s="2">
        <v>46057</v>
      </c>
      <c r="C392" t="s">
        <v>1721</v>
      </c>
      <c r="D392" t="s">
        <v>1722</v>
      </c>
      <c r="E392" t="s">
        <v>1723</v>
      </c>
      <c r="F392" t="s">
        <v>1724</v>
      </c>
      <c r="G392" t="s">
        <v>79</v>
      </c>
      <c r="H392" t="s">
        <v>80</v>
      </c>
      <c r="I392" t="s">
        <v>148</v>
      </c>
      <c r="J392" t="s">
        <v>99</v>
      </c>
      <c r="K392" t="s">
        <v>194</v>
      </c>
      <c r="L392" t="s">
        <v>142</v>
      </c>
      <c r="M392" t="s">
        <v>116</v>
      </c>
      <c r="N392" t="s">
        <v>54</v>
      </c>
      <c r="O392" s="3">
        <v>375000</v>
      </c>
      <c r="P392" s="4">
        <v>25</v>
      </c>
      <c r="Q392" s="2">
        <v>46117</v>
      </c>
      <c r="R392" s="2">
        <v>46172</v>
      </c>
      <c r="S392" s="2">
        <v>46082</v>
      </c>
      <c r="T392" s="2"/>
      <c r="U392" t="str">
        <f t="shared" si="42"/>
        <v>No</v>
      </c>
      <c r="W3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2" t="str">
        <f t="shared" ca="1" si="43"/>
        <v>Overdue</v>
      </c>
      <c r="Y392" t="str">
        <f t="shared" si="44"/>
        <v>Open</v>
      </c>
      <c r="Z392" t="str">
        <f t="shared" si="45"/>
        <v>Feb-2026</v>
      </c>
      <c r="AA392" t="str">
        <f t="shared" si="46"/>
        <v>Q1 2026</v>
      </c>
      <c r="AB392" s="4">
        <f t="shared" ca="1" si="47"/>
        <v>142</v>
      </c>
      <c r="AC392" t="str">
        <f t="shared" si="48"/>
        <v>High</v>
      </c>
    </row>
    <row r="393" spans="1:29">
      <c r="A393" t="s">
        <v>1725</v>
      </c>
      <c r="B393" s="2">
        <v>45988</v>
      </c>
      <c r="C393" t="s">
        <v>1726</v>
      </c>
      <c r="D393" t="s">
        <v>1086</v>
      </c>
      <c r="E393" t="s">
        <v>1727</v>
      </c>
      <c r="F393" t="s">
        <v>1728</v>
      </c>
      <c r="G393" t="s">
        <v>69</v>
      </c>
      <c r="H393" t="s">
        <v>285</v>
      </c>
      <c r="I393" t="s">
        <v>61</v>
      </c>
      <c r="J393" t="s">
        <v>99</v>
      </c>
      <c r="K393" t="s">
        <v>114</v>
      </c>
      <c r="L393" t="s">
        <v>39</v>
      </c>
      <c r="M393" t="s">
        <v>116</v>
      </c>
      <c r="N393" t="s">
        <v>54</v>
      </c>
      <c r="O393" s="3">
        <v>440000</v>
      </c>
      <c r="P393" s="4">
        <v>25</v>
      </c>
      <c r="Q393" s="2">
        <v>46070</v>
      </c>
      <c r="R393" s="2">
        <v>46220</v>
      </c>
      <c r="S393" s="2">
        <v>45991</v>
      </c>
      <c r="T393" s="2"/>
      <c r="U393" t="str">
        <f t="shared" si="42"/>
        <v>No</v>
      </c>
      <c r="W3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3" t="str">
        <f t="shared" ca="1" si="43"/>
        <v>Due/Open</v>
      </c>
      <c r="Y393" t="str">
        <f t="shared" si="44"/>
        <v>Open</v>
      </c>
      <c r="Z393" t="str">
        <f t="shared" si="45"/>
        <v>Nov-2025</v>
      </c>
      <c r="AA393" t="str">
        <f t="shared" si="46"/>
        <v>Q4 2025</v>
      </c>
      <c r="AB393" s="4">
        <f t="shared" ca="1" si="47"/>
        <v>211</v>
      </c>
      <c r="AC393" t="str">
        <f t="shared" si="48"/>
        <v>High</v>
      </c>
    </row>
    <row r="394" spans="1:29">
      <c r="A394" t="s">
        <v>1729</v>
      </c>
      <c r="B394" s="2">
        <v>45846</v>
      </c>
      <c r="C394" t="s">
        <v>314</v>
      </c>
      <c r="D394" t="s">
        <v>1404</v>
      </c>
      <c r="E394" t="s">
        <v>1730</v>
      </c>
      <c r="F394" t="s">
        <v>1731</v>
      </c>
      <c r="G394" t="s">
        <v>47</v>
      </c>
      <c r="H394" t="s">
        <v>89</v>
      </c>
      <c r="I394" t="s">
        <v>141</v>
      </c>
      <c r="J394" t="s">
        <v>124</v>
      </c>
      <c r="K394" t="s">
        <v>71</v>
      </c>
      <c r="L394" t="s">
        <v>81</v>
      </c>
      <c r="M394" t="s">
        <v>90</v>
      </c>
      <c r="N394" t="s">
        <v>91</v>
      </c>
      <c r="O394" s="3">
        <v>150000</v>
      </c>
      <c r="P394" s="4">
        <v>40</v>
      </c>
      <c r="Q394" s="2">
        <v>45916</v>
      </c>
      <c r="R394" s="2">
        <v>46210</v>
      </c>
      <c r="S394" s="2">
        <v>45847</v>
      </c>
      <c r="T394" s="2"/>
      <c r="U394" t="str">
        <f t="shared" si="42"/>
        <v>No</v>
      </c>
      <c r="W3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4" t="str">
        <f t="shared" ca="1" si="43"/>
        <v>Due/Open</v>
      </c>
      <c r="Y394" t="str">
        <f t="shared" si="44"/>
        <v>Open</v>
      </c>
      <c r="Z394" t="str">
        <f t="shared" si="45"/>
        <v>Jul-2025</v>
      </c>
      <c r="AA394" t="str">
        <f t="shared" si="46"/>
        <v>Q3 2025</v>
      </c>
      <c r="AB394" s="4">
        <f t="shared" ca="1" si="47"/>
        <v>353</v>
      </c>
      <c r="AC394" t="str">
        <f t="shared" si="48"/>
        <v>Medium</v>
      </c>
    </row>
    <row r="395" spans="1:29">
      <c r="A395" t="s">
        <v>1732</v>
      </c>
      <c r="B395" s="2">
        <v>45935</v>
      </c>
      <c r="C395" t="s">
        <v>483</v>
      </c>
      <c r="D395" t="s">
        <v>1404</v>
      </c>
      <c r="E395" t="s">
        <v>1733</v>
      </c>
      <c r="F395" t="s">
        <v>1734</v>
      </c>
      <c r="G395" t="s">
        <v>79</v>
      </c>
      <c r="H395" t="s">
        <v>260</v>
      </c>
      <c r="I395" t="s">
        <v>187</v>
      </c>
      <c r="J395" t="s">
        <v>37</v>
      </c>
      <c r="K395" t="s">
        <v>51</v>
      </c>
      <c r="L395" t="s">
        <v>63</v>
      </c>
      <c r="M395" t="s">
        <v>133</v>
      </c>
      <c r="N395" t="s">
        <v>134</v>
      </c>
      <c r="O395" s="3">
        <v>110000</v>
      </c>
      <c r="P395" s="4">
        <v>0</v>
      </c>
      <c r="Q395" s="2">
        <v>46002</v>
      </c>
      <c r="R395" s="2"/>
      <c r="S395" s="2">
        <v>45958</v>
      </c>
      <c r="T395" s="2">
        <v>46002</v>
      </c>
      <c r="U395" t="str">
        <f t="shared" si="42"/>
        <v>No</v>
      </c>
      <c r="V395" t="s">
        <v>135</v>
      </c>
      <c r="W39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395" t="str">
        <f t="shared" ca="1" si="43"/>
        <v>Closed</v>
      </c>
      <c r="Y395" t="str">
        <f t="shared" si="44"/>
        <v>Closed</v>
      </c>
      <c r="Z395" t="str">
        <f t="shared" si="45"/>
        <v>Oct-2025</v>
      </c>
      <c r="AA395" t="str">
        <f t="shared" si="46"/>
        <v>Q4 2025</v>
      </c>
      <c r="AB395" s="4">
        <f t="shared" ca="1" si="47"/>
        <v>264</v>
      </c>
      <c r="AC395" t="str">
        <f t="shared" si="48"/>
        <v>Low</v>
      </c>
    </row>
    <row r="396" spans="1:29">
      <c r="A396" t="s">
        <v>1735</v>
      </c>
      <c r="B396" s="2">
        <v>45670</v>
      </c>
      <c r="C396" t="s">
        <v>1736</v>
      </c>
      <c r="D396" t="s">
        <v>1366</v>
      </c>
      <c r="E396" t="s">
        <v>1737</v>
      </c>
      <c r="F396" t="s">
        <v>1738</v>
      </c>
      <c r="G396" t="s">
        <v>179</v>
      </c>
      <c r="H396" t="s">
        <v>186</v>
      </c>
      <c r="I396" t="s">
        <v>141</v>
      </c>
      <c r="J396" t="s">
        <v>37</v>
      </c>
      <c r="K396" t="s">
        <v>38</v>
      </c>
      <c r="L396" t="s">
        <v>239</v>
      </c>
      <c r="M396" t="s">
        <v>53</v>
      </c>
      <c r="N396" t="s">
        <v>54</v>
      </c>
      <c r="O396" s="3">
        <v>110000</v>
      </c>
      <c r="P396" s="4">
        <v>25</v>
      </c>
      <c r="Q396" s="2">
        <v>45739</v>
      </c>
      <c r="R396" s="2">
        <v>46208</v>
      </c>
      <c r="S396" s="2">
        <v>45677</v>
      </c>
      <c r="T396" s="2"/>
      <c r="U396" t="str">
        <f t="shared" si="42"/>
        <v>No</v>
      </c>
      <c r="W3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6" t="str">
        <f t="shared" ca="1" si="43"/>
        <v>Due/Open</v>
      </c>
      <c r="Y396" t="str">
        <f t="shared" si="44"/>
        <v>Open</v>
      </c>
      <c r="Z396" t="str">
        <f t="shared" si="45"/>
        <v>Jan-2025</v>
      </c>
      <c r="AA396" t="str">
        <f t="shared" si="46"/>
        <v>Q1 2025</v>
      </c>
      <c r="AB396" s="4">
        <f t="shared" ca="1" si="47"/>
        <v>529</v>
      </c>
      <c r="AC396" t="str">
        <f t="shared" si="48"/>
        <v>Low</v>
      </c>
    </row>
    <row r="397" spans="1:29">
      <c r="A397" t="s">
        <v>1739</v>
      </c>
      <c r="B397" s="2">
        <v>45660</v>
      </c>
      <c r="C397" t="s">
        <v>1740</v>
      </c>
      <c r="D397" t="s">
        <v>581</v>
      </c>
      <c r="E397" t="s">
        <v>1741</v>
      </c>
      <c r="F397" t="s">
        <v>1742</v>
      </c>
      <c r="G397" t="s">
        <v>179</v>
      </c>
      <c r="H397" t="s">
        <v>180</v>
      </c>
      <c r="I397" t="s">
        <v>98</v>
      </c>
      <c r="J397" t="s">
        <v>99</v>
      </c>
      <c r="K397" t="s">
        <v>100</v>
      </c>
      <c r="L397" t="s">
        <v>132</v>
      </c>
      <c r="M397" t="s">
        <v>40</v>
      </c>
      <c r="N397" t="s">
        <v>41</v>
      </c>
      <c r="O397" s="3">
        <v>395000</v>
      </c>
      <c r="P397" s="4">
        <v>100</v>
      </c>
      <c r="Q397" s="2">
        <v>45738</v>
      </c>
      <c r="R397" s="2"/>
      <c r="S397" s="2">
        <v>45664</v>
      </c>
      <c r="T397" s="2">
        <v>45738</v>
      </c>
      <c r="U397" t="str">
        <f t="shared" si="42"/>
        <v>Yes</v>
      </c>
      <c r="W39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397" t="str">
        <f t="shared" ca="1" si="43"/>
        <v>Closed</v>
      </c>
      <c r="Y397" t="str">
        <f t="shared" si="44"/>
        <v>Closed</v>
      </c>
      <c r="Z397" t="str">
        <f t="shared" si="45"/>
        <v>Jan-2025</v>
      </c>
      <c r="AA397" t="str">
        <f t="shared" si="46"/>
        <v>Q1 2025</v>
      </c>
      <c r="AB397" s="4">
        <f t="shared" ca="1" si="47"/>
        <v>539</v>
      </c>
      <c r="AC397" t="str">
        <f t="shared" si="48"/>
        <v>High</v>
      </c>
    </row>
    <row r="398" spans="1:29">
      <c r="A398" t="s">
        <v>1743</v>
      </c>
      <c r="B398" s="2">
        <v>45850</v>
      </c>
      <c r="C398" t="s">
        <v>1700</v>
      </c>
      <c r="D398" t="s">
        <v>1683</v>
      </c>
      <c r="E398" t="s">
        <v>1744</v>
      </c>
      <c r="F398" t="s">
        <v>1745</v>
      </c>
      <c r="G398" t="s">
        <v>79</v>
      </c>
      <c r="H398" t="s">
        <v>217</v>
      </c>
      <c r="I398" t="s">
        <v>36</v>
      </c>
      <c r="J398" t="s">
        <v>62</v>
      </c>
      <c r="K398" t="s">
        <v>71</v>
      </c>
      <c r="L398" t="s">
        <v>142</v>
      </c>
      <c r="M398" t="s">
        <v>116</v>
      </c>
      <c r="N398" t="s">
        <v>54</v>
      </c>
      <c r="O398" s="3">
        <v>445000</v>
      </c>
      <c r="P398" s="4">
        <v>20</v>
      </c>
      <c r="Q398" s="2">
        <v>45921</v>
      </c>
      <c r="R398" s="2">
        <v>46223</v>
      </c>
      <c r="S398" s="2">
        <v>45875</v>
      </c>
      <c r="T398" s="2"/>
      <c r="U398" t="str">
        <f t="shared" si="42"/>
        <v>No</v>
      </c>
      <c r="W3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8" t="str">
        <f t="shared" ca="1" si="43"/>
        <v>Due/Open</v>
      </c>
      <c r="Y398" t="str">
        <f t="shared" si="44"/>
        <v>Open</v>
      </c>
      <c r="Z398" t="str">
        <f t="shared" si="45"/>
        <v>Jul-2025</v>
      </c>
      <c r="AA398" t="str">
        <f t="shared" si="46"/>
        <v>Q3 2025</v>
      </c>
      <c r="AB398" s="4">
        <f t="shared" ca="1" si="47"/>
        <v>349</v>
      </c>
      <c r="AC398" t="str">
        <f t="shared" si="48"/>
        <v>High</v>
      </c>
    </row>
    <row r="399" spans="1:29">
      <c r="A399" t="s">
        <v>1746</v>
      </c>
      <c r="B399" s="2">
        <v>45770</v>
      </c>
      <c r="C399" t="s">
        <v>1747</v>
      </c>
      <c r="D399" t="s">
        <v>242</v>
      </c>
      <c r="E399" t="s">
        <v>1748</v>
      </c>
      <c r="F399" t="s">
        <v>1749</v>
      </c>
      <c r="G399" t="s">
        <v>79</v>
      </c>
      <c r="H399" t="s">
        <v>217</v>
      </c>
      <c r="I399" t="s">
        <v>148</v>
      </c>
      <c r="J399" t="s">
        <v>131</v>
      </c>
      <c r="K399" t="s">
        <v>194</v>
      </c>
      <c r="L399" t="s">
        <v>239</v>
      </c>
      <c r="M399" t="s">
        <v>116</v>
      </c>
      <c r="N399" t="s">
        <v>54</v>
      </c>
      <c r="O399" s="3">
        <v>180000</v>
      </c>
      <c r="P399" s="4">
        <v>25</v>
      </c>
      <c r="Q399" s="2">
        <v>45804</v>
      </c>
      <c r="R399" s="2">
        <v>46188</v>
      </c>
      <c r="S399" s="2">
        <v>45794</v>
      </c>
      <c r="T399" s="2"/>
      <c r="U399" t="str">
        <f t="shared" si="42"/>
        <v>No</v>
      </c>
      <c r="W3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399" t="str">
        <f t="shared" ca="1" si="43"/>
        <v>Overdue</v>
      </c>
      <c r="Y399" t="str">
        <f t="shared" si="44"/>
        <v>Open</v>
      </c>
      <c r="Z399" t="str">
        <f t="shared" si="45"/>
        <v>Apr-2025</v>
      </c>
      <c r="AA399" t="str">
        <f t="shared" si="46"/>
        <v>Q2 2025</v>
      </c>
      <c r="AB399" s="4">
        <f t="shared" ca="1" si="47"/>
        <v>429</v>
      </c>
      <c r="AC399" t="str">
        <f t="shared" si="48"/>
        <v>Medium</v>
      </c>
    </row>
    <row r="400" spans="1:29">
      <c r="A400" t="s">
        <v>1750</v>
      </c>
      <c r="B400" s="2">
        <v>45784</v>
      </c>
      <c r="C400" t="s">
        <v>809</v>
      </c>
      <c r="D400" t="s">
        <v>163</v>
      </c>
      <c r="E400" t="s">
        <v>1751</v>
      </c>
      <c r="F400" t="s">
        <v>1752</v>
      </c>
      <c r="G400" t="s">
        <v>79</v>
      </c>
      <c r="H400" t="s">
        <v>228</v>
      </c>
      <c r="I400" t="s">
        <v>36</v>
      </c>
      <c r="J400" t="s">
        <v>131</v>
      </c>
      <c r="K400" t="s">
        <v>38</v>
      </c>
      <c r="L400" t="s">
        <v>81</v>
      </c>
      <c r="M400" t="s">
        <v>53</v>
      </c>
      <c r="N400" t="s">
        <v>54</v>
      </c>
      <c r="O400" s="3">
        <v>125000</v>
      </c>
      <c r="P400" s="4">
        <v>25</v>
      </c>
      <c r="Q400" s="2">
        <v>45855</v>
      </c>
      <c r="R400" s="2">
        <v>46208</v>
      </c>
      <c r="S400" s="2">
        <v>45809</v>
      </c>
      <c r="T400" s="2"/>
      <c r="U400" t="str">
        <f t="shared" si="42"/>
        <v>No</v>
      </c>
      <c r="W4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0" t="str">
        <f t="shared" ca="1" si="43"/>
        <v>Due/Open</v>
      </c>
      <c r="Y400" t="str">
        <f t="shared" si="44"/>
        <v>Open</v>
      </c>
      <c r="Z400" t="str">
        <f t="shared" si="45"/>
        <v>May-2025</v>
      </c>
      <c r="AA400" t="str">
        <f t="shared" si="46"/>
        <v>Q2 2025</v>
      </c>
      <c r="AB400" s="4">
        <f t="shared" ca="1" si="47"/>
        <v>415</v>
      </c>
      <c r="AC400" t="str">
        <f t="shared" si="48"/>
        <v>Medium</v>
      </c>
    </row>
    <row r="401" spans="1:29">
      <c r="A401" t="s">
        <v>1753</v>
      </c>
      <c r="B401" s="2">
        <v>46154</v>
      </c>
      <c r="C401" t="s">
        <v>1042</v>
      </c>
      <c r="D401" t="s">
        <v>552</v>
      </c>
      <c r="E401" t="s">
        <v>1754</v>
      </c>
      <c r="F401" t="s">
        <v>1755</v>
      </c>
      <c r="G401" t="s">
        <v>47</v>
      </c>
      <c r="H401" t="s">
        <v>418</v>
      </c>
      <c r="I401" t="s">
        <v>141</v>
      </c>
      <c r="J401" t="s">
        <v>124</v>
      </c>
      <c r="K401" t="s">
        <v>38</v>
      </c>
      <c r="L401" t="s">
        <v>52</v>
      </c>
      <c r="M401" t="s">
        <v>133</v>
      </c>
      <c r="N401" t="s">
        <v>134</v>
      </c>
      <c r="O401" s="3">
        <v>275000</v>
      </c>
      <c r="P401" s="4">
        <v>0</v>
      </c>
      <c r="Q401" s="2">
        <v>46191</v>
      </c>
      <c r="R401" s="2"/>
      <c r="S401" s="2">
        <v>46174</v>
      </c>
      <c r="T401" s="2">
        <v>46191</v>
      </c>
      <c r="U401" t="str">
        <f t="shared" si="42"/>
        <v>No</v>
      </c>
      <c r="V401" t="s">
        <v>211</v>
      </c>
      <c r="W40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401" t="str">
        <f t="shared" ca="1" si="43"/>
        <v>Closed</v>
      </c>
      <c r="Y401" t="str">
        <f t="shared" si="44"/>
        <v>Closed</v>
      </c>
      <c r="Z401" t="str">
        <f t="shared" si="45"/>
        <v>May-2026</v>
      </c>
      <c r="AA401" t="str">
        <f t="shared" si="46"/>
        <v>Q2 2026</v>
      </c>
      <c r="AB401" s="4">
        <f t="shared" ca="1" si="47"/>
        <v>45</v>
      </c>
      <c r="AC401" t="str">
        <f t="shared" si="48"/>
        <v>Medium</v>
      </c>
    </row>
    <row r="402" spans="1:29">
      <c r="A402" t="s">
        <v>1756</v>
      </c>
      <c r="B402" s="2">
        <v>46073</v>
      </c>
      <c r="C402" t="s">
        <v>1757</v>
      </c>
      <c r="D402" t="s">
        <v>904</v>
      </c>
      <c r="E402" t="s">
        <v>1758</v>
      </c>
      <c r="F402" t="s">
        <v>1759</v>
      </c>
      <c r="G402" t="s">
        <v>69</v>
      </c>
      <c r="H402" t="s">
        <v>285</v>
      </c>
      <c r="I402" t="s">
        <v>61</v>
      </c>
      <c r="J402" t="s">
        <v>62</v>
      </c>
      <c r="K402" t="s">
        <v>71</v>
      </c>
      <c r="L402" t="s">
        <v>142</v>
      </c>
      <c r="M402" t="s">
        <v>53</v>
      </c>
      <c r="N402" t="s">
        <v>54</v>
      </c>
      <c r="O402" s="3">
        <v>115000</v>
      </c>
      <c r="P402" s="4">
        <v>35</v>
      </c>
      <c r="Q402" s="2">
        <v>46108</v>
      </c>
      <c r="R402" s="2">
        <v>46205</v>
      </c>
      <c r="S402" s="2">
        <v>46099</v>
      </c>
      <c r="T402" s="2"/>
      <c r="U402" t="str">
        <f t="shared" si="42"/>
        <v>No</v>
      </c>
      <c r="W4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2" t="str">
        <f t="shared" ca="1" si="43"/>
        <v>Due/Open</v>
      </c>
      <c r="Y402" t="str">
        <f t="shared" si="44"/>
        <v>Open</v>
      </c>
      <c r="Z402" t="str">
        <f t="shared" si="45"/>
        <v>Feb-2026</v>
      </c>
      <c r="AA402" t="str">
        <f t="shared" si="46"/>
        <v>Q1 2026</v>
      </c>
      <c r="AB402" s="4">
        <f t="shared" ca="1" si="47"/>
        <v>126</v>
      </c>
      <c r="AC402" t="str">
        <f t="shared" si="48"/>
        <v>Low</v>
      </c>
    </row>
    <row r="403" spans="1:29">
      <c r="A403" t="s">
        <v>1760</v>
      </c>
      <c r="B403" s="2">
        <v>46029</v>
      </c>
      <c r="C403" t="s">
        <v>326</v>
      </c>
      <c r="D403" t="s">
        <v>526</v>
      </c>
      <c r="E403" t="s">
        <v>1761</v>
      </c>
      <c r="F403" t="s">
        <v>1762</v>
      </c>
      <c r="G403" t="s">
        <v>179</v>
      </c>
      <c r="H403" t="s">
        <v>436</v>
      </c>
      <c r="I403" t="s">
        <v>98</v>
      </c>
      <c r="J403" t="s">
        <v>50</v>
      </c>
      <c r="K403" t="s">
        <v>71</v>
      </c>
      <c r="L403" t="s">
        <v>142</v>
      </c>
      <c r="M403" t="s">
        <v>90</v>
      </c>
      <c r="N403" t="s">
        <v>91</v>
      </c>
      <c r="O403" s="3">
        <v>240000</v>
      </c>
      <c r="P403" s="4">
        <v>50</v>
      </c>
      <c r="Q403" s="2">
        <v>46116</v>
      </c>
      <c r="R403" s="2">
        <v>46200</v>
      </c>
      <c r="S403" s="2">
        <v>46053</v>
      </c>
      <c r="T403" s="2"/>
      <c r="U403" t="str">
        <f t="shared" si="42"/>
        <v>No</v>
      </c>
      <c r="W4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3" t="str">
        <f t="shared" ca="1" si="43"/>
        <v>Due/Open</v>
      </c>
      <c r="Y403" t="str">
        <f t="shared" si="44"/>
        <v>Open</v>
      </c>
      <c r="Z403" t="str">
        <f t="shared" si="45"/>
        <v>Jan-2026</v>
      </c>
      <c r="AA403" t="str">
        <f t="shared" si="46"/>
        <v>Q1 2026</v>
      </c>
      <c r="AB403" s="4">
        <f t="shared" ca="1" si="47"/>
        <v>170</v>
      </c>
      <c r="AC403" t="str">
        <f t="shared" si="48"/>
        <v>Medium</v>
      </c>
    </row>
    <row r="404" spans="1:29">
      <c r="A404" t="s">
        <v>1763</v>
      </c>
      <c r="B404" s="2">
        <v>45816</v>
      </c>
      <c r="C404" t="s">
        <v>118</v>
      </c>
      <c r="D404" t="s">
        <v>1132</v>
      </c>
      <c r="E404" t="s">
        <v>1764</v>
      </c>
      <c r="F404" t="s">
        <v>1765</v>
      </c>
      <c r="G404" t="s">
        <v>69</v>
      </c>
      <c r="H404" t="s">
        <v>312</v>
      </c>
      <c r="I404" t="s">
        <v>187</v>
      </c>
      <c r="J404" t="s">
        <v>131</v>
      </c>
      <c r="K404" t="s">
        <v>100</v>
      </c>
      <c r="L404" t="s">
        <v>154</v>
      </c>
      <c r="M404" t="s">
        <v>116</v>
      </c>
      <c r="N404" t="s">
        <v>54</v>
      </c>
      <c r="O404" s="3">
        <v>315000</v>
      </c>
      <c r="P404" s="4">
        <v>25</v>
      </c>
      <c r="Q404" s="2">
        <v>45863</v>
      </c>
      <c r="R404" s="2">
        <v>46232</v>
      </c>
      <c r="S404" s="2">
        <v>45823</v>
      </c>
      <c r="T404" s="2"/>
      <c r="U404" t="str">
        <f t="shared" si="42"/>
        <v>No</v>
      </c>
      <c r="W4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4" t="str">
        <f t="shared" ca="1" si="43"/>
        <v>Due/Open</v>
      </c>
      <c r="Y404" t="str">
        <f t="shared" si="44"/>
        <v>Open</v>
      </c>
      <c r="Z404" t="str">
        <f t="shared" si="45"/>
        <v>Jun-2025</v>
      </c>
      <c r="AA404" t="str">
        <f t="shared" si="46"/>
        <v>Q2 2025</v>
      </c>
      <c r="AB404" s="4">
        <f t="shared" ca="1" si="47"/>
        <v>383</v>
      </c>
      <c r="AC404" t="str">
        <f t="shared" si="48"/>
        <v>High</v>
      </c>
    </row>
    <row r="405" spans="1:29">
      <c r="A405" t="s">
        <v>1766</v>
      </c>
      <c r="B405" s="2">
        <v>46018</v>
      </c>
      <c r="C405" t="s">
        <v>1767</v>
      </c>
      <c r="D405" t="s">
        <v>484</v>
      </c>
      <c r="E405" t="s">
        <v>1768</v>
      </c>
      <c r="F405" t="s">
        <v>1769</v>
      </c>
      <c r="G405" t="s">
        <v>34</v>
      </c>
      <c r="H405" t="s">
        <v>238</v>
      </c>
      <c r="I405" t="s">
        <v>148</v>
      </c>
      <c r="J405" t="s">
        <v>50</v>
      </c>
      <c r="K405" t="s">
        <v>38</v>
      </c>
      <c r="L405" t="s">
        <v>154</v>
      </c>
      <c r="M405" t="s">
        <v>166</v>
      </c>
      <c r="N405" t="s">
        <v>167</v>
      </c>
      <c r="O405" s="3">
        <v>330000</v>
      </c>
      <c r="P405" s="4">
        <v>65</v>
      </c>
      <c r="Q405" s="2">
        <v>46053</v>
      </c>
      <c r="R405" s="2">
        <v>46188</v>
      </c>
      <c r="S405" s="2">
        <v>46025</v>
      </c>
      <c r="T405" s="2"/>
      <c r="U405" t="str">
        <f t="shared" si="42"/>
        <v>No</v>
      </c>
      <c r="W4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5" t="str">
        <f t="shared" ca="1" si="43"/>
        <v>Overdue</v>
      </c>
      <c r="Y405" t="str">
        <f t="shared" si="44"/>
        <v>Open</v>
      </c>
      <c r="Z405" t="str">
        <f t="shared" si="45"/>
        <v>Dec-2025</v>
      </c>
      <c r="AA405" t="str">
        <f t="shared" si="46"/>
        <v>Q4 2025</v>
      </c>
      <c r="AB405" s="4">
        <f t="shared" ca="1" si="47"/>
        <v>181</v>
      </c>
      <c r="AC405" t="str">
        <f t="shared" si="48"/>
        <v>High</v>
      </c>
    </row>
    <row r="406" spans="1:29">
      <c r="A406" t="s">
        <v>1770</v>
      </c>
      <c r="B406" s="2">
        <v>46159</v>
      </c>
      <c r="C406" t="s">
        <v>267</v>
      </c>
      <c r="D406" t="s">
        <v>779</v>
      </c>
      <c r="E406" t="s">
        <v>1771</v>
      </c>
      <c r="F406" t="s">
        <v>1772</v>
      </c>
      <c r="G406" t="s">
        <v>69</v>
      </c>
      <c r="H406" t="s">
        <v>270</v>
      </c>
      <c r="I406" t="s">
        <v>141</v>
      </c>
      <c r="J406" t="s">
        <v>50</v>
      </c>
      <c r="K406" t="s">
        <v>114</v>
      </c>
      <c r="L406" t="s">
        <v>154</v>
      </c>
      <c r="M406" t="s">
        <v>116</v>
      </c>
      <c r="N406" t="s">
        <v>54</v>
      </c>
      <c r="O406" s="3">
        <v>375000</v>
      </c>
      <c r="P406" s="4">
        <v>15</v>
      </c>
      <c r="Q406" s="2">
        <v>46179</v>
      </c>
      <c r="R406" s="2">
        <v>46209</v>
      </c>
      <c r="S406" s="2">
        <v>46169</v>
      </c>
      <c r="T406" s="2"/>
      <c r="U406" t="str">
        <f t="shared" si="42"/>
        <v>No</v>
      </c>
      <c r="W4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6" t="str">
        <f t="shared" ca="1" si="43"/>
        <v>Due/Open</v>
      </c>
      <c r="Y406" t="str">
        <f t="shared" si="44"/>
        <v>Open</v>
      </c>
      <c r="Z406" t="str">
        <f t="shared" si="45"/>
        <v>May-2026</v>
      </c>
      <c r="AA406" t="str">
        <f t="shared" si="46"/>
        <v>Q2 2026</v>
      </c>
      <c r="AB406" s="4">
        <f t="shared" ca="1" si="47"/>
        <v>40</v>
      </c>
      <c r="AC406" t="str">
        <f t="shared" si="48"/>
        <v>High</v>
      </c>
    </row>
    <row r="407" spans="1:29">
      <c r="A407" t="s">
        <v>1773</v>
      </c>
      <c r="B407" s="2">
        <v>46044</v>
      </c>
      <c r="C407" t="s">
        <v>1774</v>
      </c>
      <c r="D407" t="s">
        <v>163</v>
      </c>
      <c r="E407" t="s">
        <v>1775</v>
      </c>
      <c r="F407" t="s">
        <v>1776</v>
      </c>
      <c r="G407" t="s">
        <v>34</v>
      </c>
      <c r="H407" t="s">
        <v>35</v>
      </c>
      <c r="I407" t="s">
        <v>36</v>
      </c>
      <c r="J407" t="s">
        <v>62</v>
      </c>
      <c r="K407" t="s">
        <v>38</v>
      </c>
      <c r="L407" t="s">
        <v>39</v>
      </c>
      <c r="M407" t="s">
        <v>40</v>
      </c>
      <c r="N407" t="s">
        <v>41</v>
      </c>
      <c r="O407" s="3">
        <v>110000</v>
      </c>
      <c r="P407" s="4">
        <v>100</v>
      </c>
      <c r="Q407" s="2">
        <v>46080</v>
      </c>
      <c r="R407" s="2"/>
      <c r="S407" s="2">
        <v>46049</v>
      </c>
      <c r="T407" s="2">
        <v>46080</v>
      </c>
      <c r="U407" t="str">
        <f t="shared" si="42"/>
        <v>Yes</v>
      </c>
      <c r="W40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407" t="str">
        <f t="shared" ca="1" si="43"/>
        <v>Closed</v>
      </c>
      <c r="Y407" t="str">
        <f t="shared" si="44"/>
        <v>Closed</v>
      </c>
      <c r="Z407" t="str">
        <f t="shared" si="45"/>
        <v>Jan-2026</v>
      </c>
      <c r="AA407" t="str">
        <f t="shared" si="46"/>
        <v>Q1 2026</v>
      </c>
      <c r="AB407" s="4">
        <f t="shared" ca="1" si="47"/>
        <v>155</v>
      </c>
      <c r="AC407" t="str">
        <f t="shared" si="48"/>
        <v>Low</v>
      </c>
    </row>
    <row r="408" spans="1:29">
      <c r="A408" t="s">
        <v>1777</v>
      </c>
      <c r="B408" s="2">
        <v>45709</v>
      </c>
      <c r="C408" t="s">
        <v>1778</v>
      </c>
      <c r="D408" t="s">
        <v>1021</v>
      </c>
      <c r="E408" t="s">
        <v>1779</v>
      </c>
      <c r="F408" t="s">
        <v>1780</v>
      </c>
      <c r="G408" t="s">
        <v>179</v>
      </c>
      <c r="H408" t="s">
        <v>186</v>
      </c>
      <c r="I408" t="s">
        <v>187</v>
      </c>
      <c r="J408" t="s">
        <v>37</v>
      </c>
      <c r="K408" t="s">
        <v>114</v>
      </c>
      <c r="L408" t="s">
        <v>81</v>
      </c>
      <c r="M408" t="s">
        <v>82</v>
      </c>
      <c r="N408" t="s">
        <v>83</v>
      </c>
      <c r="O408" s="3">
        <v>50000</v>
      </c>
      <c r="P408" s="4">
        <v>5</v>
      </c>
      <c r="Q408" s="2">
        <v>45754</v>
      </c>
      <c r="R408" s="2">
        <v>46216</v>
      </c>
      <c r="S408" s="2">
        <v>45729</v>
      </c>
      <c r="T408" s="2"/>
      <c r="U408" t="str">
        <f t="shared" si="42"/>
        <v>No</v>
      </c>
      <c r="W4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8" t="str">
        <f t="shared" ca="1" si="43"/>
        <v>Due/Open</v>
      </c>
      <c r="Y408" t="str">
        <f t="shared" si="44"/>
        <v>Open</v>
      </c>
      <c r="Z408" t="str">
        <f t="shared" si="45"/>
        <v>Feb-2025</v>
      </c>
      <c r="AA408" t="str">
        <f t="shared" si="46"/>
        <v>Q1 2025</v>
      </c>
      <c r="AB408" s="4">
        <f t="shared" ca="1" si="47"/>
        <v>490</v>
      </c>
      <c r="AC408" t="str">
        <f t="shared" si="48"/>
        <v>Low</v>
      </c>
    </row>
    <row r="409" spans="1:29">
      <c r="A409" t="s">
        <v>1781</v>
      </c>
      <c r="B409" s="2">
        <v>45952</v>
      </c>
      <c r="C409" t="s">
        <v>1782</v>
      </c>
      <c r="D409" t="s">
        <v>697</v>
      </c>
      <c r="E409" t="s">
        <v>1783</v>
      </c>
      <c r="F409" t="s">
        <v>1784</v>
      </c>
      <c r="G409" t="s">
        <v>179</v>
      </c>
      <c r="H409" t="s">
        <v>487</v>
      </c>
      <c r="I409" t="s">
        <v>36</v>
      </c>
      <c r="J409" t="s">
        <v>124</v>
      </c>
      <c r="K409" t="s">
        <v>71</v>
      </c>
      <c r="L409" t="s">
        <v>63</v>
      </c>
      <c r="M409" t="s">
        <v>90</v>
      </c>
      <c r="N409" t="s">
        <v>91</v>
      </c>
      <c r="O409" s="3">
        <v>80000</v>
      </c>
      <c r="P409" s="4">
        <v>40</v>
      </c>
      <c r="Q409" s="2">
        <v>45981</v>
      </c>
      <c r="R409" s="2">
        <v>46234</v>
      </c>
      <c r="S409" s="2">
        <v>45976</v>
      </c>
      <c r="T409" s="2"/>
      <c r="U409" t="str">
        <f t="shared" si="42"/>
        <v>No</v>
      </c>
      <c r="W4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09" t="str">
        <f t="shared" ca="1" si="43"/>
        <v>Due/Open</v>
      </c>
      <c r="Y409" t="str">
        <f t="shared" si="44"/>
        <v>Open</v>
      </c>
      <c r="Z409" t="str">
        <f t="shared" si="45"/>
        <v>Oct-2025</v>
      </c>
      <c r="AA409" t="str">
        <f t="shared" si="46"/>
        <v>Q4 2025</v>
      </c>
      <c r="AB409" s="4">
        <f t="shared" ca="1" si="47"/>
        <v>247</v>
      </c>
      <c r="AC409" t="str">
        <f t="shared" si="48"/>
        <v>Low</v>
      </c>
    </row>
    <row r="410" spans="1:29">
      <c r="A410" t="s">
        <v>1785</v>
      </c>
      <c r="B410" s="2">
        <v>45670</v>
      </c>
      <c r="C410" t="s">
        <v>602</v>
      </c>
      <c r="D410" t="s">
        <v>1366</v>
      </c>
      <c r="E410" t="s">
        <v>1786</v>
      </c>
      <c r="F410" t="s">
        <v>1787</v>
      </c>
      <c r="G410" t="s">
        <v>79</v>
      </c>
      <c r="H410" t="s">
        <v>97</v>
      </c>
      <c r="I410" t="s">
        <v>148</v>
      </c>
      <c r="J410" t="s">
        <v>131</v>
      </c>
      <c r="K410" t="s">
        <v>51</v>
      </c>
      <c r="L410" t="s">
        <v>125</v>
      </c>
      <c r="M410" t="s">
        <v>210</v>
      </c>
      <c r="N410" t="s">
        <v>134</v>
      </c>
      <c r="O410" s="3">
        <v>200000</v>
      </c>
      <c r="P410" s="4">
        <v>0</v>
      </c>
      <c r="Q410" s="2">
        <v>45731</v>
      </c>
      <c r="R410" s="2"/>
      <c r="S410" s="2">
        <v>45692</v>
      </c>
      <c r="T410" s="2">
        <v>45731</v>
      </c>
      <c r="U410" t="str">
        <f t="shared" si="42"/>
        <v>No</v>
      </c>
      <c r="V410" t="s">
        <v>276</v>
      </c>
      <c r="W41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410" t="str">
        <f t="shared" ca="1" si="43"/>
        <v>Closed</v>
      </c>
      <c r="Y410" t="str">
        <f t="shared" si="44"/>
        <v>Closed</v>
      </c>
      <c r="Z410" t="str">
        <f t="shared" si="45"/>
        <v>Jan-2025</v>
      </c>
      <c r="AA410" t="str">
        <f t="shared" si="46"/>
        <v>Q1 2025</v>
      </c>
      <c r="AB410" s="4">
        <f t="shared" ca="1" si="47"/>
        <v>529</v>
      </c>
      <c r="AC410" t="str">
        <f t="shared" si="48"/>
        <v>Medium</v>
      </c>
    </row>
    <row r="411" spans="1:29">
      <c r="A411" t="s">
        <v>1788</v>
      </c>
      <c r="B411" s="2">
        <v>45879</v>
      </c>
      <c r="C411" t="s">
        <v>1789</v>
      </c>
      <c r="D411" t="s">
        <v>552</v>
      </c>
      <c r="E411" t="s">
        <v>1790</v>
      </c>
      <c r="F411" t="s">
        <v>1791</v>
      </c>
      <c r="G411" t="s">
        <v>69</v>
      </c>
      <c r="H411" t="s">
        <v>270</v>
      </c>
      <c r="I411" t="s">
        <v>141</v>
      </c>
      <c r="J411" t="s">
        <v>37</v>
      </c>
      <c r="K411" t="s">
        <v>100</v>
      </c>
      <c r="L411" t="s">
        <v>142</v>
      </c>
      <c r="M411" t="s">
        <v>82</v>
      </c>
      <c r="N411" t="s">
        <v>83</v>
      </c>
      <c r="O411" s="3">
        <v>170000</v>
      </c>
      <c r="P411" s="4">
        <v>10</v>
      </c>
      <c r="Q411" s="2">
        <v>45922</v>
      </c>
      <c r="R411" s="2">
        <v>46174</v>
      </c>
      <c r="S411" s="2">
        <v>45903</v>
      </c>
      <c r="T411" s="2"/>
      <c r="U411" t="str">
        <f t="shared" si="42"/>
        <v>No</v>
      </c>
      <c r="W4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1" t="str">
        <f t="shared" ca="1" si="43"/>
        <v>Overdue</v>
      </c>
      <c r="Y411" t="str">
        <f t="shared" si="44"/>
        <v>Open</v>
      </c>
      <c r="Z411" t="str">
        <f t="shared" si="45"/>
        <v>Aug-2025</v>
      </c>
      <c r="AA411" t="str">
        <f t="shared" si="46"/>
        <v>Q3 2025</v>
      </c>
      <c r="AB411" s="4">
        <f t="shared" ca="1" si="47"/>
        <v>320</v>
      </c>
      <c r="AC411" t="str">
        <f t="shared" si="48"/>
        <v>Medium</v>
      </c>
    </row>
    <row r="412" spans="1:29">
      <c r="A412" t="s">
        <v>1792</v>
      </c>
      <c r="B412" s="2">
        <v>45773</v>
      </c>
      <c r="C412" t="s">
        <v>1637</v>
      </c>
      <c r="D412" t="s">
        <v>1254</v>
      </c>
      <c r="E412" t="s">
        <v>1793</v>
      </c>
      <c r="F412" t="s">
        <v>1794</v>
      </c>
      <c r="G412" t="s">
        <v>69</v>
      </c>
      <c r="H412" t="s">
        <v>285</v>
      </c>
      <c r="I412" t="s">
        <v>123</v>
      </c>
      <c r="J412" t="s">
        <v>99</v>
      </c>
      <c r="K412" t="s">
        <v>194</v>
      </c>
      <c r="L412" t="s">
        <v>81</v>
      </c>
      <c r="M412" t="s">
        <v>53</v>
      </c>
      <c r="N412" t="s">
        <v>54</v>
      </c>
      <c r="O412" s="3">
        <v>465000</v>
      </c>
      <c r="P412" s="4">
        <v>25</v>
      </c>
      <c r="Q412" s="2">
        <v>45852</v>
      </c>
      <c r="R412" s="2">
        <v>46223</v>
      </c>
      <c r="S412" s="2">
        <v>45787</v>
      </c>
      <c r="T412" s="2"/>
      <c r="U412" t="str">
        <f t="shared" si="42"/>
        <v>No</v>
      </c>
      <c r="W4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2" t="str">
        <f t="shared" ca="1" si="43"/>
        <v>Due/Open</v>
      </c>
      <c r="Y412" t="str">
        <f t="shared" si="44"/>
        <v>Open</v>
      </c>
      <c r="Z412" t="str">
        <f t="shared" si="45"/>
        <v>Apr-2025</v>
      </c>
      <c r="AA412" t="str">
        <f t="shared" si="46"/>
        <v>Q2 2025</v>
      </c>
      <c r="AB412" s="4">
        <f t="shared" ca="1" si="47"/>
        <v>426</v>
      </c>
      <c r="AC412" t="str">
        <f t="shared" si="48"/>
        <v>High</v>
      </c>
    </row>
    <row r="413" spans="1:29">
      <c r="A413" t="s">
        <v>1795</v>
      </c>
      <c r="B413" s="2">
        <v>45830</v>
      </c>
      <c r="C413" t="s">
        <v>1374</v>
      </c>
      <c r="D413" t="s">
        <v>423</v>
      </c>
      <c r="E413" t="s">
        <v>1796</v>
      </c>
      <c r="F413" t="s">
        <v>1797</v>
      </c>
      <c r="G413" t="s">
        <v>69</v>
      </c>
      <c r="H413" t="s">
        <v>200</v>
      </c>
      <c r="I413" t="s">
        <v>36</v>
      </c>
      <c r="J413" t="s">
        <v>37</v>
      </c>
      <c r="K413" t="s">
        <v>38</v>
      </c>
      <c r="L413" t="s">
        <v>132</v>
      </c>
      <c r="M413" t="s">
        <v>210</v>
      </c>
      <c r="N413" t="s">
        <v>134</v>
      </c>
      <c r="O413" s="3">
        <v>45000</v>
      </c>
      <c r="P413" s="4">
        <v>0</v>
      </c>
      <c r="Q413" s="2">
        <v>45886</v>
      </c>
      <c r="R413" s="2"/>
      <c r="S413" s="2">
        <v>45841</v>
      </c>
      <c r="T413" s="2">
        <v>45886</v>
      </c>
      <c r="U413" t="str">
        <f t="shared" si="42"/>
        <v>No</v>
      </c>
      <c r="V413" t="s">
        <v>1105</v>
      </c>
      <c r="W41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413" t="str">
        <f t="shared" ca="1" si="43"/>
        <v>Closed</v>
      </c>
      <c r="Y413" t="str">
        <f t="shared" si="44"/>
        <v>Closed</v>
      </c>
      <c r="Z413" t="str">
        <f t="shared" si="45"/>
        <v>Jun-2025</v>
      </c>
      <c r="AA413" t="str">
        <f t="shared" si="46"/>
        <v>Q2 2025</v>
      </c>
      <c r="AB413" s="4">
        <f t="shared" ca="1" si="47"/>
        <v>369</v>
      </c>
      <c r="AC413" t="str">
        <f t="shared" si="48"/>
        <v>Low</v>
      </c>
    </row>
    <row r="414" spans="1:29">
      <c r="A414" t="s">
        <v>1798</v>
      </c>
      <c r="B414" s="2">
        <v>46133</v>
      </c>
      <c r="C414" t="s">
        <v>602</v>
      </c>
      <c r="D414" t="s">
        <v>1254</v>
      </c>
      <c r="E414" t="s">
        <v>1799</v>
      </c>
      <c r="F414" t="s">
        <v>1800</v>
      </c>
      <c r="G414" t="s">
        <v>179</v>
      </c>
      <c r="H414" t="s">
        <v>296</v>
      </c>
      <c r="I414" t="s">
        <v>36</v>
      </c>
      <c r="J414" t="s">
        <v>50</v>
      </c>
      <c r="K414" t="s">
        <v>38</v>
      </c>
      <c r="L414" t="s">
        <v>239</v>
      </c>
      <c r="M414" t="s">
        <v>133</v>
      </c>
      <c r="N414" t="s">
        <v>134</v>
      </c>
      <c r="O414" s="3">
        <v>160000</v>
      </c>
      <c r="P414" s="4">
        <v>0</v>
      </c>
      <c r="Q414" s="2">
        <v>46190</v>
      </c>
      <c r="R414" s="2"/>
      <c r="S414" s="2">
        <v>46137</v>
      </c>
      <c r="T414" s="2">
        <v>46190</v>
      </c>
      <c r="U414" t="str">
        <f t="shared" si="42"/>
        <v>No</v>
      </c>
      <c r="V414" t="s">
        <v>452</v>
      </c>
      <c r="W4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414" t="str">
        <f t="shared" ca="1" si="43"/>
        <v>Closed</v>
      </c>
      <c r="Y414" t="str">
        <f t="shared" si="44"/>
        <v>Closed</v>
      </c>
      <c r="Z414" t="str">
        <f t="shared" si="45"/>
        <v>Apr-2026</v>
      </c>
      <c r="AA414" t="str">
        <f t="shared" si="46"/>
        <v>Q2 2026</v>
      </c>
      <c r="AB414" s="4">
        <f t="shared" ca="1" si="47"/>
        <v>66</v>
      </c>
      <c r="AC414" t="str">
        <f t="shared" si="48"/>
        <v>Medium</v>
      </c>
    </row>
    <row r="415" spans="1:29">
      <c r="A415" t="s">
        <v>1801</v>
      </c>
      <c r="B415" s="2">
        <v>46062</v>
      </c>
      <c r="C415" t="s">
        <v>1802</v>
      </c>
      <c r="D415" t="s">
        <v>1178</v>
      </c>
      <c r="E415" t="s">
        <v>1803</v>
      </c>
      <c r="F415" t="s">
        <v>1804</v>
      </c>
      <c r="G415" t="s">
        <v>179</v>
      </c>
      <c r="H415" t="s">
        <v>436</v>
      </c>
      <c r="I415" t="s">
        <v>61</v>
      </c>
      <c r="J415" t="s">
        <v>99</v>
      </c>
      <c r="K415" t="s">
        <v>51</v>
      </c>
      <c r="L415" t="s">
        <v>107</v>
      </c>
      <c r="M415" t="s">
        <v>82</v>
      </c>
      <c r="N415" t="s">
        <v>83</v>
      </c>
      <c r="O415" s="3">
        <v>535000</v>
      </c>
      <c r="P415" s="4">
        <v>5</v>
      </c>
      <c r="Q415" s="2">
        <v>46147</v>
      </c>
      <c r="R415" s="2">
        <v>46179</v>
      </c>
      <c r="S415" s="2">
        <v>46072</v>
      </c>
      <c r="T415" s="2"/>
      <c r="U415" t="str">
        <f t="shared" si="42"/>
        <v>No</v>
      </c>
      <c r="W4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5" t="str">
        <f t="shared" ca="1" si="43"/>
        <v>Overdue</v>
      </c>
      <c r="Y415" t="str">
        <f t="shared" si="44"/>
        <v>Open</v>
      </c>
      <c r="Z415" t="str">
        <f t="shared" si="45"/>
        <v>Feb-2026</v>
      </c>
      <c r="AA415" t="str">
        <f t="shared" si="46"/>
        <v>Q1 2026</v>
      </c>
      <c r="AB415" s="4">
        <f t="shared" ca="1" si="47"/>
        <v>137</v>
      </c>
      <c r="AC415" t="str">
        <f t="shared" si="48"/>
        <v>High</v>
      </c>
    </row>
    <row r="416" spans="1:29">
      <c r="A416" t="s">
        <v>1805</v>
      </c>
      <c r="B416" s="2">
        <v>45658</v>
      </c>
      <c r="C416" t="s">
        <v>1806</v>
      </c>
      <c r="D416" t="s">
        <v>747</v>
      </c>
      <c r="E416" t="s">
        <v>1807</v>
      </c>
      <c r="F416" t="s">
        <v>1808</v>
      </c>
      <c r="G416" t="s">
        <v>179</v>
      </c>
      <c r="H416" t="s">
        <v>186</v>
      </c>
      <c r="I416" t="s">
        <v>36</v>
      </c>
      <c r="J416" t="s">
        <v>50</v>
      </c>
      <c r="K416" t="s">
        <v>114</v>
      </c>
      <c r="L416" t="s">
        <v>107</v>
      </c>
      <c r="M416" t="s">
        <v>53</v>
      </c>
      <c r="N416" t="s">
        <v>54</v>
      </c>
      <c r="O416" s="3">
        <v>345000</v>
      </c>
      <c r="P416" s="4">
        <v>30</v>
      </c>
      <c r="Q416" s="2">
        <v>45688</v>
      </c>
      <c r="R416" s="2">
        <v>46155</v>
      </c>
      <c r="S416" s="2">
        <v>45673</v>
      </c>
      <c r="T416" s="2"/>
      <c r="U416" t="str">
        <f t="shared" si="42"/>
        <v>No</v>
      </c>
      <c r="W4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6" t="str">
        <f t="shared" ca="1" si="43"/>
        <v>Overdue</v>
      </c>
      <c r="Y416" t="str">
        <f t="shared" si="44"/>
        <v>Open</v>
      </c>
      <c r="Z416" t="str">
        <f t="shared" si="45"/>
        <v>Jan-2025</v>
      </c>
      <c r="AA416" t="str">
        <f t="shared" si="46"/>
        <v>Q1 2025</v>
      </c>
      <c r="AB416" s="4">
        <f t="shared" ca="1" si="47"/>
        <v>541</v>
      </c>
      <c r="AC416" t="str">
        <f t="shared" si="48"/>
        <v>High</v>
      </c>
    </row>
    <row r="417" spans="1:29">
      <c r="A417" t="s">
        <v>1809</v>
      </c>
      <c r="B417" s="2">
        <v>45675</v>
      </c>
      <c r="C417" t="s">
        <v>1810</v>
      </c>
      <c r="D417" t="s">
        <v>332</v>
      </c>
      <c r="E417" t="s">
        <v>1811</v>
      </c>
      <c r="F417" t="s">
        <v>1812</v>
      </c>
      <c r="G417" t="s">
        <v>69</v>
      </c>
      <c r="H417" t="s">
        <v>270</v>
      </c>
      <c r="I417" t="s">
        <v>187</v>
      </c>
      <c r="J417" t="s">
        <v>99</v>
      </c>
      <c r="K417" t="s">
        <v>100</v>
      </c>
      <c r="L417" t="s">
        <v>115</v>
      </c>
      <c r="M417" t="s">
        <v>82</v>
      </c>
      <c r="N417" t="s">
        <v>83</v>
      </c>
      <c r="O417" s="3">
        <v>255000</v>
      </c>
      <c r="P417" s="4">
        <v>5</v>
      </c>
      <c r="Q417" s="2">
        <v>45701</v>
      </c>
      <c r="R417" s="2">
        <v>46200</v>
      </c>
      <c r="S417" s="2">
        <v>45698</v>
      </c>
      <c r="T417" s="2"/>
      <c r="U417" t="str">
        <f t="shared" si="42"/>
        <v>No</v>
      </c>
      <c r="W4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7" t="str">
        <f t="shared" ca="1" si="43"/>
        <v>Due/Open</v>
      </c>
      <c r="Y417" t="str">
        <f t="shared" si="44"/>
        <v>Open</v>
      </c>
      <c r="Z417" t="str">
        <f t="shared" si="45"/>
        <v>Jan-2025</v>
      </c>
      <c r="AA417" t="str">
        <f t="shared" si="46"/>
        <v>Q1 2025</v>
      </c>
      <c r="AB417" s="4">
        <f t="shared" ca="1" si="47"/>
        <v>524</v>
      </c>
      <c r="AC417" t="str">
        <f t="shared" si="48"/>
        <v>Medium</v>
      </c>
    </row>
    <row r="418" spans="1:29">
      <c r="A418" t="s">
        <v>1813</v>
      </c>
      <c r="B418" s="2">
        <v>46169</v>
      </c>
      <c r="C418" t="s">
        <v>1814</v>
      </c>
      <c r="D418" t="s">
        <v>1815</v>
      </c>
      <c r="E418" t="s">
        <v>1816</v>
      </c>
      <c r="F418" t="s">
        <v>1817</v>
      </c>
      <c r="G418" t="s">
        <v>47</v>
      </c>
      <c r="H418" t="s">
        <v>493</v>
      </c>
      <c r="I418" t="s">
        <v>36</v>
      </c>
      <c r="J418" t="s">
        <v>131</v>
      </c>
      <c r="K418" t="s">
        <v>194</v>
      </c>
      <c r="L418" t="s">
        <v>72</v>
      </c>
      <c r="M418" t="s">
        <v>116</v>
      </c>
      <c r="N418" t="s">
        <v>54</v>
      </c>
      <c r="O418" s="3">
        <v>325000</v>
      </c>
      <c r="P418" s="4">
        <v>25</v>
      </c>
      <c r="Q418" s="2">
        <v>46251</v>
      </c>
      <c r="R418" s="2">
        <v>46211</v>
      </c>
      <c r="S418" s="2">
        <v>46186</v>
      </c>
      <c r="T418" s="2"/>
      <c r="U418" t="str">
        <f t="shared" si="42"/>
        <v>No</v>
      </c>
      <c r="W4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8" t="str">
        <f t="shared" ca="1" si="43"/>
        <v>Due/Open</v>
      </c>
      <c r="Y418" t="str">
        <f t="shared" si="44"/>
        <v>Open</v>
      </c>
      <c r="Z418" t="str">
        <f t="shared" si="45"/>
        <v>May-2026</v>
      </c>
      <c r="AA418" t="str">
        <f t="shared" si="46"/>
        <v>Q2 2026</v>
      </c>
      <c r="AB418" s="4">
        <f t="shared" ca="1" si="47"/>
        <v>30</v>
      </c>
      <c r="AC418" t="str">
        <f t="shared" si="48"/>
        <v>High</v>
      </c>
    </row>
    <row r="419" spans="1:29">
      <c r="A419" t="s">
        <v>1818</v>
      </c>
      <c r="B419" s="2">
        <v>46043</v>
      </c>
      <c r="C419" t="s">
        <v>1265</v>
      </c>
      <c r="D419" t="s">
        <v>1052</v>
      </c>
      <c r="E419" t="s">
        <v>1819</v>
      </c>
      <c r="F419" t="s">
        <v>1820</v>
      </c>
      <c r="G419" t="s">
        <v>179</v>
      </c>
      <c r="H419" t="s">
        <v>487</v>
      </c>
      <c r="I419" t="s">
        <v>98</v>
      </c>
      <c r="J419" t="s">
        <v>131</v>
      </c>
      <c r="K419" t="s">
        <v>71</v>
      </c>
      <c r="L419" t="s">
        <v>132</v>
      </c>
      <c r="M419" t="s">
        <v>166</v>
      </c>
      <c r="N419" t="s">
        <v>167</v>
      </c>
      <c r="O419" s="3">
        <v>315000</v>
      </c>
      <c r="P419" s="4">
        <v>60</v>
      </c>
      <c r="Q419" s="2">
        <v>46117</v>
      </c>
      <c r="R419" s="2">
        <v>46210</v>
      </c>
      <c r="S419" s="2">
        <v>46058</v>
      </c>
      <c r="T419" s="2"/>
      <c r="U419" t="str">
        <f t="shared" si="42"/>
        <v>No</v>
      </c>
      <c r="W4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19" t="str">
        <f t="shared" ca="1" si="43"/>
        <v>Due/Open</v>
      </c>
      <c r="Y419" t="str">
        <f t="shared" si="44"/>
        <v>Open</v>
      </c>
      <c r="Z419" t="str">
        <f t="shared" si="45"/>
        <v>Jan-2026</v>
      </c>
      <c r="AA419" t="str">
        <f t="shared" si="46"/>
        <v>Q1 2026</v>
      </c>
      <c r="AB419" s="4">
        <f t="shared" ca="1" si="47"/>
        <v>156</v>
      </c>
      <c r="AC419" t="str">
        <f t="shared" si="48"/>
        <v>High</v>
      </c>
    </row>
    <row r="420" spans="1:29">
      <c r="A420" t="s">
        <v>1821</v>
      </c>
      <c r="B420" s="2">
        <v>45963</v>
      </c>
      <c r="C420" t="s">
        <v>1747</v>
      </c>
      <c r="D420" t="s">
        <v>1600</v>
      </c>
      <c r="E420" t="s">
        <v>1822</v>
      </c>
      <c r="F420" t="s">
        <v>1823</v>
      </c>
      <c r="G420" t="s">
        <v>69</v>
      </c>
      <c r="H420" t="s">
        <v>312</v>
      </c>
      <c r="I420" t="s">
        <v>141</v>
      </c>
      <c r="J420" t="s">
        <v>124</v>
      </c>
      <c r="K420" t="s">
        <v>51</v>
      </c>
      <c r="L420" t="s">
        <v>142</v>
      </c>
      <c r="M420" t="s">
        <v>116</v>
      </c>
      <c r="N420" t="s">
        <v>54</v>
      </c>
      <c r="O420" s="3">
        <v>255000</v>
      </c>
      <c r="P420" s="4">
        <v>25</v>
      </c>
      <c r="Q420" s="2">
        <v>45989</v>
      </c>
      <c r="R420" s="2">
        <v>46215</v>
      </c>
      <c r="S420" s="2">
        <v>45989</v>
      </c>
      <c r="T420" s="2"/>
      <c r="U420" t="str">
        <f t="shared" si="42"/>
        <v>No</v>
      </c>
      <c r="W4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0" t="str">
        <f t="shared" ca="1" si="43"/>
        <v>Due/Open</v>
      </c>
      <c r="Y420" t="str">
        <f t="shared" si="44"/>
        <v>Open</v>
      </c>
      <c r="Z420" t="str">
        <f t="shared" si="45"/>
        <v>Nov-2025</v>
      </c>
      <c r="AA420" t="str">
        <f t="shared" si="46"/>
        <v>Q4 2025</v>
      </c>
      <c r="AB420" s="4">
        <f t="shared" ca="1" si="47"/>
        <v>236</v>
      </c>
      <c r="AC420" t="str">
        <f t="shared" si="48"/>
        <v>Medium</v>
      </c>
    </row>
    <row r="421" spans="1:29">
      <c r="A421" t="s">
        <v>1824</v>
      </c>
      <c r="B421" s="2">
        <v>46101</v>
      </c>
      <c r="C421" t="s">
        <v>1825</v>
      </c>
      <c r="D421" t="s">
        <v>784</v>
      </c>
      <c r="E421" t="s">
        <v>1826</v>
      </c>
      <c r="F421" t="s">
        <v>1827</v>
      </c>
      <c r="G421" t="s">
        <v>69</v>
      </c>
      <c r="H421" t="s">
        <v>193</v>
      </c>
      <c r="I421" t="s">
        <v>141</v>
      </c>
      <c r="J421" t="s">
        <v>99</v>
      </c>
      <c r="K421" t="s">
        <v>194</v>
      </c>
      <c r="L421" t="s">
        <v>115</v>
      </c>
      <c r="M421" t="s">
        <v>90</v>
      </c>
      <c r="N421" t="s">
        <v>91</v>
      </c>
      <c r="O421" s="3">
        <v>570000</v>
      </c>
      <c r="P421" s="4">
        <v>50</v>
      </c>
      <c r="Q421" s="2">
        <v>46177</v>
      </c>
      <c r="R421" s="2">
        <v>46183</v>
      </c>
      <c r="S421" s="2">
        <v>46122</v>
      </c>
      <c r="T421" s="2"/>
      <c r="U421" t="str">
        <f t="shared" si="42"/>
        <v>No</v>
      </c>
      <c r="W4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1" t="str">
        <f t="shared" ca="1" si="43"/>
        <v>Overdue</v>
      </c>
      <c r="Y421" t="str">
        <f t="shared" si="44"/>
        <v>Open</v>
      </c>
      <c r="Z421" t="str">
        <f t="shared" si="45"/>
        <v>Mar-2026</v>
      </c>
      <c r="AA421" t="str">
        <f t="shared" si="46"/>
        <v>Q1 2026</v>
      </c>
      <c r="AB421" s="4">
        <f t="shared" ca="1" si="47"/>
        <v>98</v>
      </c>
      <c r="AC421" t="str">
        <f t="shared" si="48"/>
        <v>High</v>
      </c>
    </row>
    <row r="422" spans="1:29">
      <c r="A422" t="s">
        <v>1828</v>
      </c>
      <c r="B422" s="2">
        <v>46086</v>
      </c>
      <c r="C422" t="s">
        <v>1440</v>
      </c>
      <c r="D422" t="s">
        <v>242</v>
      </c>
      <c r="E422" t="s">
        <v>1829</v>
      </c>
      <c r="F422" t="s">
        <v>1830</v>
      </c>
      <c r="G422" t="s">
        <v>47</v>
      </c>
      <c r="H422" t="s">
        <v>113</v>
      </c>
      <c r="I422" t="s">
        <v>187</v>
      </c>
      <c r="J422" t="s">
        <v>62</v>
      </c>
      <c r="K422" t="s">
        <v>51</v>
      </c>
      <c r="L422" t="s">
        <v>154</v>
      </c>
      <c r="M422" t="s">
        <v>73</v>
      </c>
      <c r="N422" t="s">
        <v>73</v>
      </c>
      <c r="O422" s="3">
        <v>410000</v>
      </c>
      <c r="P422" s="4">
        <v>85</v>
      </c>
      <c r="Q422" s="2">
        <v>46139</v>
      </c>
      <c r="R422" s="2">
        <v>46241</v>
      </c>
      <c r="S422" s="2">
        <v>46088</v>
      </c>
      <c r="T422" s="2"/>
      <c r="U422" t="str">
        <f t="shared" si="42"/>
        <v>No</v>
      </c>
      <c r="W4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2" t="str">
        <f t="shared" ca="1" si="43"/>
        <v>Due/Open</v>
      </c>
      <c r="Y422" t="str">
        <f t="shared" si="44"/>
        <v>Open</v>
      </c>
      <c r="Z422" t="str">
        <f t="shared" si="45"/>
        <v>Mar-2026</v>
      </c>
      <c r="AA422" t="str">
        <f t="shared" si="46"/>
        <v>Q1 2026</v>
      </c>
      <c r="AB422" s="4">
        <f t="shared" ca="1" si="47"/>
        <v>113</v>
      </c>
      <c r="AC422" t="str">
        <f t="shared" si="48"/>
        <v>High</v>
      </c>
    </row>
    <row r="423" spans="1:29">
      <c r="A423" t="s">
        <v>1831</v>
      </c>
      <c r="B423" s="2">
        <v>46019</v>
      </c>
      <c r="C423" t="s">
        <v>235</v>
      </c>
      <c r="D423" t="s">
        <v>103</v>
      </c>
      <c r="E423" t="s">
        <v>1832</v>
      </c>
      <c r="F423" t="s">
        <v>1833</v>
      </c>
      <c r="G423" t="s">
        <v>179</v>
      </c>
      <c r="H423" t="s">
        <v>186</v>
      </c>
      <c r="I423" t="s">
        <v>49</v>
      </c>
      <c r="J423" t="s">
        <v>124</v>
      </c>
      <c r="K423" t="s">
        <v>51</v>
      </c>
      <c r="L423" t="s">
        <v>154</v>
      </c>
      <c r="M423" t="s">
        <v>116</v>
      </c>
      <c r="N423" t="s">
        <v>54</v>
      </c>
      <c r="O423" s="3">
        <v>340000</v>
      </c>
      <c r="P423" s="4">
        <v>15</v>
      </c>
      <c r="Q423" s="2">
        <v>46109</v>
      </c>
      <c r="R423" s="2">
        <v>46238</v>
      </c>
      <c r="S423" s="2">
        <v>46024</v>
      </c>
      <c r="T423" s="2"/>
      <c r="U423" t="str">
        <f t="shared" si="42"/>
        <v>No</v>
      </c>
      <c r="W4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3" t="str">
        <f t="shared" ca="1" si="43"/>
        <v>Due/Open</v>
      </c>
      <c r="Y423" t="str">
        <f t="shared" si="44"/>
        <v>Open</v>
      </c>
      <c r="Z423" t="str">
        <f t="shared" si="45"/>
        <v>Dec-2025</v>
      </c>
      <c r="AA423" t="str">
        <f t="shared" si="46"/>
        <v>Q4 2025</v>
      </c>
      <c r="AB423" s="4">
        <f t="shared" ca="1" si="47"/>
        <v>180</v>
      </c>
      <c r="AC423" t="str">
        <f t="shared" si="48"/>
        <v>High</v>
      </c>
    </row>
    <row r="424" spans="1:29">
      <c r="A424" t="s">
        <v>1834</v>
      </c>
      <c r="B424" s="2">
        <v>45793</v>
      </c>
      <c r="C424" t="s">
        <v>1835</v>
      </c>
      <c r="D424" t="s">
        <v>1319</v>
      </c>
      <c r="E424" t="s">
        <v>1836</v>
      </c>
      <c r="F424" t="s">
        <v>1837</v>
      </c>
      <c r="G424" t="s">
        <v>79</v>
      </c>
      <c r="H424" t="s">
        <v>80</v>
      </c>
      <c r="I424" t="s">
        <v>123</v>
      </c>
      <c r="J424" t="s">
        <v>62</v>
      </c>
      <c r="K424" t="s">
        <v>71</v>
      </c>
      <c r="L424" t="s">
        <v>39</v>
      </c>
      <c r="M424" t="s">
        <v>116</v>
      </c>
      <c r="N424" t="s">
        <v>54</v>
      </c>
      <c r="O424" s="3">
        <v>325000</v>
      </c>
      <c r="P424" s="4">
        <v>20</v>
      </c>
      <c r="Q424" s="2">
        <v>45845</v>
      </c>
      <c r="R424" s="2">
        <v>46206</v>
      </c>
      <c r="S424" s="2">
        <v>45822</v>
      </c>
      <c r="T424" s="2"/>
      <c r="U424" t="str">
        <f t="shared" si="42"/>
        <v>No</v>
      </c>
      <c r="W4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4" t="str">
        <f t="shared" ca="1" si="43"/>
        <v>Due/Open</v>
      </c>
      <c r="Y424" t="str">
        <f t="shared" si="44"/>
        <v>Open</v>
      </c>
      <c r="Z424" t="str">
        <f t="shared" si="45"/>
        <v>May-2025</v>
      </c>
      <c r="AA424" t="str">
        <f t="shared" si="46"/>
        <v>Q2 2025</v>
      </c>
      <c r="AB424" s="4">
        <f t="shared" ca="1" si="47"/>
        <v>406</v>
      </c>
      <c r="AC424" t="str">
        <f t="shared" si="48"/>
        <v>High</v>
      </c>
    </row>
    <row r="425" spans="1:29">
      <c r="A425" t="s">
        <v>1838</v>
      </c>
      <c r="B425" s="2">
        <v>45859</v>
      </c>
      <c r="C425" t="s">
        <v>1839</v>
      </c>
      <c r="D425" t="s">
        <v>1335</v>
      </c>
      <c r="E425" t="s">
        <v>1840</v>
      </c>
      <c r="F425" t="s">
        <v>1841</v>
      </c>
      <c r="G425" t="s">
        <v>47</v>
      </c>
      <c r="H425" t="s">
        <v>493</v>
      </c>
      <c r="I425" t="s">
        <v>36</v>
      </c>
      <c r="J425" t="s">
        <v>124</v>
      </c>
      <c r="K425" t="s">
        <v>71</v>
      </c>
      <c r="L425" t="s">
        <v>63</v>
      </c>
      <c r="M425" t="s">
        <v>82</v>
      </c>
      <c r="N425" t="s">
        <v>83</v>
      </c>
      <c r="O425" s="3">
        <v>170000</v>
      </c>
      <c r="P425" s="4">
        <v>5</v>
      </c>
      <c r="Q425" s="2">
        <v>45886</v>
      </c>
      <c r="R425" s="2">
        <v>46161</v>
      </c>
      <c r="S425" s="2">
        <v>45873</v>
      </c>
      <c r="T425" s="2"/>
      <c r="U425" t="str">
        <f t="shared" si="42"/>
        <v>No</v>
      </c>
      <c r="W4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5" t="str">
        <f t="shared" ca="1" si="43"/>
        <v>Overdue</v>
      </c>
      <c r="Y425" t="str">
        <f t="shared" si="44"/>
        <v>Open</v>
      </c>
      <c r="Z425" t="str">
        <f t="shared" si="45"/>
        <v>Jul-2025</v>
      </c>
      <c r="AA425" t="str">
        <f t="shared" si="46"/>
        <v>Q3 2025</v>
      </c>
      <c r="AB425" s="4">
        <f t="shared" ca="1" si="47"/>
        <v>340</v>
      </c>
      <c r="AC425" t="str">
        <f t="shared" si="48"/>
        <v>Medium</v>
      </c>
    </row>
    <row r="426" spans="1:29">
      <c r="A426" t="s">
        <v>1842</v>
      </c>
      <c r="B426" s="2">
        <v>45907</v>
      </c>
      <c r="C426" t="s">
        <v>1843</v>
      </c>
      <c r="D426" t="s">
        <v>247</v>
      </c>
      <c r="E426" t="s">
        <v>1844</v>
      </c>
      <c r="F426" t="s">
        <v>1845</v>
      </c>
      <c r="G426" t="s">
        <v>47</v>
      </c>
      <c r="H426" t="s">
        <v>122</v>
      </c>
      <c r="I426" t="s">
        <v>123</v>
      </c>
      <c r="J426" t="s">
        <v>131</v>
      </c>
      <c r="K426" t="s">
        <v>51</v>
      </c>
      <c r="L426" t="s">
        <v>125</v>
      </c>
      <c r="M426" t="s">
        <v>210</v>
      </c>
      <c r="N426" t="s">
        <v>134</v>
      </c>
      <c r="O426" s="3">
        <v>145000</v>
      </c>
      <c r="P426" s="4">
        <v>0</v>
      </c>
      <c r="Q426" s="2">
        <v>45966</v>
      </c>
      <c r="R426" s="2"/>
      <c r="S426" s="2">
        <v>45924</v>
      </c>
      <c r="T426" s="2">
        <v>45966</v>
      </c>
      <c r="U426" t="str">
        <f t="shared" si="42"/>
        <v>No</v>
      </c>
      <c r="V426" t="s">
        <v>319</v>
      </c>
      <c r="W42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59</v>
      </c>
      <c r="X426" t="str">
        <f t="shared" ca="1" si="43"/>
        <v>Closed</v>
      </c>
      <c r="Y426" t="str">
        <f t="shared" si="44"/>
        <v>Closed</v>
      </c>
      <c r="Z426" t="str">
        <f t="shared" si="45"/>
        <v>Sep-2025</v>
      </c>
      <c r="AA426" t="str">
        <f t="shared" si="46"/>
        <v>Q3 2025</v>
      </c>
      <c r="AB426" s="4">
        <f t="shared" ca="1" si="47"/>
        <v>292</v>
      </c>
      <c r="AC426" t="str">
        <f t="shared" si="48"/>
        <v>Medium</v>
      </c>
    </row>
    <row r="427" spans="1:29">
      <c r="A427" t="s">
        <v>1846</v>
      </c>
      <c r="B427" s="2">
        <v>46028</v>
      </c>
      <c r="C427" t="s">
        <v>1494</v>
      </c>
      <c r="D427" t="s">
        <v>705</v>
      </c>
      <c r="E427" t="s">
        <v>1847</v>
      </c>
      <c r="F427" t="s">
        <v>1848</v>
      </c>
      <c r="G427" t="s">
        <v>179</v>
      </c>
      <c r="H427" t="s">
        <v>436</v>
      </c>
      <c r="I427" t="s">
        <v>36</v>
      </c>
      <c r="J427" t="s">
        <v>62</v>
      </c>
      <c r="K427" t="s">
        <v>114</v>
      </c>
      <c r="L427" t="s">
        <v>154</v>
      </c>
      <c r="M427" t="s">
        <v>73</v>
      </c>
      <c r="N427" t="s">
        <v>73</v>
      </c>
      <c r="O427" s="3">
        <v>240000</v>
      </c>
      <c r="P427" s="4">
        <v>85</v>
      </c>
      <c r="Q427" s="2">
        <v>46109</v>
      </c>
      <c r="R427" s="2">
        <v>46201</v>
      </c>
      <c r="S427" s="2">
        <v>46037</v>
      </c>
      <c r="T427" s="2"/>
      <c r="U427" t="str">
        <f t="shared" si="42"/>
        <v>No</v>
      </c>
      <c r="W4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7" t="str">
        <f t="shared" ca="1" si="43"/>
        <v>Due/Open</v>
      </c>
      <c r="Y427" t="str">
        <f t="shared" si="44"/>
        <v>Open</v>
      </c>
      <c r="Z427" t="str">
        <f t="shared" si="45"/>
        <v>Jan-2026</v>
      </c>
      <c r="AA427" t="str">
        <f t="shared" si="46"/>
        <v>Q1 2026</v>
      </c>
      <c r="AB427" s="4">
        <f t="shared" ca="1" si="47"/>
        <v>171</v>
      </c>
      <c r="AC427" t="str">
        <f t="shared" si="48"/>
        <v>Medium</v>
      </c>
    </row>
    <row r="428" spans="1:29">
      <c r="A428" t="s">
        <v>1849</v>
      </c>
      <c r="B428" s="2">
        <v>45672</v>
      </c>
      <c r="C428" t="s">
        <v>1850</v>
      </c>
      <c r="D428" t="s">
        <v>1315</v>
      </c>
      <c r="E428" t="s">
        <v>1851</v>
      </c>
      <c r="F428" t="s">
        <v>1852</v>
      </c>
      <c r="G428" t="s">
        <v>79</v>
      </c>
      <c r="H428" t="s">
        <v>228</v>
      </c>
      <c r="I428" t="s">
        <v>148</v>
      </c>
      <c r="J428" t="s">
        <v>124</v>
      </c>
      <c r="K428" t="s">
        <v>100</v>
      </c>
      <c r="L428" t="s">
        <v>52</v>
      </c>
      <c r="M428" t="s">
        <v>116</v>
      </c>
      <c r="N428" t="s">
        <v>54</v>
      </c>
      <c r="O428" s="3">
        <v>240000</v>
      </c>
      <c r="P428" s="4">
        <v>25</v>
      </c>
      <c r="Q428" s="2">
        <v>45714</v>
      </c>
      <c r="R428" s="2">
        <v>46235</v>
      </c>
      <c r="S428" s="2">
        <v>45676</v>
      </c>
      <c r="T428" s="2"/>
      <c r="U428" t="str">
        <f t="shared" si="42"/>
        <v>No</v>
      </c>
      <c r="W4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8" t="str">
        <f t="shared" ca="1" si="43"/>
        <v>Due/Open</v>
      </c>
      <c r="Y428" t="str">
        <f t="shared" si="44"/>
        <v>Open</v>
      </c>
      <c r="Z428" t="str">
        <f t="shared" si="45"/>
        <v>Jan-2025</v>
      </c>
      <c r="AA428" t="str">
        <f t="shared" si="46"/>
        <v>Q1 2025</v>
      </c>
      <c r="AB428" s="4">
        <f t="shared" ca="1" si="47"/>
        <v>527</v>
      </c>
      <c r="AC428" t="str">
        <f t="shared" si="48"/>
        <v>Medium</v>
      </c>
    </row>
    <row r="429" spans="1:29">
      <c r="A429" t="s">
        <v>1853</v>
      </c>
      <c r="B429" s="2">
        <v>45863</v>
      </c>
      <c r="C429" t="s">
        <v>868</v>
      </c>
      <c r="D429" t="s">
        <v>1043</v>
      </c>
      <c r="E429" t="s">
        <v>1854</v>
      </c>
      <c r="F429" t="s">
        <v>1855</v>
      </c>
      <c r="G429" t="s">
        <v>79</v>
      </c>
      <c r="H429" t="s">
        <v>217</v>
      </c>
      <c r="I429" t="s">
        <v>98</v>
      </c>
      <c r="J429" t="s">
        <v>37</v>
      </c>
      <c r="K429" t="s">
        <v>38</v>
      </c>
      <c r="L429" t="s">
        <v>81</v>
      </c>
      <c r="M429" t="s">
        <v>90</v>
      </c>
      <c r="N429" t="s">
        <v>91</v>
      </c>
      <c r="O429" s="3">
        <v>165000</v>
      </c>
      <c r="P429" s="4">
        <v>55</v>
      </c>
      <c r="Q429" s="2">
        <v>45935</v>
      </c>
      <c r="R429" s="2">
        <v>46207</v>
      </c>
      <c r="S429" s="2">
        <v>45870</v>
      </c>
      <c r="T429" s="2"/>
      <c r="U429" t="str">
        <f t="shared" si="42"/>
        <v>No</v>
      </c>
      <c r="W4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29" t="str">
        <f t="shared" ca="1" si="43"/>
        <v>Due/Open</v>
      </c>
      <c r="Y429" t="str">
        <f t="shared" si="44"/>
        <v>Open</v>
      </c>
      <c r="Z429" t="str">
        <f t="shared" si="45"/>
        <v>Jul-2025</v>
      </c>
      <c r="AA429" t="str">
        <f t="shared" si="46"/>
        <v>Q3 2025</v>
      </c>
      <c r="AB429" s="4">
        <f t="shared" ca="1" si="47"/>
        <v>336</v>
      </c>
      <c r="AC429" t="str">
        <f t="shared" si="48"/>
        <v>Medium</v>
      </c>
    </row>
    <row r="430" spans="1:29">
      <c r="A430" t="s">
        <v>1856</v>
      </c>
      <c r="B430" s="2">
        <v>45904</v>
      </c>
      <c r="C430" t="s">
        <v>1857</v>
      </c>
      <c r="D430" t="s">
        <v>327</v>
      </c>
      <c r="E430" t="s">
        <v>1858</v>
      </c>
      <c r="F430" t="s">
        <v>1859</v>
      </c>
      <c r="G430" t="s">
        <v>79</v>
      </c>
      <c r="H430" t="s">
        <v>80</v>
      </c>
      <c r="I430" t="s">
        <v>141</v>
      </c>
      <c r="J430" t="s">
        <v>50</v>
      </c>
      <c r="K430" t="s">
        <v>51</v>
      </c>
      <c r="L430" t="s">
        <v>81</v>
      </c>
      <c r="M430" t="s">
        <v>53</v>
      </c>
      <c r="N430" t="s">
        <v>54</v>
      </c>
      <c r="O430" s="3">
        <v>205000</v>
      </c>
      <c r="P430" s="4">
        <v>30</v>
      </c>
      <c r="Q430" s="2">
        <v>45934</v>
      </c>
      <c r="R430" s="2">
        <v>46223</v>
      </c>
      <c r="S430" s="2">
        <v>45915</v>
      </c>
      <c r="T430" s="2"/>
      <c r="U430" t="str">
        <f t="shared" si="42"/>
        <v>No</v>
      </c>
      <c r="W4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0" t="str">
        <f t="shared" ca="1" si="43"/>
        <v>Due/Open</v>
      </c>
      <c r="Y430" t="str">
        <f t="shared" si="44"/>
        <v>Open</v>
      </c>
      <c r="Z430" t="str">
        <f t="shared" si="45"/>
        <v>Sep-2025</v>
      </c>
      <c r="AA430" t="str">
        <f t="shared" si="46"/>
        <v>Q3 2025</v>
      </c>
      <c r="AB430" s="4">
        <f t="shared" ca="1" si="47"/>
        <v>295</v>
      </c>
      <c r="AC430" t="str">
        <f t="shared" si="48"/>
        <v>Medium</v>
      </c>
    </row>
    <row r="431" spans="1:29">
      <c r="A431" t="s">
        <v>1860</v>
      </c>
      <c r="B431" s="2">
        <v>46181</v>
      </c>
      <c r="C431" t="s">
        <v>1323</v>
      </c>
      <c r="D431" t="s">
        <v>1701</v>
      </c>
      <c r="E431" t="s">
        <v>1861</v>
      </c>
      <c r="F431" t="s">
        <v>1862</v>
      </c>
      <c r="G431" t="s">
        <v>79</v>
      </c>
      <c r="H431" t="s">
        <v>106</v>
      </c>
      <c r="I431" t="s">
        <v>98</v>
      </c>
      <c r="J431" t="s">
        <v>124</v>
      </c>
      <c r="K431" t="s">
        <v>38</v>
      </c>
      <c r="L431" t="s">
        <v>239</v>
      </c>
      <c r="M431" t="s">
        <v>53</v>
      </c>
      <c r="N431" t="s">
        <v>54</v>
      </c>
      <c r="O431" s="3">
        <v>220000</v>
      </c>
      <c r="P431" s="4">
        <v>30</v>
      </c>
      <c r="Q431" s="2">
        <v>46255</v>
      </c>
      <c r="R431" s="2">
        <v>46187</v>
      </c>
      <c r="S431" s="2">
        <v>46187</v>
      </c>
      <c r="T431" s="2"/>
      <c r="U431" t="str">
        <f t="shared" si="42"/>
        <v>No</v>
      </c>
      <c r="W4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1" t="str">
        <f t="shared" ca="1" si="43"/>
        <v>Overdue</v>
      </c>
      <c r="Y431" t="str">
        <f t="shared" si="44"/>
        <v>Open</v>
      </c>
      <c r="Z431" t="str">
        <f t="shared" si="45"/>
        <v>Jun-2026</v>
      </c>
      <c r="AA431" t="str">
        <f t="shared" si="46"/>
        <v>Q2 2026</v>
      </c>
      <c r="AB431" s="4">
        <f t="shared" ca="1" si="47"/>
        <v>18</v>
      </c>
      <c r="AC431" t="str">
        <f t="shared" si="48"/>
        <v>Medium</v>
      </c>
    </row>
    <row r="432" spans="1:29">
      <c r="A432" t="s">
        <v>1863</v>
      </c>
      <c r="B432" s="2">
        <v>45918</v>
      </c>
      <c r="C432" t="s">
        <v>709</v>
      </c>
      <c r="D432" t="s">
        <v>934</v>
      </c>
      <c r="E432" t="s">
        <v>1864</v>
      </c>
      <c r="F432" t="s">
        <v>1865</v>
      </c>
      <c r="G432" t="s">
        <v>34</v>
      </c>
      <c r="H432" t="s">
        <v>238</v>
      </c>
      <c r="I432" t="s">
        <v>141</v>
      </c>
      <c r="J432" t="s">
        <v>37</v>
      </c>
      <c r="K432" t="s">
        <v>114</v>
      </c>
      <c r="L432" t="s">
        <v>81</v>
      </c>
      <c r="M432" t="s">
        <v>53</v>
      </c>
      <c r="N432" t="s">
        <v>54</v>
      </c>
      <c r="O432" s="3">
        <v>80000</v>
      </c>
      <c r="P432" s="4">
        <v>35</v>
      </c>
      <c r="Q432" s="2">
        <v>46004</v>
      </c>
      <c r="R432" s="2">
        <v>46166</v>
      </c>
      <c r="S432" s="2">
        <v>45947</v>
      </c>
      <c r="T432" s="2"/>
      <c r="U432" t="str">
        <f t="shared" si="42"/>
        <v>No</v>
      </c>
      <c r="W4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2" t="str">
        <f t="shared" ca="1" si="43"/>
        <v>Overdue</v>
      </c>
      <c r="Y432" t="str">
        <f t="shared" si="44"/>
        <v>Open</v>
      </c>
      <c r="Z432" t="str">
        <f t="shared" si="45"/>
        <v>Sep-2025</v>
      </c>
      <c r="AA432" t="str">
        <f t="shared" si="46"/>
        <v>Q3 2025</v>
      </c>
      <c r="AB432" s="4">
        <f t="shared" ca="1" si="47"/>
        <v>281</v>
      </c>
      <c r="AC432" t="str">
        <f t="shared" si="48"/>
        <v>Low</v>
      </c>
    </row>
    <row r="433" spans="1:29">
      <c r="A433" t="s">
        <v>1866</v>
      </c>
      <c r="B433" s="2">
        <v>45916</v>
      </c>
      <c r="C433" t="s">
        <v>1867</v>
      </c>
      <c r="D433" t="s">
        <v>1868</v>
      </c>
      <c r="E433" t="s">
        <v>1869</v>
      </c>
      <c r="F433" t="s">
        <v>1870</v>
      </c>
      <c r="G433" t="s">
        <v>179</v>
      </c>
      <c r="H433" t="s">
        <v>296</v>
      </c>
      <c r="I433" t="s">
        <v>141</v>
      </c>
      <c r="J433" t="s">
        <v>37</v>
      </c>
      <c r="K433" t="s">
        <v>51</v>
      </c>
      <c r="L433" t="s">
        <v>239</v>
      </c>
      <c r="M433" t="s">
        <v>90</v>
      </c>
      <c r="N433" t="s">
        <v>91</v>
      </c>
      <c r="O433" s="3">
        <v>45000</v>
      </c>
      <c r="P433" s="4">
        <v>50</v>
      </c>
      <c r="Q433" s="2">
        <v>45980</v>
      </c>
      <c r="R433" s="2">
        <v>46237</v>
      </c>
      <c r="S433" s="2">
        <v>45932</v>
      </c>
      <c r="T433" s="2"/>
      <c r="U433" t="str">
        <f t="shared" si="42"/>
        <v>No</v>
      </c>
      <c r="W4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3" t="str">
        <f t="shared" ca="1" si="43"/>
        <v>Due/Open</v>
      </c>
      <c r="Y433" t="str">
        <f t="shared" si="44"/>
        <v>Open</v>
      </c>
      <c r="Z433" t="str">
        <f t="shared" si="45"/>
        <v>Sep-2025</v>
      </c>
      <c r="AA433" t="str">
        <f t="shared" si="46"/>
        <v>Q3 2025</v>
      </c>
      <c r="AB433" s="4">
        <f t="shared" ca="1" si="47"/>
        <v>283</v>
      </c>
      <c r="AC433" t="str">
        <f t="shared" si="48"/>
        <v>Low</v>
      </c>
    </row>
    <row r="434" spans="1:29">
      <c r="A434" t="s">
        <v>1871</v>
      </c>
      <c r="B434" s="2">
        <v>45757</v>
      </c>
      <c r="C434" t="s">
        <v>729</v>
      </c>
      <c r="D434" t="s">
        <v>1722</v>
      </c>
      <c r="E434" t="s">
        <v>1872</v>
      </c>
      <c r="F434" t="s">
        <v>1873</v>
      </c>
      <c r="G434" t="s">
        <v>79</v>
      </c>
      <c r="H434" t="s">
        <v>80</v>
      </c>
      <c r="I434" t="s">
        <v>61</v>
      </c>
      <c r="J434" t="s">
        <v>37</v>
      </c>
      <c r="K434" t="s">
        <v>100</v>
      </c>
      <c r="L434" t="s">
        <v>63</v>
      </c>
      <c r="M434" t="s">
        <v>116</v>
      </c>
      <c r="N434" t="s">
        <v>54</v>
      </c>
      <c r="O434" s="3">
        <v>35000</v>
      </c>
      <c r="P434" s="4">
        <v>25</v>
      </c>
      <c r="Q434" s="2">
        <v>45844</v>
      </c>
      <c r="R434" s="2">
        <v>46227</v>
      </c>
      <c r="S434" s="2">
        <v>45770</v>
      </c>
      <c r="T434" s="2"/>
      <c r="U434" t="str">
        <f t="shared" si="42"/>
        <v>No</v>
      </c>
      <c r="W4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4" t="str">
        <f t="shared" ca="1" si="43"/>
        <v>Due/Open</v>
      </c>
      <c r="Y434" t="str">
        <f t="shared" si="44"/>
        <v>Open</v>
      </c>
      <c r="Z434" t="str">
        <f t="shared" si="45"/>
        <v>Apr-2025</v>
      </c>
      <c r="AA434" t="str">
        <f t="shared" si="46"/>
        <v>Q2 2025</v>
      </c>
      <c r="AB434" s="4">
        <f t="shared" ca="1" si="47"/>
        <v>442</v>
      </c>
      <c r="AC434" t="str">
        <f t="shared" si="48"/>
        <v>Low</v>
      </c>
    </row>
    <row r="435" spans="1:29">
      <c r="A435" t="s">
        <v>1874</v>
      </c>
      <c r="B435" s="2">
        <v>46038</v>
      </c>
      <c r="C435" t="s">
        <v>1875</v>
      </c>
      <c r="D435" t="s">
        <v>1876</v>
      </c>
      <c r="E435" t="s">
        <v>1877</v>
      </c>
      <c r="F435" t="s">
        <v>1878</v>
      </c>
      <c r="G435" t="s">
        <v>47</v>
      </c>
      <c r="H435" t="s">
        <v>122</v>
      </c>
      <c r="I435" t="s">
        <v>187</v>
      </c>
      <c r="J435" t="s">
        <v>37</v>
      </c>
      <c r="K435" t="s">
        <v>100</v>
      </c>
      <c r="L435" t="s">
        <v>132</v>
      </c>
      <c r="M435" t="s">
        <v>53</v>
      </c>
      <c r="N435" t="s">
        <v>54</v>
      </c>
      <c r="O435" s="3">
        <v>130000</v>
      </c>
      <c r="P435" s="4">
        <v>35</v>
      </c>
      <c r="Q435" s="2">
        <v>46117</v>
      </c>
      <c r="R435" s="2">
        <v>46184</v>
      </c>
      <c r="S435" s="2">
        <v>46064</v>
      </c>
      <c r="T435" s="2"/>
      <c r="U435" t="str">
        <f t="shared" si="42"/>
        <v>No</v>
      </c>
      <c r="W4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5" t="str">
        <f t="shared" ca="1" si="43"/>
        <v>Overdue</v>
      </c>
      <c r="Y435" t="str">
        <f t="shared" si="44"/>
        <v>Open</v>
      </c>
      <c r="Z435" t="str">
        <f t="shared" si="45"/>
        <v>Jan-2026</v>
      </c>
      <c r="AA435" t="str">
        <f t="shared" si="46"/>
        <v>Q1 2026</v>
      </c>
      <c r="AB435" s="4">
        <f t="shared" ca="1" si="47"/>
        <v>161</v>
      </c>
      <c r="AC435" t="str">
        <f t="shared" si="48"/>
        <v>Medium</v>
      </c>
    </row>
    <row r="436" spans="1:29">
      <c r="A436" t="s">
        <v>1879</v>
      </c>
      <c r="B436" s="2">
        <v>45791</v>
      </c>
      <c r="C436" t="s">
        <v>1880</v>
      </c>
      <c r="D436" t="s">
        <v>110</v>
      </c>
      <c r="E436" t="s">
        <v>1881</v>
      </c>
      <c r="F436" t="s">
        <v>1882</v>
      </c>
      <c r="G436" t="s">
        <v>79</v>
      </c>
      <c r="H436" t="s">
        <v>106</v>
      </c>
      <c r="I436" t="s">
        <v>61</v>
      </c>
      <c r="J436" t="s">
        <v>124</v>
      </c>
      <c r="K436" t="s">
        <v>38</v>
      </c>
      <c r="L436" t="s">
        <v>81</v>
      </c>
      <c r="M436" t="s">
        <v>53</v>
      </c>
      <c r="N436" t="s">
        <v>54</v>
      </c>
      <c r="O436" s="3">
        <v>290000</v>
      </c>
      <c r="P436" s="4">
        <v>30</v>
      </c>
      <c r="Q436" s="2">
        <v>45817</v>
      </c>
      <c r="R436" s="2">
        <v>46159</v>
      </c>
      <c r="S436" s="2">
        <v>45813</v>
      </c>
      <c r="T436" s="2"/>
      <c r="U436" t="str">
        <f t="shared" si="42"/>
        <v>No</v>
      </c>
      <c r="W4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6" t="str">
        <f t="shared" ca="1" si="43"/>
        <v>Overdue</v>
      </c>
      <c r="Y436" t="str">
        <f t="shared" si="44"/>
        <v>Open</v>
      </c>
      <c r="Z436" t="str">
        <f t="shared" si="45"/>
        <v>May-2025</v>
      </c>
      <c r="AA436" t="str">
        <f t="shared" si="46"/>
        <v>Q2 2025</v>
      </c>
      <c r="AB436" s="4">
        <f t="shared" ca="1" si="47"/>
        <v>408</v>
      </c>
      <c r="AC436" t="str">
        <f t="shared" si="48"/>
        <v>Medium</v>
      </c>
    </row>
    <row r="437" spans="1:29">
      <c r="A437" t="s">
        <v>1883</v>
      </c>
      <c r="B437" s="2">
        <v>45954</v>
      </c>
      <c r="C437" t="s">
        <v>1290</v>
      </c>
      <c r="D437" t="s">
        <v>484</v>
      </c>
      <c r="E437" t="s">
        <v>1884</v>
      </c>
      <c r="F437" t="s">
        <v>1885</v>
      </c>
      <c r="G437" t="s">
        <v>47</v>
      </c>
      <c r="H437" t="s">
        <v>89</v>
      </c>
      <c r="I437" t="s">
        <v>49</v>
      </c>
      <c r="J437" t="s">
        <v>37</v>
      </c>
      <c r="K437" t="s">
        <v>71</v>
      </c>
      <c r="L437" t="s">
        <v>239</v>
      </c>
      <c r="M437" t="s">
        <v>90</v>
      </c>
      <c r="N437" t="s">
        <v>91</v>
      </c>
      <c r="O437" s="3">
        <v>95000</v>
      </c>
      <c r="P437" s="4">
        <v>50</v>
      </c>
      <c r="Q437" s="2">
        <v>46018</v>
      </c>
      <c r="R437" s="2">
        <v>46239</v>
      </c>
      <c r="S437" s="2">
        <v>45979</v>
      </c>
      <c r="T437" s="2"/>
      <c r="U437" t="str">
        <f t="shared" si="42"/>
        <v>No</v>
      </c>
      <c r="W4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7" t="str">
        <f t="shared" ca="1" si="43"/>
        <v>Due/Open</v>
      </c>
      <c r="Y437" t="str">
        <f t="shared" si="44"/>
        <v>Open</v>
      </c>
      <c r="Z437" t="str">
        <f t="shared" si="45"/>
        <v>Oct-2025</v>
      </c>
      <c r="AA437" t="str">
        <f t="shared" si="46"/>
        <v>Q4 2025</v>
      </c>
      <c r="AB437" s="4">
        <f t="shared" ca="1" si="47"/>
        <v>245</v>
      </c>
      <c r="AC437" t="str">
        <f t="shared" si="48"/>
        <v>Low</v>
      </c>
    </row>
    <row r="438" spans="1:29">
      <c r="A438" t="s">
        <v>1886</v>
      </c>
      <c r="B438" s="2">
        <v>45769</v>
      </c>
      <c r="C438" t="s">
        <v>796</v>
      </c>
      <c r="D438" t="s">
        <v>1072</v>
      </c>
      <c r="E438" t="s">
        <v>1887</v>
      </c>
      <c r="F438" t="s">
        <v>1888</v>
      </c>
      <c r="G438" t="s">
        <v>47</v>
      </c>
      <c r="H438" t="s">
        <v>113</v>
      </c>
      <c r="I438" t="s">
        <v>49</v>
      </c>
      <c r="J438" t="s">
        <v>124</v>
      </c>
      <c r="K438" t="s">
        <v>114</v>
      </c>
      <c r="L438" t="s">
        <v>39</v>
      </c>
      <c r="M438" t="s">
        <v>73</v>
      </c>
      <c r="N438" t="s">
        <v>73</v>
      </c>
      <c r="O438" s="3">
        <v>100000</v>
      </c>
      <c r="P438" s="4">
        <v>80</v>
      </c>
      <c r="Q438" s="2">
        <v>45798</v>
      </c>
      <c r="R438" s="2">
        <v>46218</v>
      </c>
      <c r="S438" s="2">
        <v>45786</v>
      </c>
      <c r="T438" s="2"/>
      <c r="U438" t="str">
        <f t="shared" si="42"/>
        <v>No</v>
      </c>
      <c r="W4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8" t="str">
        <f t="shared" ca="1" si="43"/>
        <v>Due/Open</v>
      </c>
      <c r="Y438" t="str">
        <f t="shared" si="44"/>
        <v>Open</v>
      </c>
      <c r="Z438" t="str">
        <f t="shared" si="45"/>
        <v>Apr-2025</v>
      </c>
      <c r="AA438" t="str">
        <f t="shared" si="46"/>
        <v>Q2 2025</v>
      </c>
      <c r="AB438" s="4">
        <f t="shared" ca="1" si="47"/>
        <v>430</v>
      </c>
      <c r="AC438" t="str">
        <f t="shared" si="48"/>
        <v>Low</v>
      </c>
    </row>
    <row r="439" spans="1:29">
      <c r="A439" t="s">
        <v>1889</v>
      </c>
      <c r="B439" s="2">
        <v>46104</v>
      </c>
      <c r="C439" t="s">
        <v>1721</v>
      </c>
      <c r="D439" t="s">
        <v>1183</v>
      </c>
      <c r="E439" t="s">
        <v>1890</v>
      </c>
      <c r="F439" t="s">
        <v>1891</v>
      </c>
      <c r="G439" t="s">
        <v>69</v>
      </c>
      <c r="H439" t="s">
        <v>200</v>
      </c>
      <c r="I439" t="s">
        <v>98</v>
      </c>
      <c r="J439" t="s">
        <v>99</v>
      </c>
      <c r="K439" t="s">
        <v>194</v>
      </c>
      <c r="L439" t="s">
        <v>107</v>
      </c>
      <c r="M439" t="s">
        <v>116</v>
      </c>
      <c r="N439" t="s">
        <v>54</v>
      </c>
      <c r="O439" s="3">
        <v>640000</v>
      </c>
      <c r="P439" s="4">
        <v>20</v>
      </c>
      <c r="Q439" s="2">
        <v>46169</v>
      </c>
      <c r="R439" s="2">
        <v>46236</v>
      </c>
      <c r="S439" s="2">
        <v>46129</v>
      </c>
      <c r="T439" s="2"/>
      <c r="U439" t="str">
        <f t="shared" si="42"/>
        <v>No</v>
      </c>
      <c r="W4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39" t="str">
        <f t="shared" ca="1" si="43"/>
        <v>Due/Open</v>
      </c>
      <c r="Y439" t="str">
        <f t="shared" si="44"/>
        <v>Open</v>
      </c>
      <c r="Z439" t="str">
        <f t="shared" si="45"/>
        <v>Mar-2026</v>
      </c>
      <c r="AA439" t="str">
        <f t="shared" si="46"/>
        <v>Q1 2026</v>
      </c>
      <c r="AB439" s="4">
        <f t="shared" ca="1" si="47"/>
        <v>95</v>
      </c>
      <c r="AC439" t="str">
        <f t="shared" si="48"/>
        <v>High</v>
      </c>
    </row>
    <row r="440" spans="1:29">
      <c r="A440" t="s">
        <v>1892</v>
      </c>
      <c r="B440" s="2">
        <v>45775</v>
      </c>
      <c r="C440" t="s">
        <v>1893</v>
      </c>
      <c r="D440" t="s">
        <v>926</v>
      </c>
      <c r="E440" t="s">
        <v>1894</v>
      </c>
      <c r="F440" t="s">
        <v>1895</v>
      </c>
      <c r="G440" t="s">
        <v>69</v>
      </c>
      <c r="H440" t="s">
        <v>270</v>
      </c>
      <c r="I440" t="s">
        <v>123</v>
      </c>
      <c r="J440" t="s">
        <v>99</v>
      </c>
      <c r="K440" t="s">
        <v>38</v>
      </c>
      <c r="L440" t="s">
        <v>239</v>
      </c>
      <c r="M440" t="s">
        <v>82</v>
      </c>
      <c r="N440" t="s">
        <v>83</v>
      </c>
      <c r="O440" s="3">
        <v>430000</v>
      </c>
      <c r="P440" s="4">
        <v>5</v>
      </c>
      <c r="Q440" s="2">
        <v>45817</v>
      </c>
      <c r="R440" s="2">
        <v>46195</v>
      </c>
      <c r="S440" s="2">
        <v>45782</v>
      </c>
      <c r="T440" s="2"/>
      <c r="U440" t="str">
        <f t="shared" si="42"/>
        <v>No</v>
      </c>
      <c r="W4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0" t="str">
        <f t="shared" ca="1" si="43"/>
        <v>Overdue</v>
      </c>
      <c r="Y440" t="str">
        <f t="shared" si="44"/>
        <v>Open</v>
      </c>
      <c r="Z440" t="str">
        <f t="shared" si="45"/>
        <v>Apr-2025</v>
      </c>
      <c r="AA440" t="str">
        <f t="shared" si="46"/>
        <v>Q2 2025</v>
      </c>
      <c r="AB440" s="4">
        <f t="shared" ca="1" si="47"/>
        <v>424</v>
      </c>
      <c r="AC440" t="str">
        <f t="shared" si="48"/>
        <v>High</v>
      </c>
    </row>
    <row r="441" spans="1:29">
      <c r="A441" t="s">
        <v>1896</v>
      </c>
      <c r="B441" s="2">
        <v>45953</v>
      </c>
      <c r="C441" t="s">
        <v>1306</v>
      </c>
      <c r="D441" t="s">
        <v>66</v>
      </c>
      <c r="E441" t="s">
        <v>1897</v>
      </c>
      <c r="F441" t="s">
        <v>1898</v>
      </c>
      <c r="G441" t="s">
        <v>79</v>
      </c>
      <c r="H441" t="s">
        <v>97</v>
      </c>
      <c r="I441" t="s">
        <v>49</v>
      </c>
      <c r="J441" t="s">
        <v>37</v>
      </c>
      <c r="K441" t="s">
        <v>100</v>
      </c>
      <c r="L441" t="s">
        <v>142</v>
      </c>
      <c r="M441" t="s">
        <v>90</v>
      </c>
      <c r="N441" t="s">
        <v>91</v>
      </c>
      <c r="O441" s="3">
        <v>105000</v>
      </c>
      <c r="P441" s="4">
        <v>40</v>
      </c>
      <c r="Q441" s="2">
        <v>45976</v>
      </c>
      <c r="R441" s="2">
        <v>46211</v>
      </c>
      <c r="S441" s="2">
        <v>45980</v>
      </c>
      <c r="T441" s="2"/>
      <c r="U441" t="str">
        <f t="shared" si="42"/>
        <v>No</v>
      </c>
      <c r="W4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1" t="str">
        <f t="shared" ca="1" si="43"/>
        <v>Due/Open</v>
      </c>
      <c r="Y441" t="str">
        <f t="shared" si="44"/>
        <v>Open</v>
      </c>
      <c r="Z441" t="str">
        <f t="shared" si="45"/>
        <v>Oct-2025</v>
      </c>
      <c r="AA441" t="str">
        <f t="shared" si="46"/>
        <v>Q4 2025</v>
      </c>
      <c r="AB441" s="4">
        <f t="shared" ca="1" si="47"/>
        <v>246</v>
      </c>
      <c r="AC441" t="str">
        <f t="shared" si="48"/>
        <v>Low</v>
      </c>
    </row>
    <row r="442" spans="1:29">
      <c r="A442" t="s">
        <v>1899</v>
      </c>
      <c r="B442" s="2">
        <v>46088</v>
      </c>
      <c r="C442" t="s">
        <v>1900</v>
      </c>
      <c r="D442" t="s">
        <v>1302</v>
      </c>
      <c r="E442" t="s">
        <v>1901</v>
      </c>
      <c r="F442" t="s">
        <v>1902</v>
      </c>
      <c r="G442" t="s">
        <v>179</v>
      </c>
      <c r="H442" t="s">
        <v>180</v>
      </c>
      <c r="I442" t="s">
        <v>49</v>
      </c>
      <c r="J442" t="s">
        <v>99</v>
      </c>
      <c r="K442" t="s">
        <v>71</v>
      </c>
      <c r="L442" t="s">
        <v>239</v>
      </c>
      <c r="M442" t="s">
        <v>116</v>
      </c>
      <c r="N442" t="s">
        <v>54</v>
      </c>
      <c r="O442" s="3">
        <v>540000</v>
      </c>
      <c r="P442" s="4">
        <v>20</v>
      </c>
      <c r="Q442" s="2">
        <v>46166</v>
      </c>
      <c r="R442" s="2">
        <v>46235</v>
      </c>
      <c r="S442" s="2">
        <v>46104</v>
      </c>
      <c r="T442" s="2"/>
      <c r="U442" t="str">
        <f t="shared" si="42"/>
        <v>No</v>
      </c>
      <c r="W4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2" t="str">
        <f t="shared" ca="1" si="43"/>
        <v>Due/Open</v>
      </c>
      <c r="Y442" t="str">
        <f t="shared" si="44"/>
        <v>Open</v>
      </c>
      <c r="Z442" t="str">
        <f t="shared" si="45"/>
        <v>Mar-2026</v>
      </c>
      <c r="AA442" t="str">
        <f t="shared" si="46"/>
        <v>Q1 2026</v>
      </c>
      <c r="AB442" s="4">
        <f t="shared" ca="1" si="47"/>
        <v>111</v>
      </c>
      <c r="AC442" t="str">
        <f t="shared" si="48"/>
        <v>High</v>
      </c>
    </row>
    <row r="443" spans="1:29">
      <c r="A443" t="s">
        <v>1903</v>
      </c>
      <c r="B443" s="2">
        <v>45697</v>
      </c>
      <c r="C443" t="s">
        <v>1479</v>
      </c>
      <c r="D443" t="s">
        <v>627</v>
      </c>
      <c r="E443" t="s">
        <v>1904</v>
      </c>
      <c r="F443" t="s">
        <v>1905</v>
      </c>
      <c r="G443" t="s">
        <v>34</v>
      </c>
      <c r="H443" t="s">
        <v>173</v>
      </c>
      <c r="I443" t="s">
        <v>123</v>
      </c>
      <c r="J443" t="s">
        <v>131</v>
      </c>
      <c r="K443" t="s">
        <v>38</v>
      </c>
      <c r="L443" t="s">
        <v>142</v>
      </c>
      <c r="M443" t="s">
        <v>40</v>
      </c>
      <c r="N443" t="s">
        <v>41</v>
      </c>
      <c r="O443" s="3">
        <v>325000</v>
      </c>
      <c r="P443" s="4">
        <v>100</v>
      </c>
      <c r="Q443" s="2">
        <v>45744</v>
      </c>
      <c r="R443" s="2"/>
      <c r="S443" s="2">
        <v>45713</v>
      </c>
      <c r="T443" s="2">
        <v>45744</v>
      </c>
      <c r="U443" t="str">
        <f t="shared" si="42"/>
        <v>Yes</v>
      </c>
      <c r="W4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443" t="str">
        <f t="shared" ca="1" si="43"/>
        <v>Closed</v>
      </c>
      <c r="Y443" t="str">
        <f t="shared" si="44"/>
        <v>Closed</v>
      </c>
      <c r="Z443" t="str">
        <f t="shared" si="45"/>
        <v>Feb-2025</v>
      </c>
      <c r="AA443" t="str">
        <f t="shared" si="46"/>
        <v>Q1 2025</v>
      </c>
      <c r="AB443" s="4">
        <f t="shared" ca="1" si="47"/>
        <v>502</v>
      </c>
      <c r="AC443" t="str">
        <f t="shared" si="48"/>
        <v>High</v>
      </c>
    </row>
    <row r="444" spans="1:29">
      <c r="A444" t="s">
        <v>1906</v>
      </c>
      <c r="B444" s="2">
        <v>46096</v>
      </c>
      <c r="C444" t="s">
        <v>614</v>
      </c>
      <c r="D444" t="s">
        <v>1093</v>
      </c>
      <c r="E444" t="s">
        <v>1907</v>
      </c>
      <c r="F444" t="s">
        <v>1908</v>
      </c>
      <c r="G444" t="s">
        <v>79</v>
      </c>
      <c r="H444" t="s">
        <v>217</v>
      </c>
      <c r="I444" t="s">
        <v>98</v>
      </c>
      <c r="J444" t="s">
        <v>50</v>
      </c>
      <c r="K444" t="s">
        <v>194</v>
      </c>
      <c r="L444" t="s">
        <v>132</v>
      </c>
      <c r="M444" t="s">
        <v>166</v>
      </c>
      <c r="N444" t="s">
        <v>167</v>
      </c>
      <c r="O444" s="3">
        <v>245000</v>
      </c>
      <c r="P444" s="4">
        <v>65</v>
      </c>
      <c r="Q444" s="2">
        <v>46124</v>
      </c>
      <c r="R444" s="2">
        <v>46230</v>
      </c>
      <c r="S444" s="2">
        <v>46099</v>
      </c>
      <c r="T444" s="2"/>
      <c r="U444" t="str">
        <f t="shared" si="42"/>
        <v>No</v>
      </c>
      <c r="W4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4" t="str">
        <f t="shared" ca="1" si="43"/>
        <v>Due/Open</v>
      </c>
      <c r="Y444" t="str">
        <f t="shared" si="44"/>
        <v>Open</v>
      </c>
      <c r="Z444" t="str">
        <f t="shared" si="45"/>
        <v>Mar-2026</v>
      </c>
      <c r="AA444" t="str">
        <f t="shared" si="46"/>
        <v>Q1 2026</v>
      </c>
      <c r="AB444" s="4">
        <f t="shared" ca="1" si="47"/>
        <v>103</v>
      </c>
      <c r="AC444" t="str">
        <f t="shared" si="48"/>
        <v>Medium</v>
      </c>
    </row>
    <row r="445" spans="1:29">
      <c r="A445" t="s">
        <v>1909</v>
      </c>
      <c r="B445" s="2">
        <v>45849</v>
      </c>
      <c r="C445" t="s">
        <v>1910</v>
      </c>
      <c r="D445" t="s">
        <v>176</v>
      </c>
      <c r="E445" t="s">
        <v>1911</v>
      </c>
      <c r="F445" t="s">
        <v>1912</v>
      </c>
      <c r="G445" t="s">
        <v>179</v>
      </c>
      <c r="H445" t="s">
        <v>180</v>
      </c>
      <c r="I445" t="s">
        <v>49</v>
      </c>
      <c r="J445" t="s">
        <v>37</v>
      </c>
      <c r="K445" t="s">
        <v>38</v>
      </c>
      <c r="L445" t="s">
        <v>81</v>
      </c>
      <c r="M445" t="s">
        <v>116</v>
      </c>
      <c r="N445" t="s">
        <v>54</v>
      </c>
      <c r="O445" s="3">
        <v>135000</v>
      </c>
      <c r="P445" s="4">
        <v>20</v>
      </c>
      <c r="Q445" s="2">
        <v>45892</v>
      </c>
      <c r="R445" s="2">
        <v>46163</v>
      </c>
      <c r="S445" s="2">
        <v>45850</v>
      </c>
      <c r="T445" s="2"/>
      <c r="U445" t="str">
        <f t="shared" si="42"/>
        <v>No</v>
      </c>
      <c r="W4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5" t="str">
        <f t="shared" ca="1" si="43"/>
        <v>Overdue</v>
      </c>
      <c r="Y445" t="str">
        <f t="shared" si="44"/>
        <v>Open</v>
      </c>
      <c r="Z445" t="str">
        <f t="shared" si="45"/>
        <v>Jul-2025</v>
      </c>
      <c r="AA445" t="str">
        <f t="shared" si="46"/>
        <v>Q3 2025</v>
      </c>
      <c r="AB445" s="4">
        <f t="shared" ca="1" si="47"/>
        <v>350</v>
      </c>
      <c r="AC445" t="str">
        <f t="shared" si="48"/>
        <v>Medium</v>
      </c>
    </row>
    <row r="446" spans="1:29">
      <c r="A446" t="s">
        <v>1913</v>
      </c>
      <c r="B446" s="2">
        <v>45731</v>
      </c>
      <c r="C446" t="s">
        <v>976</v>
      </c>
      <c r="D446" t="s">
        <v>103</v>
      </c>
      <c r="E446" t="s">
        <v>1914</v>
      </c>
      <c r="F446" t="s">
        <v>1915</v>
      </c>
      <c r="G446" t="s">
        <v>79</v>
      </c>
      <c r="H446" t="s">
        <v>217</v>
      </c>
      <c r="I446" t="s">
        <v>187</v>
      </c>
      <c r="J446" t="s">
        <v>62</v>
      </c>
      <c r="K446" t="s">
        <v>100</v>
      </c>
      <c r="L446" t="s">
        <v>63</v>
      </c>
      <c r="M446" t="s">
        <v>90</v>
      </c>
      <c r="N446" t="s">
        <v>91</v>
      </c>
      <c r="O446" s="3">
        <v>195000</v>
      </c>
      <c r="P446" s="4">
        <v>40</v>
      </c>
      <c r="Q446" s="2">
        <v>45790</v>
      </c>
      <c r="R446" s="2">
        <v>46183</v>
      </c>
      <c r="S446" s="2">
        <v>45760</v>
      </c>
      <c r="T446" s="2"/>
      <c r="U446" t="str">
        <f t="shared" si="42"/>
        <v>No</v>
      </c>
      <c r="W4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6" t="str">
        <f t="shared" ca="1" si="43"/>
        <v>Overdue</v>
      </c>
      <c r="Y446" t="str">
        <f t="shared" si="44"/>
        <v>Open</v>
      </c>
      <c r="Z446" t="str">
        <f t="shared" si="45"/>
        <v>Mar-2025</v>
      </c>
      <c r="AA446" t="str">
        <f t="shared" si="46"/>
        <v>Q1 2025</v>
      </c>
      <c r="AB446" s="4">
        <f t="shared" ca="1" si="47"/>
        <v>468</v>
      </c>
      <c r="AC446" t="str">
        <f t="shared" si="48"/>
        <v>Medium</v>
      </c>
    </row>
    <row r="447" spans="1:29">
      <c r="A447" t="s">
        <v>1916</v>
      </c>
      <c r="B447" s="2">
        <v>45878</v>
      </c>
      <c r="C447" t="s">
        <v>1917</v>
      </c>
      <c r="D447" t="s">
        <v>1249</v>
      </c>
      <c r="E447" t="s">
        <v>1918</v>
      </c>
      <c r="F447" t="s">
        <v>1919</v>
      </c>
      <c r="G447" t="s">
        <v>179</v>
      </c>
      <c r="H447" t="s">
        <v>318</v>
      </c>
      <c r="I447" t="s">
        <v>141</v>
      </c>
      <c r="J447" t="s">
        <v>50</v>
      </c>
      <c r="K447" t="s">
        <v>114</v>
      </c>
      <c r="L447" t="s">
        <v>142</v>
      </c>
      <c r="M447" t="s">
        <v>90</v>
      </c>
      <c r="N447" t="s">
        <v>91</v>
      </c>
      <c r="O447" s="3">
        <v>440000</v>
      </c>
      <c r="P447" s="4">
        <v>50</v>
      </c>
      <c r="Q447" s="2">
        <v>45925</v>
      </c>
      <c r="R447" s="2">
        <v>46204</v>
      </c>
      <c r="S447" s="2">
        <v>45889</v>
      </c>
      <c r="T447" s="2"/>
      <c r="U447" t="str">
        <f t="shared" si="42"/>
        <v>No</v>
      </c>
      <c r="W4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7" t="str">
        <f t="shared" ca="1" si="43"/>
        <v>Due/Open</v>
      </c>
      <c r="Y447" t="str">
        <f t="shared" si="44"/>
        <v>Open</v>
      </c>
      <c r="Z447" t="str">
        <f t="shared" si="45"/>
        <v>Aug-2025</v>
      </c>
      <c r="AA447" t="str">
        <f t="shared" si="46"/>
        <v>Q3 2025</v>
      </c>
      <c r="AB447" s="4">
        <f t="shared" ca="1" si="47"/>
        <v>321</v>
      </c>
      <c r="AC447" t="str">
        <f t="shared" si="48"/>
        <v>High</v>
      </c>
    </row>
    <row r="448" spans="1:29">
      <c r="A448" t="s">
        <v>1920</v>
      </c>
      <c r="B448" s="2">
        <v>46163</v>
      </c>
      <c r="C448" t="s">
        <v>1921</v>
      </c>
      <c r="D448" t="s">
        <v>981</v>
      </c>
      <c r="E448" t="s">
        <v>1922</v>
      </c>
      <c r="F448" t="s">
        <v>1923</v>
      </c>
      <c r="G448" t="s">
        <v>47</v>
      </c>
      <c r="H448" t="s">
        <v>48</v>
      </c>
      <c r="I448" t="s">
        <v>36</v>
      </c>
      <c r="J448" t="s">
        <v>50</v>
      </c>
      <c r="K448" t="s">
        <v>194</v>
      </c>
      <c r="L448" t="s">
        <v>239</v>
      </c>
      <c r="M448" t="s">
        <v>82</v>
      </c>
      <c r="N448" t="s">
        <v>83</v>
      </c>
      <c r="O448" s="3">
        <v>215000</v>
      </c>
      <c r="P448" s="4">
        <v>10</v>
      </c>
      <c r="Q448" s="2">
        <v>46206</v>
      </c>
      <c r="R448" s="2">
        <v>46169</v>
      </c>
      <c r="S448" s="2">
        <v>46182</v>
      </c>
      <c r="T448" s="2"/>
      <c r="U448" t="str">
        <f t="shared" si="42"/>
        <v>No</v>
      </c>
      <c r="W4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48" t="str">
        <f t="shared" ca="1" si="43"/>
        <v>Overdue</v>
      </c>
      <c r="Y448" t="str">
        <f t="shared" si="44"/>
        <v>Open</v>
      </c>
      <c r="Z448" t="str">
        <f t="shared" si="45"/>
        <v>May-2026</v>
      </c>
      <c r="AA448" t="str">
        <f t="shared" si="46"/>
        <v>Q2 2026</v>
      </c>
      <c r="AB448" s="4">
        <f t="shared" ca="1" si="47"/>
        <v>36</v>
      </c>
      <c r="AC448" t="str">
        <f t="shared" si="48"/>
        <v>Medium</v>
      </c>
    </row>
    <row r="449" spans="1:29">
      <c r="A449" t="s">
        <v>1924</v>
      </c>
      <c r="B449" s="2">
        <v>45812</v>
      </c>
      <c r="C449" t="s">
        <v>942</v>
      </c>
      <c r="D449" t="s">
        <v>103</v>
      </c>
      <c r="E449" t="s">
        <v>1925</v>
      </c>
      <c r="F449" t="s">
        <v>1926</v>
      </c>
      <c r="G449" t="s">
        <v>34</v>
      </c>
      <c r="H449" t="s">
        <v>60</v>
      </c>
      <c r="I449" t="s">
        <v>148</v>
      </c>
      <c r="J449" t="s">
        <v>37</v>
      </c>
      <c r="K449" t="s">
        <v>194</v>
      </c>
      <c r="L449" t="s">
        <v>125</v>
      </c>
      <c r="M449" t="s">
        <v>133</v>
      </c>
      <c r="N449" t="s">
        <v>134</v>
      </c>
      <c r="O449" s="3">
        <v>105000</v>
      </c>
      <c r="P449" s="4">
        <v>0</v>
      </c>
      <c r="Q449" s="2">
        <v>45879</v>
      </c>
      <c r="R449" s="2"/>
      <c r="S449" s="2">
        <v>45837</v>
      </c>
      <c r="T449" s="2">
        <v>45879</v>
      </c>
      <c r="U449" t="str">
        <f t="shared" si="42"/>
        <v>No</v>
      </c>
      <c r="V449" t="s">
        <v>211</v>
      </c>
      <c r="W44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449" t="str">
        <f t="shared" ca="1" si="43"/>
        <v>Closed</v>
      </c>
      <c r="Y449" t="str">
        <f t="shared" si="44"/>
        <v>Closed</v>
      </c>
      <c r="Z449" t="str">
        <f t="shared" si="45"/>
        <v>Jun-2025</v>
      </c>
      <c r="AA449" t="str">
        <f t="shared" si="46"/>
        <v>Q2 2025</v>
      </c>
      <c r="AB449" s="4">
        <f t="shared" ca="1" si="47"/>
        <v>387</v>
      </c>
      <c r="AC449" t="str">
        <f t="shared" si="48"/>
        <v>Low</v>
      </c>
    </row>
    <row r="450" spans="1:29">
      <c r="A450" t="s">
        <v>1927</v>
      </c>
      <c r="B450" s="2">
        <v>45974</v>
      </c>
      <c r="C450" t="s">
        <v>1928</v>
      </c>
      <c r="D450" t="s">
        <v>1098</v>
      </c>
      <c r="E450" t="s">
        <v>1929</v>
      </c>
      <c r="F450" t="s">
        <v>1930</v>
      </c>
      <c r="G450" t="s">
        <v>179</v>
      </c>
      <c r="H450" t="s">
        <v>186</v>
      </c>
      <c r="I450" t="s">
        <v>36</v>
      </c>
      <c r="J450" t="s">
        <v>37</v>
      </c>
      <c r="K450" t="s">
        <v>100</v>
      </c>
      <c r="L450" t="s">
        <v>72</v>
      </c>
      <c r="M450" t="s">
        <v>166</v>
      </c>
      <c r="N450" t="s">
        <v>167</v>
      </c>
      <c r="O450" s="3">
        <v>115000</v>
      </c>
      <c r="P450" s="4">
        <v>60</v>
      </c>
      <c r="Q450" s="2">
        <v>46001</v>
      </c>
      <c r="R450" s="2">
        <v>46202</v>
      </c>
      <c r="S450" s="2">
        <v>45997</v>
      </c>
      <c r="T450" s="2"/>
      <c r="U450" t="str">
        <f t="shared" ref="U450:U513" si="49">IF(M450="Converted","Yes","No")</f>
        <v>No</v>
      </c>
      <c r="W4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0" t="str">
        <f t="shared" ref="X450:X513" ca="1" si="50">IF(OR(M450="Converted",M450="Lost",M450="Not Interested"),"Closed",IF(R450&lt;TODAY(),"Overdue","Due/Open"))</f>
        <v>Due/Open</v>
      </c>
      <c r="Y450" t="str">
        <f t="shared" ref="Y450:Y513" si="51">IF(OR(M450="Converted",M450="Lost",M450="Not Interested"),"Closed","Open")</f>
        <v>Open</v>
      </c>
      <c r="Z450" t="str">
        <f t="shared" ref="Z450:Z513" si="52">TEXT(B450,"mmm-yyyy")</f>
        <v>Nov-2025</v>
      </c>
      <c r="AA450" t="str">
        <f t="shared" ref="AA450:AA513" si="53">"Q"&amp;ROUNDUP(MONTH(B450)/3,0)&amp;" "&amp;YEAR(B450)</f>
        <v>Q4 2025</v>
      </c>
      <c r="AB450" s="4">
        <f t="shared" ref="AB450:AB513" ca="1" si="54">TODAY()-B450</f>
        <v>225</v>
      </c>
      <c r="AC450" t="str">
        <f t="shared" ref="AC450:AC513" si="55">IF(O450&gt;=300000,"High",IF(O450&gt;=120000,"Medium","Low"))</f>
        <v>Low</v>
      </c>
    </row>
    <row r="451" spans="1:29">
      <c r="A451" t="s">
        <v>1931</v>
      </c>
      <c r="B451" s="2">
        <v>45896</v>
      </c>
      <c r="C451" t="s">
        <v>1932</v>
      </c>
      <c r="D451" t="s">
        <v>1933</v>
      </c>
      <c r="E451" t="s">
        <v>1934</v>
      </c>
      <c r="F451" t="s">
        <v>1935</v>
      </c>
      <c r="G451" t="s">
        <v>79</v>
      </c>
      <c r="H451" t="s">
        <v>106</v>
      </c>
      <c r="I451" t="s">
        <v>187</v>
      </c>
      <c r="J451" t="s">
        <v>131</v>
      </c>
      <c r="K451" t="s">
        <v>38</v>
      </c>
      <c r="L451" t="s">
        <v>39</v>
      </c>
      <c r="M451" t="s">
        <v>82</v>
      </c>
      <c r="N451" t="s">
        <v>83</v>
      </c>
      <c r="O451" s="3">
        <v>275000</v>
      </c>
      <c r="P451" s="4">
        <v>10</v>
      </c>
      <c r="Q451" s="2">
        <v>45981</v>
      </c>
      <c r="R451" s="2">
        <v>46243</v>
      </c>
      <c r="S451" s="2">
        <v>45915</v>
      </c>
      <c r="T451" s="2"/>
      <c r="U451" t="str">
        <f t="shared" si="49"/>
        <v>No</v>
      </c>
      <c r="W4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1" t="str">
        <f t="shared" ca="1" si="50"/>
        <v>Due/Open</v>
      </c>
      <c r="Y451" t="str">
        <f t="shared" si="51"/>
        <v>Open</v>
      </c>
      <c r="Z451" t="str">
        <f t="shared" si="52"/>
        <v>Aug-2025</v>
      </c>
      <c r="AA451" t="str">
        <f t="shared" si="53"/>
        <v>Q3 2025</v>
      </c>
      <c r="AB451" s="4">
        <f t="shared" ca="1" si="54"/>
        <v>303</v>
      </c>
      <c r="AC451" t="str">
        <f t="shared" si="55"/>
        <v>Medium</v>
      </c>
    </row>
    <row r="452" spans="1:29">
      <c r="A452" t="s">
        <v>1936</v>
      </c>
      <c r="B452" s="2">
        <v>46137</v>
      </c>
      <c r="C452" t="s">
        <v>688</v>
      </c>
      <c r="D452" t="s">
        <v>1937</v>
      </c>
      <c r="E452" t="s">
        <v>1938</v>
      </c>
      <c r="F452" t="s">
        <v>1939</v>
      </c>
      <c r="G452" t="s">
        <v>179</v>
      </c>
      <c r="H452" t="s">
        <v>180</v>
      </c>
      <c r="I452" t="s">
        <v>49</v>
      </c>
      <c r="J452" t="s">
        <v>50</v>
      </c>
      <c r="K452" t="s">
        <v>194</v>
      </c>
      <c r="L452" t="s">
        <v>142</v>
      </c>
      <c r="M452" t="s">
        <v>116</v>
      </c>
      <c r="N452" t="s">
        <v>54</v>
      </c>
      <c r="O452" s="3">
        <v>485000</v>
      </c>
      <c r="P452" s="4">
        <v>20</v>
      </c>
      <c r="Q452" s="2">
        <v>46220</v>
      </c>
      <c r="R452" s="2">
        <v>46163</v>
      </c>
      <c r="S452" s="2">
        <v>46162</v>
      </c>
      <c r="T452" s="2"/>
      <c r="U452" t="str">
        <f t="shared" si="49"/>
        <v>No</v>
      </c>
      <c r="W4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2" t="str">
        <f t="shared" ca="1" si="50"/>
        <v>Overdue</v>
      </c>
      <c r="Y452" t="str">
        <f t="shared" si="51"/>
        <v>Open</v>
      </c>
      <c r="Z452" t="str">
        <f t="shared" si="52"/>
        <v>Apr-2026</v>
      </c>
      <c r="AA452" t="str">
        <f t="shared" si="53"/>
        <v>Q2 2026</v>
      </c>
      <c r="AB452" s="4">
        <f t="shared" ca="1" si="54"/>
        <v>62</v>
      </c>
      <c r="AC452" t="str">
        <f t="shared" si="55"/>
        <v>High</v>
      </c>
    </row>
    <row r="453" spans="1:29">
      <c r="A453" t="s">
        <v>1940</v>
      </c>
      <c r="B453" s="2">
        <v>45751</v>
      </c>
      <c r="C453" t="s">
        <v>1941</v>
      </c>
      <c r="D453" t="s">
        <v>449</v>
      </c>
      <c r="E453" t="s">
        <v>1942</v>
      </c>
      <c r="F453" t="s">
        <v>1943</v>
      </c>
      <c r="G453" t="s">
        <v>34</v>
      </c>
      <c r="H453" t="s">
        <v>160</v>
      </c>
      <c r="I453" t="s">
        <v>49</v>
      </c>
      <c r="J453" t="s">
        <v>124</v>
      </c>
      <c r="K453" t="s">
        <v>100</v>
      </c>
      <c r="L453" t="s">
        <v>142</v>
      </c>
      <c r="M453" t="s">
        <v>82</v>
      </c>
      <c r="N453" t="s">
        <v>83</v>
      </c>
      <c r="O453" s="3">
        <v>80000</v>
      </c>
      <c r="P453" s="4">
        <v>5</v>
      </c>
      <c r="Q453" s="2">
        <v>45773</v>
      </c>
      <c r="R453" s="2">
        <v>46177</v>
      </c>
      <c r="S453" s="2">
        <v>45772</v>
      </c>
      <c r="T453" s="2"/>
      <c r="U453" t="str">
        <f t="shared" si="49"/>
        <v>No</v>
      </c>
      <c r="W4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3" t="str">
        <f t="shared" ca="1" si="50"/>
        <v>Overdue</v>
      </c>
      <c r="Y453" t="str">
        <f t="shared" si="51"/>
        <v>Open</v>
      </c>
      <c r="Z453" t="str">
        <f t="shared" si="52"/>
        <v>Apr-2025</v>
      </c>
      <c r="AA453" t="str">
        <f t="shared" si="53"/>
        <v>Q2 2025</v>
      </c>
      <c r="AB453" s="4">
        <f t="shared" ca="1" si="54"/>
        <v>448</v>
      </c>
      <c r="AC453" t="str">
        <f t="shared" si="55"/>
        <v>Low</v>
      </c>
    </row>
    <row r="454" spans="1:29">
      <c r="A454" t="s">
        <v>1944</v>
      </c>
      <c r="B454" s="2">
        <v>46069</v>
      </c>
      <c r="C454" t="s">
        <v>1945</v>
      </c>
      <c r="D454" t="s">
        <v>157</v>
      </c>
      <c r="E454" t="s">
        <v>1946</v>
      </c>
      <c r="F454" t="s">
        <v>1947</v>
      </c>
      <c r="G454" t="s">
        <v>69</v>
      </c>
      <c r="H454" t="s">
        <v>270</v>
      </c>
      <c r="I454" t="s">
        <v>141</v>
      </c>
      <c r="J454" t="s">
        <v>99</v>
      </c>
      <c r="K454" t="s">
        <v>114</v>
      </c>
      <c r="L454" t="s">
        <v>125</v>
      </c>
      <c r="M454" t="s">
        <v>73</v>
      </c>
      <c r="N454" t="s">
        <v>73</v>
      </c>
      <c r="O454" s="3">
        <v>530000</v>
      </c>
      <c r="P454" s="4">
        <v>80</v>
      </c>
      <c r="Q454" s="2">
        <v>46114</v>
      </c>
      <c r="R454" s="2">
        <v>46222</v>
      </c>
      <c r="S454" s="2">
        <v>46088</v>
      </c>
      <c r="T454" s="2"/>
      <c r="U454" t="str">
        <f t="shared" si="49"/>
        <v>No</v>
      </c>
      <c r="W4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4" t="str">
        <f t="shared" ca="1" si="50"/>
        <v>Due/Open</v>
      </c>
      <c r="Y454" t="str">
        <f t="shared" si="51"/>
        <v>Open</v>
      </c>
      <c r="Z454" t="str">
        <f t="shared" si="52"/>
        <v>Feb-2026</v>
      </c>
      <c r="AA454" t="str">
        <f t="shared" si="53"/>
        <v>Q1 2026</v>
      </c>
      <c r="AB454" s="4">
        <f t="shared" ca="1" si="54"/>
        <v>130</v>
      </c>
      <c r="AC454" t="str">
        <f t="shared" si="55"/>
        <v>High</v>
      </c>
    </row>
    <row r="455" spans="1:29">
      <c r="A455" t="s">
        <v>1948</v>
      </c>
      <c r="B455" s="2">
        <v>45698</v>
      </c>
      <c r="C455" t="s">
        <v>538</v>
      </c>
      <c r="D455" t="s">
        <v>407</v>
      </c>
      <c r="E455" t="s">
        <v>1949</v>
      </c>
      <c r="F455" t="s">
        <v>1950</v>
      </c>
      <c r="G455" t="s">
        <v>79</v>
      </c>
      <c r="H455" t="s">
        <v>260</v>
      </c>
      <c r="I455" t="s">
        <v>36</v>
      </c>
      <c r="J455" t="s">
        <v>99</v>
      </c>
      <c r="K455" t="s">
        <v>100</v>
      </c>
      <c r="L455" t="s">
        <v>125</v>
      </c>
      <c r="M455" t="s">
        <v>210</v>
      </c>
      <c r="N455" t="s">
        <v>134</v>
      </c>
      <c r="O455" s="3">
        <v>400000</v>
      </c>
      <c r="P455" s="4">
        <v>0</v>
      </c>
      <c r="Q455" s="2">
        <v>45735</v>
      </c>
      <c r="R455" s="2"/>
      <c r="S455" s="2">
        <v>45718</v>
      </c>
      <c r="T455" s="2">
        <v>45735</v>
      </c>
      <c r="U455" t="str">
        <f t="shared" si="49"/>
        <v>No</v>
      </c>
      <c r="V455" t="s">
        <v>1105</v>
      </c>
      <c r="W4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455" t="str">
        <f t="shared" ca="1" si="50"/>
        <v>Closed</v>
      </c>
      <c r="Y455" t="str">
        <f t="shared" si="51"/>
        <v>Closed</v>
      </c>
      <c r="Z455" t="str">
        <f t="shared" si="52"/>
        <v>Feb-2025</v>
      </c>
      <c r="AA455" t="str">
        <f t="shared" si="53"/>
        <v>Q1 2025</v>
      </c>
      <c r="AB455" s="4">
        <f t="shared" ca="1" si="54"/>
        <v>501</v>
      </c>
      <c r="AC455" t="str">
        <f t="shared" si="55"/>
        <v>High</v>
      </c>
    </row>
    <row r="456" spans="1:29">
      <c r="A456" t="s">
        <v>1951</v>
      </c>
      <c r="B456" s="2">
        <v>45757</v>
      </c>
      <c r="C456" t="s">
        <v>1952</v>
      </c>
      <c r="D456" t="s">
        <v>904</v>
      </c>
      <c r="E456" t="s">
        <v>1953</v>
      </c>
      <c r="F456" t="s">
        <v>1954</v>
      </c>
      <c r="G456" t="s">
        <v>34</v>
      </c>
      <c r="H456" t="s">
        <v>160</v>
      </c>
      <c r="I456" t="s">
        <v>98</v>
      </c>
      <c r="J456" t="s">
        <v>50</v>
      </c>
      <c r="K456" t="s">
        <v>194</v>
      </c>
      <c r="L456" t="s">
        <v>81</v>
      </c>
      <c r="M456" t="s">
        <v>166</v>
      </c>
      <c r="N456" t="s">
        <v>167</v>
      </c>
      <c r="O456" s="3">
        <v>230000</v>
      </c>
      <c r="P456" s="4">
        <v>60</v>
      </c>
      <c r="Q456" s="2">
        <v>45848</v>
      </c>
      <c r="R456" s="2">
        <v>46237</v>
      </c>
      <c r="S456" s="2">
        <v>45787</v>
      </c>
      <c r="T456" s="2"/>
      <c r="U456" t="str">
        <f t="shared" si="49"/>
        <v>No</v>
      </c>
      <c r="W4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6" t="str">
        <f t="shared" ca="1" si="50"/>
        <v>Due/Open</v>
      </c>
      <c r="Y456" t="str">
        <f t="shared" si="51"/>
        <v>Open</v>
      </c>
      <c r="Z456" t="str">
        <f t="shared" si="52"/>
        <v>Apr-2025</v>
      </c>
      <c r="AA456" t="str">
        <f t="shared" si="53"/>
        <v>Q2 2025</v>
      </c>
      <c r="AB456" s="4">
        <f t="shared" ca="1" si="54"/>
        <v>442</v>
      </c>
      <c r="AC456" t="str">
        <f t="shared" si="55"/>
        <v>Medium</v>
      </c>
    </row>
    <row r="457" spans="1:29">
      <c r="A457" t="s">
        <v>1955</v>
      </c>
      <c r="B457" s="2">
        <v>45902</v>
      </c>
      <c r="C457" t="s">
        <v>1956</v>
      </c>
      <c r="D457" t="s">
        <v>357</v>
      </c>
      <c r="E457" t="s">
        <v>1957</v>
      </c>
      <c r="F457" t="s">
        <v>1958</v>
      </c>
      <c r="G457" t="s">
        <v>179</v>
      </c>
      <c r="H457" t="s">
        <v>318</v>
      </c>
      <c r="I457" t="s">
        <v>36</v>
      </c>
      <c r="J457" t="s">
        <v>131</v>
      </c>
      <c r="K457" t="s">
        <v>100</v>
      </c>
      <c r="L457" t="s">
        <v>107</v>
      </c>
      <c r="M457" t="s">
        <v>90</v>
      </c>
      <c r="N457" t="s">
        <v>91</v>
      </c>
      <c r="O457" s="3">
        <v>115000</v>
      </c>
      <c r="P457" s="4">
        <v>40</v>
      </c>
      <c r="Q457" s="2">
        <v>45993</v>
      </c>
      <c r="R457" s="2">
        <v>46225</v>
      </c>
      <c r="S457" s="2">
        <v>45930</v>
      </c>
      <c r="T457" s="2"/>
      <c r="U457" t="str">
        <f t="shared" si="49"/>
        <v>No</v>
      </c>
      <c r="W4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7" t="str">
        <f t="shared" ca="1" si="50"/>
        <v>Due/Open</v>
      </c>
      <c r="Y457" t="str">
        <f t="shared" si="51"/>
        <v>Open</v>
      </c>
      <c r="Z457" t="str">
        <f t="shared" si="52"/>
        <v>Sep-2025</v>
      </c>
      <c r="AA457" t="str">
        <f t="shared" si="53"/>
        <v>Q3 2025</v>
      </c>
      <c r="AB457" s="4">
        <f t="shared" ca="1" si="54"/>
        <v>297</v>
      </c>
      <c r="AC457" t="str">
        <f t="shared" si="55"/>
        <v>Low</v>
      </c>
    </row>
    <row r="458" spans="1:29">
      <c r="A458" t="s">
        <v>1959</v>
      </c>
      <c r="B458" s="2">
        <v>45668</v>
      </c>
      <c r="C458" t="s">
        <v>1960</v>
      </c>
      <c r="D458" t="s">
        <v>252</v>
      </c>
      <c r="E458" t="s">
        <v>1961</v>
      </c>
      <c r="F458" t="s">
        <v>1962</v>
      </c>
      <c r="G458" t="s">
        <v>69</v>
      </c>
      <c r="H458" t="s">
        <v>193</v>
      </c>
      <c r="I458" t="s">
        <v>148</v>
      </c>
      <c r="J458" t="s">
        <v>124</v>
      </c>
      <c r="K458" t="s">
        <v>194</v>
      </c>
      <c r="L458" t="s">
        <v>132</v>
      </c>
      <c r="M458" t="s">
        <v>90</v>
      </c>
      <c r="N458" t="s">
        <v>91</v>
      </c>
      <c r="O458" s="3">
        <v>240000</v>
      </c>
      <c r="P458" s="4">
        <v>40</v>
      </c>
      <c r="Q458" s="2">
        <v>45719</v>
      </c>
      <c r="R458" s="2">
        <v>46168</v>
      </c>
      <c r="S458" s="2">
        <v>45681</v>
      </c>
      <c r="T458" s="2"/>
      <c r="U458" t="str">
        <f t="shared" si="49"/>
        <v>No</v>
      </c>
      <c r="W4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8" t="str">
        <f t="shared" ca="1" si="50"/>
        <v>Overdue</v>
      </c>
      <c r="Y458" t="str">
        <f t="shared" si="51"/>
        <v>Open</v>
      </c>
      <c r="Z458" t="str">
        <f t="shared" si="52"/>
        <v>Jan-2025</v>
      </c>
      <c r="AA458" t="str">
        <f t="shared" si="53"/>
        <v>Q1 2025</v>
      </c>
      <c r="AB458" s="4">
        <f t="shared" ca="1" si="54"/>
        <v>531</v>
      </c>
      <c r="AC458" t="str">
        <f t="shared" si="55"/>
        <v>Medium</v>
      </c>
    </row>
    <row r="459" spans="1:29">
      <c r="A459" t="s">
        <v>1963</v>
      </c>
      <c r="B459" s="2">
        <v>46122</v>
      </c>
      <c r="C459" t="s">
        <v>1964</v>
      </c>
      <c r="D459" t="s">
        <v>1254</v>
      </c>
      <c r="E459" t="s">
        <v>1965</v>
      </c>
      <c r="F459" t="s">
        <v>1966</v>
      </c>
      <c r="G459" t="s">
        <v>47</v>
      </c>
      <c r="H459" t="s">
        <v>493</v>
      </c>
      <c r="I459" t="s">
        <v>148</v>
      </c>
      <c r="J459" t="s">
        <v>50</v>
      </c>
      <c r="K459" t="s">
        <v>38</v>
      </c>
      <c r="L459" t="s">
        <v>154</v>
      </c>
      <c r="M459" t="s">
        <v>166</v>
      </c>
      <c r="N459" t="s">
        <v>167</v>
      </c>
      <c r="O459" s="3">
        <v>330000</v>
      </c>
      <c r="P459" s="4">
        <v>65</v>
      </c>
      <c r="Q459" s="2">
        <v>46152</v>
      </c>
      <c r="R459" s="2">
        <v>46205</v>
      </c>
      <c r="S459" s="2">
        <v>46151</v>
      </c>
      <c r="T459" s="2"/>
      <c r="U459" t="str">
        <f t="shared" si="49"/>
        <v>No</v>
      </c>
      <c r="W4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59" t="str">
        <f t="shared" ca="1" si="50"/>
        <v>Due/Open</v>
      </c>
      <c r="Y459" t="str">
        <f t="shared" si="51"/>
        <v>Open</v>
      </c>
      <c r="Z459" t="str">
        <f t="shared" si="52"/>
        <v>Apr-2026</v>
      </c>
      <c r="AA459" t="str">
        <f t="shared" si="53"/>
        <v>Q2 2026</v>
      </c>
      <c r="AB459" s="4">
        <f t="shared" ca="1" si="54"/>
        <v>77</v>
      </c>
      <c r="AC459" t="str">
        <f t="shared" si="55"/>
        <v>High</v>
      </c>
    </row>
    <row r="460" spans="1:29">
      <c r="A460" t="s">
        <v>1967</v>
      </c>
      <c r="B460" s="2">
        <v>46187</v>
      </c>
      <c r="C460" t="s">
        <v>262</v>
      </c>
      <c r="D460" t="s">
        <v>552</v>
      </c>
      <c r="E460" t="s">
        <v>1968</v>
      </c>
      <c r="F460" t="s">
        <v>1969</v>
      </c>
      <c r="G460" t="s">
        <v>79</v>
      </c>
      <c r="H460" t="s">
        <v>80</v>
      </c>
      <c r="I460" t="s">
        <v>141</v>
      </c>
      <c r="J460" t="s">
        <v>37</v>
      </c>
      <c r="K460" t="s">
        <v>71</v>
      </c>
      <c r="L460" t="s">
        <v>52</v>
      </c>
      <c r="M460" t="s">
        <v>53</v>
      </c>
      <c r="N460" t="s">
        <v>54</v>
      </c>
      <c r="O460" s="3">
        <v>150000</v>
      </c>
      <c r="P460" s="4">
        <v>35</v>
      </c>
      <c r="Q460" s="2">
        <v>46241</v>
      </c>
      <c r="R460" s="2">
        <v>46194</v>
      </c>
      <c r="S460" s="2">
        <v>46195</v>
      </c>
      <c r="T460" s="2"/>
      <c r="U460" t="str">
        <f t="shared" si="49"/>
        <v>No</v>
      </c>
      <c r="W4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0" t="str">
        <f t="shared" ca="1" si="50"/>
        <v>Overdue</v>
      </c>
      <c r="Y460" t="str">
        <f t="shared" si="51"/>
        <v>Open</v>
      </c>
      <c r="Z460" t="str">
        <f t="shared" si="52"/>
        <v>Jun-2026</v>
      </c>
      <c r="AA460" t="str">
        <f t="shared" si="53"/>
        <v>Q2 2026</v>
      </c>
      <c r="AB460" s="4">
        <f t="shared" ca="1" si="54"/>
        <v>12</v>
      </c>
      <c r="AC460" t="str">
        <f t="shared" si="55"/>
        <v>Medium</v>
      </c>
    </row>
    <row r="461" spans="1:29">
      <c r="A461" t="s">
        <v>1970</v>
      </c>
      <c r="B461" s="2">
        <v>45948</v>
      </c>
      <c r="C461" t="s">
        <v>1971</v>
      </c>
      <c r="D461" t="s">
        <v>1052</v>
      </c>
      <c r="E461" t="s">
        <v>1972</v>
      </c>
      <c r="F461" t="s">
        <v>1973</v>
      </c>
      <c r="G461" t="s">
        <v>34</v>
      </c>
      <c r="H461" t="s">
        <v>446</v>
      </c>
      <c r="I461" t="s">
        <v>123</v>
      </c>
      <c r="J461" t="s">
        <v>62</v>
      </c>
      <c r="K461" t="s">
        <v>114</v>
      </c>
      <c r="L461" t="s">
        <v>107</v>
      </c>
      <c r="M461" t="s">
        <v>116</v>
      </c>
      <c r="N461" t="s">
        <v>54</v>
      </c>
      <c r="O461" s="3">
        <v>410000</v>
      </c>
      <c r="P461" s="4">
        <v>15</v>
      </c>
      <c r="Q461" s="2">
        <v>45986</v>
      </c>
      <c r="R461" s="2">
        <v>46185</v>
      </c>
      <c r="S461" s="2">
        <v>45975</v>
      </c>
      <c r="T461" s="2"/>
      <c r="U461" t="str">
        <f t="shared" si="49"/>
        <v>No</v>
      </c>
      <c r="W4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1" t="str">
        <f t="shared" ca="1" si="50"/>
        <v>Overdue</v>
      </c>
      <c r="Y461" t="str">
        <f t="shared" si="51"/>
        <v>Open</v>
      </c>
      <c r="Z461" t="str">
        <f t="shared" si="52"/>
        <v>Oct-2025</v>
      </c>
      <c r="AA461" t="str">
        <f t="shared" si="53"/>
        <v>Q4 2025</v>
      </c>
      <c r="AB461" s="4">
        <f t="shared" ca="1" si="54"/>
        <v>251</v>
      </c>
      <c r="AC461" t="str">
        <f t="shared" si="55"/>
        <v>High</v>
      </c>
    </row>
    <row r="462" spans="1:29">
      <c r="A462" t="s">
        <v>1974</v>
      </c>
      <c r="B462" s="2">
        <v>46152</v>
      </c>
      <c r="C462" t="s">
        <v>1097</v>
      </c>
      <c r="D462" t="s">
        <v>299</v>
      </c>
      <c r="E462" t="s">
        <v>1975</v>
      </c>
      <c r="F462" t="s">
        <v>1976</v>
      </c>
      <c r="G462" t="s">
        <v>179</v>
      </c>
      <c r="H462" t="s">
        <v>180</v>
      </c>
      <c r="I462" t="s">
        <v>49</v>
      </c>
      <c r="J462" t="s">
        <v>99</v>
      </c>
      <c r="K462" t="s">
        <v>194</v>
      </c>
      <c r="L462" t="s">
        <v>239</v>
      </c>
      <c r="M462" t="s">
        <v>133</v>
      </c>
      <c r="N462" t="s">
        <v>134</v>
      </c>
      <c r="O462" s="3">
        <v>215000</v>
      </c>
      <c r="P462" s="4">
        <v>0</v>
      </c>
      <c r="Q462" s="2">
        <v>46163</v>
      </c>
      <c r="R462" s="2"/>
      <c r="S462" s="2">
        <v>46156</v>
      </c>
      <c r="T462" s="2">
        <v>46163</v>
      </c>
      <c r="U462" t="str">
        <f t="shared" si="49"/>
        <v>No</v>
      </c>
      <c r="V462" t="s">
        <v>276</v>
      </c>
      <c r="W4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462" t="str">
        <f t="shared" ca="1" si="50"/>
        <v>Closed</v>
      </c>
      <c r="Y462" t="str">
        <f t="shared" si="51"/>
        <v>Closed</v>
      </c>
      <c r="Z462" t="str">
        <f t="shared" si="52"/>
        <v>May-2026</v>
      </c>
      <c r="AA462" t="str">
        <f t="shared" si="53"/>
        <v>Q2 2026</v>
      </c>
      <c r="AB462" s="4">
        <f t="shared" ca="1" si="54"/>
        <v>47</v>
      </c>
      <c r="AC462" t="str">
        <f t="shared" si="55"/>
        <v>Medium</v>
      </c>
    </row>
    <row r="463" spans="1:29">
      <c r="A463" t="s">
        <v>1977</v>
      </c>
      <c r="B463" s="2">
        <v>45984</v>
      </c>
      <c r="C463" t="s">
        <v>572</v>
      </c>
      <c r="D463" t="s">
        <v>163</v>
      </c>
      <c r="E463" t="s">
        <v>1978</v>
      </c>
      <c r="F463" t="s">
        <v>1979</v>
      </c>
      <c r="G463" t="s">
        <v>69</v>
      </c>
      <c r="H463" t="s">
        <v>270</v>
      </c>
      <c r="I463" t="s">
        <v>36</v>
      </c>
      <c r="J463" t="s">
        <v>131</v>
      </c>
      <c r="K463" t="s">
        <v>51</v>
      </c>
      <c r="L463" t="s">
        <v>142</v>
      </c>
      <c r="M463" t="s">
        <v>40</v>
      </c>
      <c r="N463" t="s">
        <v>41</v>
      </c>
      <c r="O463" s="3">
        <v>150000</v>
      </c>
      <c r="P463" s="4">
        <v>100</v>
      </c>
      <c r="Q463" s="2">
        <v>46011</v>
      </c>
      <c r="R463" s="2"/>
      <c r="S463" s="2">
        <v>45987</v>
      </c>
      <c r="T463" s="2">
        <v>46011</v>
      </c>
      <c r="U463" t="str">
        <f t="shared" si="49"/>
        <v>Yes</v>
      </c>
      <c r="W4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463" t="str">
        <f t="shared" ca="1" si="50"/>
        <v>Closed</v>
      </c>
      <c r="Y463" t="str">
        <f t="shared" si="51"/>
        <v>Closed</v>
      </c>
      <c r="Z463" t="str">
        <f t="shared" si="52"/>
        <v>Nov-2025</v>
      </c>
      <c r="AA463" t="str">
        <f t="shared" si="53"/>
        <v>Q4 2025</v>
      </c>
      <c r="AB463" s="4">
        <f t="shared" ca="1" si="54"/>
        <v>215</v>
      </c>
      <c r="AC463" t="str">
        <f t="shared" si="55"/>
        <v>Medium</v>
      </c>
    </row>
    <row r="464" spans="1:29">
      <c r="A464" t="s">
        <v>1980</v>
      </c>
      <c r="B464" s="2">
        <v>46112</v>
      </c>
      <c r="C464" t="s">
        <v>1981</v>
      </c>
      <c r="D464" t="s">
        <v>887</v>
      </c>
      <c r="E464" t="s">
        <v>1982</v>
      </c>
      <c r="F464" t="s">
        <v>1983</v>
      </c>
      <c r="G464" t="s">
        <v>34</v>
      </c>
      <c r="H464" t="s">
        <v>160</v>
      </c>
      <c r="I464" t="s">
        <v>98</v>
      </c>
      <c r="J464" t="s">
        <v>37</v>
      </c>
      <c r="K464" t="s">
        <v>194</v>
      </c>
      <c r="L464" t="s">
        <v>81</v>
      </c>
      <c r="M464" t="s">
        <v>166</v>
      </c>
      <c r="N464" t="s">
        <v>167</v>
      </c>
      <c r="O464" s="3">
        <v>100000</v>
      </c>
      <c r="P464" s="4">
        <v>60</v>
      </c>
      <c r="Q464" s="2">
        <v>46168</v>
      </c>
      <c r="R464" s="2">
        <v>46219</v>
      </c>
      <c r="S464" s="2">
        <v>46121</v>
      </c>
      <c r="T464" s="2"/>
      <c r="U464" t="str">
        <f t="shared" si="49"/>
        <v>No</v>
      </c>
      <c r="W4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4" t="str">
        <f t="shared" ca="1" si="50"/>
        <v>Due/Open</v>
      </c>
      <c r="Y464" t="str">
        <f t="shared" si="51"/>
        <v>Open</v>
      </c>
      <c r="Z464" t="str">
        <f t="shared" si="52"/>
        <v>Mar-2026</v>
      </c>
      <c r="AA464" t="str">
        <f t="shared" si="53"/>
        <v>Q1 2026</v>
      </c>
      <c r="AB464" s="4">
        <f t="shared" ca="1" si="54"/>
        <v>87</v>
      </c>
      <c r="AC464" t="str">
        <f t="shared" si="55"/>
        <v>Low</v>
      </c>
    </row>
    <row r="465" spans="1:29">
      <c r="A465" t="s">
        <v>1984</v>
      </c>
      <c r="B465" s="2">
        <v>46176</v>
      </c>
      <c r="C465" t="s">
        <v>1985</v>
      </c>
      <c r="D465" t="s">
        <v>1876</v>
      </c>
      <c r="E465" t="s">
        <v>1986</v>
      </c>
      <c r="F465" t="s">
        <v>1987</v>
      </c>
      <c r="G465" t="s">
        <v>34</v>
      </c>
      <c r="H465" t="s">
        <v>160</v>
      </c>
      <c r="I465" t="s">
        <v>36</v>
      </c>
      <c r="J465" t="s">
        <v>124</v>
      </c>
      <c r="K465" t="s">
        <v>51</v>
      </c>
      <c r="L465" t="s">
        <v>63</v>
      </c>
      <c r="M465" t="s">
        <v>53</v>
      </c>
      <c r="N465" t="s">
        <v>54</v>
      </c>
      <c r="O465" s="3">
        <v>315000</v>
      </c>
      <c r="P465" s="4">
        <v>35</v>
      </c>
      <c r="Q465" s="2">
        <v>46200</v>
      </c>
      <c r="R465" s="2">
        <v>46164</v>
      </c>
      <c r="S465" s="2">
        <v>46193</v>
      </c>
      <c r="T465" s="2"/>
      <c r="U465" t="str">
        <f t="shared" si="49"/>
        <v>No</v>
      </c>
      <c r="W4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5" t="str">
        <f t="shared" ca="1" si="50"/>
        <v>Overdue</v>
      </c>
      <c r="Y465" t="str">
        <f t="shared" si="51"/>
        <v>Open</v>
      </c>
      <c r="Z465" t="str">
        <f t="shared" si="52"/>
        <v>Jun-2026</v>
      </c>
      <c r="AA465" t="str">
        <f t="shared" si="53"/>
        <v>Q2 2026</v>
      </c>
      <c r="AB465" s="4">
        <f t="shared" ca="1" si="54"/>
        <v>23</v>
      </c>
      <c r="AC465" t="str">
        <f t="shared" si="55"/>
        <v>High</v>
      </c>
    </row>
    <row r="466" spans="1:29">
      <c r="A466" t="s">
        <v>1988</v>
      </c>
      <c r="B466" s="2">
        <v>45671</v>
      </c>
      <c r="C466" t="s">
        <v>1989</v>
      </c>
      <c r="D466" t="s">
        <v>1701</v>
      </c>
      <c r="E466" t="s">
        <v>1990</v>
      </c>
      <c r="F466" t="s">
        <v>1991</v>
      </c>
      <c r="G466" t="s">
        <v>34</v>
      </c>
      <c r="H466" t="s">
        <v>60</v>
      </c>
      <c r="I466" t="s">
        <v>141</v>
      </c>
      <c r="J466" t="s">
        <v>124</v>
      </c>
      <c r="K466" t="s">
        <v>100</v>
      </c>
      <c r="L466" t="s">
        <v>63</v>
      </c>
      <c r="M466" t="s">
        <v>73</v>
      </c>
      <c r="N466" t="s">
        <v>73</v>
      </c>
      <c r="O466" s="3">
        <v>300000</v>
      </c>
      <c r="P466" s="4">
        <v>75</v>
      </c>
      <c r="Q466" s="2">
        <v>45715</v>
      </c>
      <c r="R466" s="2">
        <v>46223</v>
      </c>
      <c r="S466" s="2">
        <v>45687</v>
      </c>
      <c r="T466" s="2"/>
      <c r="U466" t="str">
        <f t="shared" si="49"/>
        <v>No</v>
      </c>
      <c r="W4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6" t="str">
        <f t="shared" ca="1" si="50"/>
        <v>Due/Open</v>
      </c>
      <c r="Y466" t="str">
        <f t="shared" si="51"/>
        <v>Open</v>
      </c>
      <c r="Z466" t="str">
        <f t="shared" si="52"/>
        <v>Jan-2025</v>
      </c>
      <c r="AA466" t="str">
        <f t="shared" si="53"/>
        <v>Q1 2025</v>
      </c>
      <c r="AB466" s="4">
        <f t="shared" ca="1" si="54"/>
        <v>528</v>
      </c>
      <c r="AC466" t="str">
        <f t="shared" si="55"/>
        <v>High</v>
      </c>
    </row>
    <row r="467" spans="1:29">
      <c r="A467" t="s">
        <v>1992</v>
      </c>
      <c r="B467" s="2">
        <v>45672</v>
      </c>
      <c r="C467" t="s">
        <v>1619</v>
      </c>
      <c r="D467" t="s">
        <v>151</v>
      </c>
      <c r="E467" t="s">
        <v>1993</v>
      </c>
      <c r="F467" t="s">
        <v>1994</v>
      </c>
      <c r="G467" t="s">
        <v>179</v>
      </c>
      <c r="H467" t="s">
        <v>296</v>
      </c>
      <c r="I467" t="s">
        <v>98</v>
      </c>
      <c r="J467" t="s">
        <v>99</v>
      </c>
      <c r="K467" t="s">
        <v>71</v>
      </c>
      <c r="L467" t="s">
        <v>125</v>
      </c>
      <c r="M467" t="s">
        <v>166</v>
      </c>
      <c r="N467" t="s">
        <v>167</v>
      </c>
      <c r="O467" s="3">
        <v>370000</v>
      </c>
      <c r="P467" s="4">
        <v>60</v>
      </c>
      <c r="Q467" s="2">
        <v>45749</v>
      </c>
      <c r="R467" s="2">
        <v>46179</v>
      </c>
      <c r="S467" s="2">
        <v>45689</v>
      </c>
      <c r="T467" s="2"/>
      <c r="U467" t="str">
        <f t="shared" si="49"/>
        <v>No</v>
      </c>
      <c r="W4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7" t="str">
        <f t="shared" ca="1" si="50"/>
        <v>Overdue</v>
      </c>
      <c r="Y467" t="str">
        <f t="shared" si="51"/>
        <v>Open</v>
      </c>
      <c r="Z467" t="str">
        <f t="shared" si="52"/>
        <v>Jan-2025</v>
      </c>
      <c r="AA467" t="str">
        <f t="shared" si="53"/>
        <v>Q1 2025</v>
      </c>
      <c r="AB467" s="4">
        <f t="shared" ca="1" si="54"/>
        <v>527</v>
      </c>
      <c r="AC467" t="str">
        <f t="shared" si="55"/>
        <v>High</v>
      </c>
    </row>
    <row r="468" spans="1:29">
      <c r="A468" t="s">
        <v>1995</v>
      </c>
      <c r="B468" s="2">
        <v>45905</v>
      </c>
      <c r="C468" t="s">
        <v>1996</v>
      </c>
      <c r="D468" t="s">
        <v>76</v>
      </c>
      <c r="E468" t="s">
        <v>1997</v>
      </c>
      <c r="F468" t="s">
        <v>1998</v>
      </c>
      <c r="G468" t="s">
        <v>179</v>
      </c>
      <c r="H468" t="s">
        <v>487</v>
      </c>
      <c r="I468" t="s">
        <v>49</v>
      </c>
      <c r="J468" t="s">
        <v>50</v>
      </c>
      <c r="K468" t="s">
        <v>114</v>
      </c>
      <c r="L468" t="s">
        <v>132</v>
      </c>
      <c r="M468" t="s">
        <v>82</v>
      </c>
      <c r="N468" t="s">
        <v>83</v>
      </c>
      <c r="O468" s="3">
        <v>360000</v>
      </c>
      <c r="P468" s="4">
        <v>10</v>
      </c>
      <c r="Q468" s="2">
        <v>45933</v>
      </c>
      <c r="R468" s="2">
        <v>46189</v>
      </c>
      <c r="S468" s="2">
        <v>45914</v>
      </c>
      <c r="T468" s="2"/>
      <c r="U468" t="str">
        <f t="shared" si="49"/>
        <v>No</v>
      </c>
      <c r="W4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8" t="str">
        <f t="shared" ca="1" si="50"/>
        <v>Overdue</v>
      </c>
      <c r="Y468" t="str">
        <f t="shared" si="51"/>
        <v>Open</v>
      </c>
      <c r="Z468" t="str">
        <f t="shared" si="52"/>
        <v>Sep-2025</v>
      </c>
      <c r="AA468" t="str">
        <f t="shared" si="53"/>
        <v>Q3 2025</v>
      </c>
      <c r="AB468" s="4">
        <f t="shared" ca="1" si="54"/>
        <v>294</v>
      </c>
      <c r="AC468" t="str">
        <f t="shared" si="55"/>
        <v>High</v>
      </c>
    </row>
    <row r="469" spans="1:29">
      <c r="A469" t="s">
        <v>1999</v>
      </c>
      <c r="B469" s="2">
        <v>45993</v>
      </c>
      <c r="C469" t="s">
        <v>175</v>
      </c>
      <c r="D469" t="s">
        <v>573</v>
      </c>
      <c r="E469" t="s">
        <v>2000</v>
      </c>
      <c r="F469" t="s">
        <v>2001</v>
      </c>
      <c r="G469" t="s">
        <v>79</v>
      </c>
      <c r="H469" t="s">
        <v>106</v>
      </c>
      <c r="I469" t="s">
        <v>148</v>
      </c>
      <c r="J469" t="s">
        <v>62</v>
      </c>
      <c r="K469" t="s">
        <v>194</v>
      </c>
      <c r="L469" t="s">
        <v>125</v>
      </c>
      <c r="M469" t="s">
        <v>116</v>
      </c>
      <c r="N469" t="s">
        <v>54</v>
      </c>
      <c r="O469" s="3">
        <v>405000</v>
      </c>
      <c r="P469" s="4">
        <v>25</v>
      </c>
      <c r="Q469" s="2">
        <v>46036</v>
      </c>
      <c r="R469" s="2">
        <v>46228</v>
      </c>
      <c r="S469" s="2">
        <v>45994</v>
      </c>
      <c r="T469" s="2"/>
      <c r="U469" t="str">
        <f t="shared" si="49"/>
        <v>No</v>
      </c>
      <c r="W4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69" t="str">
        <f t="shared" ca="1" si="50"/>
        <v>Due/Open</v>
      </c>
      <c r="Y469" t="str">
        <f t="shared" si="51"/>
        <v>Open</v>
      </c>
      <c r="Z469" t="str">
        <f t="shared" si="52"/>
        <v>Dec-2025</v>
      </c>
      <c r="AA469" t="str">
        <f t="shared" si="53"/>
        <v>Q4 2025</v>
      </c>
      <c r="AB469" s="4">
        <f t="shared" ca="1" si="54"/>
        <v>206</v>
      </c>
      <c r="AC469" t="str">
        <f t="shared" si="55"/>
        <v>High</v>
      </c>
    </row>
    <row r="470" spans="1:29">
      <c r="A470" t="s">
        <v>2002</v>
      </c>
      <c r="B470" s="2">
        <v>45793</v>
      </c>
      <c r="C470" t="s">
        <v>1637</v>
      </c>
      <c r="D470" t="s">
        <v>197</v>
      </c>
      <c r="E470" t="s">
        <v>2003</v>
      </c>
      <c r="F470" t="s">
        <v>2004</v>
      </c>
      <c r="G470" t="s">
        <v>79</v>
      </c>
      <c r="H470" t="s">
        <v>106</v>
      </c>
      <c r="I470" t="s">
        <v>98</v>
      </c>
      <c r="J470" t="s">
        <v>37</v>
      </c>
      <c r="K470" t="s">
        <v>114</v>
      </c>
      <c r="L470" t="s">
        <v>132</v>
      </c>
      <c r="M470" t="s">
        <v>53</v>
      </c>
      <c r="N470" t="s">
        <v>54</v>
      </c>
      <c r="O470" s="3">
        <v>110000</v>
      </c>
      <c r="P470" s="4">
        <v>25</v>
      </c>
      <c r="Q470" s="2">
        <v>45843</v>
      </c>
      <c r="R470" s="2">
        <v>46217</v>
      </c>
      <c r="S470" s="2">
        <v>45813</v>
      </c>
      <c r="T470" s="2"/>
      <c r="U470" t="str">
        <f t="shared" si="49"/>
        <v>No</v>
      </c>
      <c r="W4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0" t="str">
        <f t="shared" ca="1" si="50"/>
        <v>Due/Open</v>
      </c>
      <c r="Y470" t="str">
        <f t="shared" si="51"/>
        <v>Open</v>
      </c>
      <c r="Z470" t="str">
        <f t="shared" si="52"/>
        <v>May-2025</v>
      </c>
      <c r="AA470" t="str">
        <f t="shared" si="53"/>
        <v>Q2 2025</v>
      </c>
      <c r="AB470" s="4">
        <f t="shared" ca="1" si="54"/>
        <v>406</v>
      </c>
      <c r="AC470" t="str">
        <f t="shared" si="55"/>
        <v>Low</v>
      </c>
    </row>
    <row r="471" spans="1:29">
      <c r="A471" t="s">
        <v>2005</v>
      </c>
      <c r="B471" s="2">
        <v>46183</v>
      </c>
      <c r="C471" t="s">
        <v>1996</v>
      </c>
      <c r="D471" t="s">
        <v>561</v>
      </c>
      <c r="E471" t="s">
        <v>2006</v>
      </c>
      <c r="F471" t="s">
        <v>2007</v>
      </c>
      <c r="G471" t="s">
        <v>179</v>
      </c>
      <c r="H471" t="s">
        <v>436</v>
      </c>
      <c r="I471" t="s">
        <v>148</v>
      </c>
      <c r="J471" t="s">
        <v>131</v>
      </c>
      <c r="K471" t="s">
        <v>71</v>
      </c>
      <c r="L471" t="s">
        <v>142</v>
      </c>
      <c r="M471" t="s">
        <v>133</v>
      </c>
      <c r="N471" t="s">
        <v>134</v>
      </c>
      <c r="O471" s="3">
        <v>185000</v>
      </c>
      <c r="P471" s="4">
        <v>0</v>
      </c>
      <c r="Q471" s="2">
        <v>46180</v>
      </c>
      <c r="R471" s="2"/>
      <c r="S471" s="2">
        <v>46198</v>
      </c>
      <c r="T471" s="2">
        <v>46180</v>
      </c>
      <c r="U471" t="str">
        <f t="shared" si="49"/>
        <v>No</v>
      </c>
      <c r="V471" t="s">
        <v>276</v>
      </c>
      <c r="W4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>Date Error</v>
      </c>
      <c r="X471" t="str">
        <f t="shared" ca="1" si="50"/>
        <v>Closed</v>
      </c>
      <c r="Y471" t="str">
        <f t="shared" si="51"/>
        <v>Closed</v>
      </c>
      <c r="Z471" t="str">
        <f t="shared" si="52"/>
        <v>Jun-2026</v>
      </c>
      <c r="AA471" t="str">
        <f t="shared" si="53"/>
        <v>Q2 2026</v>
      </c>
      <c r="AB471" s="4">
        <f t="shared" ca="1" si="54"/>
        <v>16</v>
      </c>
      <c r="AC471" t="str">
        <f t="shared" si="55"/>
        <v>Medium</v>
      </c>
    </row>
    <row r="472" spans="1:29">
      <c r="A472" t="s">
        <v>2008</v>
      </c>
      <c r="B472" s="2">
        <v>45764</v>
      </c>
      <c r="C472" t="s">
        <v>411</v>
      </c>
      <c r="D472" t="s">
        <v>1183</v>
      </c>
      <c r="E472" t="s">
        <v>2009</v>
      </c>
      <c r="F472" t="s">
        <v>2010</v>
      </c>
      <c r="G472" t="s">
        <v>34</v>
      </c>
      <c r="H472" t="s">
        <v>160</v>
      </c>
      <c r="I472" t="s">
        <v>187</v>
      </c>
      <c r="J472" t="s">
        <v>99</v>
      </c>
      <c r="K472" t="s">
        <v>100</v>
      </c>
      <c r="L472" t="s">
        <v>107</v>
      </c>
      <c r="M472" t="s">
        <v>133</v>
      </c>
      <c r="N472" t="s">
        <v>134</v>
      </c>
      <c r="O472" s="3">
        <v>455000</v>
      </c>
      <c r="P472" s="4">
        <v>0</v>
      </c>
      <c r="Q472" s="2">
        <v>45777</v>
      </c>
      <c r="R472" s="2"/>
      <c r="S472" s="2">
        <v>45777</v>
      </c>
      <c r="T472" s="2">
        <v>45777</v>
      </c>
      <c r="U472" t="str">
        <f t="shared" si="49"/>
        <v>No</v>
      </c>
      <c r="V472" t="s">
        <v>211</v>
      </c>
      <c r="W47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13</v>
      </c>
      <c r="X472" t="str">
        <f t="shared" ca="1" si="50"/>
        <v>Closed</v>
      </c>
      <c r="Y472" t="str">
        <f t="shared" si="51"/>
        <v>Closed</v>
      </c>
      <c r="Z472" t="str">
        <f t="shared" si="52"/>
        <v>Apr-2025</v>
      </c>
      <c r="AA472" t="str">
        <f t="shared" si="53"/>
        <v>Q2 2025</v>
      </c>
      <c r="AB472" s="4">
        <f t="shared" ca="1" si="54"/>
        <v>435</v>
      </c>
      <c r="AC472" t="str">
        <f t="shared" si="55"/>
        <v>High</v>
      </c>
    </row>
    <row r="473" spans="1:29">
      <c r="A473" t="s">
        <v>2011</v>
      </c>
      <c r="B473" s="2">
        <v>45682</v>
      </c>
      <c r="C473" t="s">
        <v>521</v>
      </c>
      <c r="D473" t="s">
        <v>557</v>
      </c>
      <c r="E473" t="s">
        <v>2012</v>
      </c>
      <c r="F473" t="s">
        <v>2013</v>
      </c>
      <c r="G473" t="s">
        <v>179</v>
      </c>
      <c r="H473" t="s">
        <v>487</v>
      </c>
      <c r="I473" t="s">
        <v>141</v>
      </c>
      <c r="J473" t="s">
        <v>99</v>
      </c>
      <c r="K473" t="s">
        <v>71</v>
      </c>
      <c r="L473" t="s">
        <v>81</v>
      </c>
      <c r="M473" t="s">
        <v>133</v>
      </c>
      <c r="N473" t="s">
        <v>134</v>
      </c>
      <c r="O473" s="3">
        <v>195000</v>
      </c>
      <c r="P473" s="4">
        <v>0</v>
      </c>
      <c r="Q473" s="2">
        <v>45726</v>
      </c>
      <c r="R473" s="2"/>
      <c r="S473" s="2">
        <v>45712</v>
      </c>
      <c r="T473" s="2">
        <v>45726</v>
      </c>
      <c r="U473" t="str">
        <f t="shared" si="49"/>
        <v>No</v>
      </c>
      <c r="V473" t="s">
        <v>276</v>
      </c>
      <c r="W47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44</v>
      </c>
      <c r="X473" t="str">
        <f t="shared" ca="1" si="50"/>
        <v>Closed</v>
      </c>
      <c r="Y473" t="str">
        <f t="shared" si="51"/>
        <v>Closed</v>
      </c>
      <c r="Z473" t="str">
        <f t="shared" si="52"/>
        <v>Jan-2025</v>
      </c>
      <c r="AA473" t="str">
        <f t="shared" si="53"/>
        <v>Q1 2025</v>
      </c>
      <c r="AB473" s="4">
        <f t="shared" ca="1" si="54"/>
        <v>517</v>
      </c>
      <c r="AC473" t="str">
        <f t="shared" si="55"/>
        <v>Medium</v>
      </c>
    </row>
    <row r="474" spans="1:29">
      <c r="A474" t="s">
        <v>2014</v>
      </c>
      <c r="B474" s="2">
        <v>46095</v>
      </c>
      <c r="C474" t="s">
        <v>614</v>
      </c>
      <c r="D474" t="s">
        <v>676</v>
      </c>
      <c r="E474" t="s">
        <v>2015</v>
      </c>
      <c r="F474" t="s">
        <v>2016</v>
      </c>
      <c r="G474" t="s">
        <v>47</v>
      </c>
      <c r="H474" t="s">
        <v>113</v>
      </c>
      <c r="I474" t="s">
        <v>123</v>
      </c>
      <c r="J474" t="s">
        <v>50</v>
      </c>
      <c r="K474" t="s">
        <v>100</v>
      </c>
      <c r="L474" t="s">
        <v>52</v>
      </c>
      <c r="M474" t="s">
        <v>166</v>
      </c>
      <c r="N474" t="s">
        <v>167</v>
      </c>
      <c r="O474" s="3">
        <v>465000</v>
      </c>
      <c r="P474" s="4">
        <v>65</v>
      </c>
      <c r="Q474" s="2">
        <v>46160</v>
      </c>
      <c r="R474" s="2">
        <v>46191</v>
      </c>
      <c r="S474" s="2">
        <v>46111</v>
      </c>
      <c r="T474" s="2"/>
      <c r="U474" t="str">
        <f t="shared" si="49"/>
        <v>No</v>
      </c>
      <c r="W4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4" t="str">
        <f t="shared" ca="1" si="50"/>
        <v>Overdue</v>
      </c>
      <c r="Y474" t="str">
        <f t="shared" si="51"/>
        <v>Open</v>
      </c>
      <c r="Z474" t="str">
        <f t="shared" si="52"/>
        <v>Mar-2026</v>
      </c>
      <c r="AA474" t="str">
        <f t="shared" si="53"/>
        <v>Q1 2026</v>
      </c>
      <c r="AB474" s="4">
        <f t="shared" ca="1" si="54"/>
        <v>104</v>
      </c>
      <c r="AC474" t="str">
        <f t="shared" si="55"/>
        <v>High</v>
      </c>
    </row>
    <row r="475" spans="1:29">
      <c r="A475" t="s">
        <v>2017</v>
      </c>
      <c r="B475" s="2">
        <v>45918</v>
      </c>
      <c r="C475" t="s">
        <v>224</v>
      </c>
      <c r="D475" t="s">
        <v>1012</v>
      </c>
      <c r="E475" t="s">
        <v>2018</v>
      </c>
      <c r="F475" t="s">
        <v>2019</v>
      </c>
      <c r="G475" t="s">
        <v>47</v>
      </c>
      <c r="H475" t="s">
        <v>48</v>
      </c>
      <c r="I475" t="s">
        <v>98</v>
      </c>
      <c r="J475" t="s">
        <v>50</v>
      </c>
      <c r="K475" t="s">
        <v>51</v>
      </c>
      <c r="L475" t="s">
        <v>154</v>
      </c>
      <c r="M475" t="s">
        <v>166</v>
      </c>
      <c r="N475" t="s">
        <v>167</v>
      </c>
      <c r="O475" s="3">
        <v>215000</v>
      </c>
      <c r="P475" s="4">
        <v>65</v>
      </c>
      <c r="Q475" s="2">
        <v>45992</v>
      </c>
      <c r="R475" s="2">
        <v>46208</v>
      </c>
      <c r="S475" s="2">
        <v>45945</v>
      </c>
      <c r="T475" s="2"/>
      <c r="U475" t="str">
        <f t="shared" si="49"/>
        <v>No</v>
      </c>
      <c r="W4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5" t="str">
        <f t="shared" ca="1" si="50"/>
        <v>Due/Open</v>
      </c>
      <c r="Y475" t="str">
        <f t="shared" si="51"/>
        <v>Open</v>
      </c>
      <c r="Z475" t="str">
        <f t="shared" si="52"/>
        <v>Sep-2025</v>
      </c>
      <c r="AA475" t="str">
        <f t="shared" si="53"/>
        <v>Q3 2025</v>
      </c>
      <c r="AB475" s="4">
        <f t="shared" ca="1" si="54"/>
        <v>281</v>
      </c>
      <c r="AC475" t="str">
        <f t="shared" si="55"/>
        <v>Medium</v>
      </c>
    </row>
    <row r="476" spans="1:29">
      <c r="A476" t="s">
        <v>2020</v>
      </c>
      <c r="B476" s="2">
        <v>45745</v>
      </c>
      <c r="C476" t="s">
        <v>1448</v>
      </c>
      <c r="D476" t="s">
        <v>1183</v>
      </c>
      <c r="E476" t="s">
        <v>2021</v>
      </c>
      <c r="F476" t="s">
        <v>2022</v>
      </c>
      <c r="G476" t="s">
        <v>34</v>
      </c>
      <c r="H476" t="s">
        <v>60</v>
      </c>
      <c r="I476" t="s">
        <v>61</v>
      </c>
      <c r="J476" t="s">
        <v>62</v>
      </c>
      <c r="K476" t="s">
        <v>38</v>
      </c>
      <c r="L476" t="s">
        <v>142</v>
      </c>
      <c r="M476" t="s">
        <v>82</v>
      </c>
      <c r="N476" t="s">
        <v>83</v>
      </c>
      <c r="O476" s="3">
        <v>295000</v>
      </c>
      <c r="P476" s="4">
        <v>5</v>
      </c>
      <c r="Q476" s="2">
        <v>45824</v>
      </c>
      <c r="R476" s="2">
        <v>46179</v>
      </c>
      <c r="S476" s="2">
        <v>45751</v>
      </c>
      <c r="T476" s="2"/>
      <c r="U476" t="str">
        <f t="shared" si="49"/>
        <v>No</v>
      </c>
      <c r="W4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6" t="str">
        <f t="shared" ca="1" si="50"/>
        <v>Overdue</v>
      </c>
      <c r="Y476" t="str">
        <f t="shared" si="51"/>
        <v>Open</v>
      </c>
      <c r="Z476" t="str">
        <f t="shared" si="52"/>
        <v>Mar-2025</v>
      </c>
      <c r="AA476" t="str">
        <f t="shared" si="53"/>
        <v>Q1 2025</v>
      </c>
      <c r="AB476" s="4">
        <f t="shared" ca="1" si="54"/>
        <v>454</v>
      </c>
      <c r="AC476" t="str">
        <f t="shared" si="55"/>
        <v>Medium</v>
      </c>
    </row>
    <row r="477" spans="1:29">
      <c r="A477" t="s">
        <v>2023</v>
      </c>
      <c r="B477" s="2">
        <v>45804</v>
      </c>
      <c r="C477" t="s">
        <v>2024</v>
      </c>
      <c r="D477" t="s">
        <v>288</v>
      </c>
      <c r="E477" t="s">
        <v>2025</v>
      </c>
      <c r="F477" t="s">
        <v>2026</v>
      </c>
      <c r="G477" t="s">
        <v>34</v>
      </c>
      <c r="H477" t="s">
        <v>238</v>
      </c>
      <c r="I477" t="s">
        <v>148</v>
      </c>
      <c r="J477" t="s">
        <v>37</v>
      </c>
      <c r="K477" t="s">
        <v>100</v>
      </c>
      <c r="L477" t="s">
        <v>132</v>
      </c>
      <c r="M477" t="s">
        <v>90</v>
      </c>
      <c r="N477" t="s">
        <v>91</v>
      </c>
      <c r="O477" s="3">
        <v>135000</v>
      </c>
      <c r="P477" s="4">
        <v>55</v>
      </c>
      <c r="Q477" s="2">
        <v>45874</v>
      </c>
      <c r="R477" s="2">
        <v>46217</v>
      </c>
      <c r="S477" s="2">
        <v>45818</v>
      </c>
      <c r="T477" s="2"/>
      <c r="U477" t="str">
        <f t="shared" si="49"/>
        <v>No</v>
      </c>
      <c r="W4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7" t="str">
        <f t="shared" ca="1" si="50"/>
        <v>Due/Open</v>
      </c>
      <c r="Y477" t="str">
        <f t="shared" si="51"/>
        <v>Open</v>
      </c>
      <c r="Z477" t="str">
        <f t="shared" si="52"/>
        <v>May-2025</v>
      </c>
      <c r="AA477" t="str">
        <f t="shared" si="53"/>
        <v>Q2 2025</v>
      </c>
      <c r="AB477" s="4">
        <f t="shared" ca="1" si="54"/>
        <v>395</v>
      </c>
      <c r="AC477" t="str">
        <f t="shared" si="55"/>
        <v>Medium</v>
      </c>
    </row>
    <row r="478" spans="1:29">
      <c r="A478" t="s">
        <v>2027</v>
      </c>
      <c r="B478" s="2">
        <v>46136</v>
      </c>
      <c r="C478" t="s">
        <v>2028</v>
      </c>
      <c r="D478" t="s">
        <v>389</v>
      </c>
      <c r="E478" t="s">
        <v>2029</v>
      </c>
      <c r="F478" t="s">
        <v>2030</v>
      </c>
      <c r="G478" t="s">
        <v>69</v>
      </c>
      <c r="H478" t="s">
        <v>193</v>
      </c>
      <c r="I478" t="s">
        <v>36</v>
      </c>
      <c r="J478" t="s">
        <v>37</v>
      </c>
      <c r="K478" t="s">
        <v>71</v>
      </c>
      <c r="L478" t="s">
        <v>132</v>
      </c>
      <c r="M478" t="s">
        <v>82</v>
      </c>
      <c r="N478" t="s">
        <v>83</v>
      </c>
      <c r="O478" s="3">
        <v>30000</v>
      </c>
      <c r="P478" s="4">
        <v>5</v>
      </c>
      <c r="Q478" s="2">
        <v>46175</v>
      </c>
      <c r="R478" s="2">
        <v>46164</v>
      </c>
      <c r="S478" s="2">
        <v>46157</v>
      </c>
      <c r="T478" s="2"/>
      <c r="U478" t="str">
        <f t="shared" si="49"/>
        <v>No</v>
      </c>
      <c r="W4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8" t="str">
        <f t="shared" ca="1" si="50"/>
        <v>Overdue</v>
      </c>
      <c r="Y478" t="str">
        <f t="shared" si="51"/>
        <v>Open</v>
      </c>
      <c r="Z478" t="str">
        <f t="shared" si="52"/>
        <v>Apr-2026</v>
      </c>
      <c r="AA478" t="str">
        <f t="shared" si="53"/>
        <v>Q2 2026</v>
      </c>
      <c r="AB478" s="4">
        <f t="shared" ca="1" si="54"/>
        <v>63</v>
      </c>
      <c r="AC478" t="str">
        <f t="shared" si="55"/>
        <v>Low</v>
      </c>
    </row>
    <row r="479" spans="1:29">
      <c r="A479" t="s">
        <v>2031</v>
      </c>
      <c r="B479" s="2">
        <v>46065</v>
      </c>
      <c r="C479" t="s">
        <v>503</v>
      </c>
      <c r="D479" t="s">
        <v>1460</v>
      </c>
      <c r="E479" t="s">
        <v>2032</v>
      </c>
      <c r="F479" t="s">
        <v>2033</v>
      </c>
      <c r="G479" t="s">
        <v>34</v>
      </c>
      <c r="H479" t="s">
        <v>60</v>
      </c>
      <c r="I479" t="s">
        <v>98</v>
      </c>
      <c r="J479" t="s">
        <v>131</v>
      </c>
      <c r="K479" t="s">
        <v>38</v>
      </c>
      <c r="L479" t="s">
        <v>72</v>
      </c>
      <c r="M479" t="s">
        <v>73</v>
      </c>
      <c r="N479" t="s">
        <v>73</v>
      </c>
      <c r="O479" s="3">
        <v>195000</v>
      </c>
      <c r="P479" s="4">
        <v>85</v>
      </c>
      <c r="Q479" s="2">
        <v>46089</v>
      </c>
      <c r="R479" s="2">
        <v>46229</v>
      </c>
      <c r="S479" s="2">
        <v>46091</v>
      </c>
      <c r="T479" s="2"/>
      <c r="U479" t="str">
        <f t="shared" si="49"/>
        <v>No</v>
      </c>
      <c r="W4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79" t="str">
        <f t="shared" ca="1" si="50"/>
        <v>Due/Open</v>
      </c>
      <c r="Y479" t="str">
        <f t="shared" si="51"/>
        <v>Open</v>
      </c>
      <c r="Z479" t="str">
        <f t="shared" si="52"/>
        <v>Feb-2026</v>
      </c>
      <c r="AA479" t="str">
        <f t="shared" si="53"/>
        <v>Q1 2026</v>
      </c>
      <c r="AB479" s="4">
        <f t="shared" ca="1" si="54"/>
        <v>134</v>
      </c>
      <c r="AC479" t="str">
        <f t="shared" si="55"/>
        <v>Medium</v>
      </c>
    </row>
    <row r="480" spans="1:29">
      <c r="A480" t="s">
        <v>2034</v>
      </c>
      <c r="B480" s="2">
        <v>45727</v>
      </c>
      <c r="C480" t="s">
        <v>1564</v>
      </c>
      <c r="D480" t="s">
        <v>459</v>
      </c>
      <c r="E480" t="s">
        <v>2035</v>
      </c>
      <c r="F480" t="s">
        <v>2036</v>
      </c>
      <c r="G480" t="s">
        <v>47</v>
      </c>
      <c r="H480" t="s">
        <v>113</v>
      </c>
      <c r="I480" t="s">
        <v>141</v>
      </c>
      <c r="J480" t="s">
        <v>62</v>
      </c>
      <c r="K480" t="s">
        <v>51</v>
      </c>
      <c r="L480" t="s">
        <v>72</v>
      </c>
      <c r="M480" t="s">
        <v>40</v>
      </c>
      <c r="N480" t="s">
        <v>41</v>
      </c>
      <c r="O480" s="3">
        <v>315000</v>
      </c>
      <c r="P480" s="4">
        <v>100</v>
      </c>
      <c r="Q480" s="2">
        <v>45807</v>
      </c>
      <c r="R480" s="2"/>
      <c r="S480" s="2">
        <v>45730</v>
      </c>
      <c r="T480" s="2">
        <v>45807</v>
      </c>
      <c r="U480" t="str">
        <f t="shared" si="49"/>
        <v>Yes</v>
      </c>
      <c r="W48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480" t="str">
        <f t="shared" ca="1" si="50"/>
        <v>Closed</v>
      </c>
      <c r="Y480" t="str">
        <f t="shared" si="51"/>
        <v>Closed</v>
      </c>
      <c r="Z480" t="str">
        <f t="shared" si="52"/>
        <v>Mar-2025</v>
      </c>
      <c r="AA480" t="str">
        <f t="shared" si="53"/>
        <v>Q1 2025</v>
      </c>
      <c r="AB480" s="4">
        <f t="shared" ca="1" si="54"/>
        <v>472</v>
      </c>
      <c r="AC480" t="str">
        <f t="shared" si="55"/>
        <v>High</v>
      </c>
    </row>
    <row r="481" spans="1:29">
      <c r="A481" t="s">
        <v>2037</v>
      </c>
      <c r="B481" s="2">
        <v>45853</v>
      </c>
      <c r="C481" t="s">
        <v>2038</v>
      </c>
      <c r="D481" t="s">
        <v>1302</v>
      </c>
      <c r="E481" t="s">
        <v>2039</v>
      </c>
      <c r="F481" t="s">
        <v>2040</v>
      </c>
      <c r="G481" t="s">
        <v>179</v>
      </c>
      <c r="H481" t="s">
        <v>436</v>
      </c>
      <c r="I481" t="s">
        <v>36</v>
      </c>
      <c r="J481" t="s">
        <v>37</v>
      </c>
      <c r="K481" t="s">
        <v>51</v>
      </c>
      <c r="L481" t="s">
        <v>132</v>
      </c>
      <c r="M481" t="s">
        <v>40</v>
      </c>
      <c r="N481" t="s">
        <v>41</v>
      </c>
      <c r="O481" s="3">
        <v>120000</v>
      </c>
      <c r="P481" s="4">
        <v>100</v>
      </c>
      <c r="Q481" s="2">
        <v>45895</v>
      </c>
      <c r="R481" s="2"/>
      <c r="S481" s="2">
        <v>45881</v>
      </c>
      <c r="T481" s="2">
        <v>45895</v>
      </c>
      <c r="U481" t="str">
        <f t="shared" si="49"/>
        <v>Yes</v>
      </c>
      <c r="W4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481" t="str">
        <f t="shared" ca="1" si="50"/>
        <v>Closed</v>
      </c>
      <c r="Y481" t="str">
        <f t="shared" si="51"/>
        <v>Closed</v>
      </c>
      <c r="Z481" t="str">
        <f t="shared" si="52"/>
        <v>Jul-2025</v>
      </c>
      <c r="AA481" t="str">
        <f t="shared" si="53"/>
        <v>Q3 2025</v>
      </c>
      <c r="AB481" s="4">
        <f t="shared" ca="1" si="54"/>
        <v>346</v>
      </c>
      <c r="AC481" t="str">
        <f t="shared" si="55"/>
        <v>Medium</v>
      </c>
    </row>
    <row r="482" spans="1:29">
      <c r="A482" t="s">
        <v>2041</v>
      </c>
      <c r="B482" s="2">
        <v>46036</v>
      </c>
      <c r="C482" t="s">
        <v>1559</v>
      </c>
      <c r="D482" t="s">
        <v>573</v>
      </c>
      <c r="E482" t="s">
        <v>2042</v>
      </c>
      <c r="F482" t="s">
        <v>2043</v>
      </c>
      <c r="G482" t="s">
        <v>179</v>
      </c>
      <c r="H482" t="s">
        <v>180</v>
      </c>
      <c r="I482" t="s">
        <v>49</v>
      </c>
      <c r="J482" t="s">
        <v>37</v>
      </c>
      <c r="K482" t="s">
        <v>114</v>
      </c>
      <c r="L482" t="s">
        <v>81</v>
      </c>
      <c r="M482" t="s">
        <v>53</v>
      </c>
      <c r="N482" t="s">
        <v>54</v>
      </c>
      <c r="O482" s="3">
        <v>40000</v>
      </c>
      <c r="P482" s="4">
        <v>25</v>
      </c>
      <c r="Q482" s="2">
        <v>46118</v>
      </c>
      <c r="R482" s="2">
        <v>46153</v>
      </c>
      <c r="S482" s="2">
        <v>46038</v>
      </c>
      <c r="T482" s="2"/>
      <c r="U482" t="str">
        <f t="shared" si="49"/>
        <v>No</v>
      </c>
      <c r="W4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2" t="str">
        <f t="shared" ca="1" si="50"/>
        <v>Overdue</v>
      </c>
      <c r="Y482" t="str">
        <f t="shared" si="51"/>
        <v>Open</v>
      </c>
      <c r="Z482" t="str">
        <f t="shared" si="52"/>
        <v>Jan-2026</v>
      </c>
      <c r="AA482" t="str">
        <f t="shared" si="53"/>
        <v>Q1 2026</v>
      </c>
      <c r="AB482" s="4">
        <f t="shared" ca="1" si="54"/>
        <v>163</v>
      </c>
      <c r="AC482" t="str">
        <f t="shared" si="55"/>
        <v>Low</v>
      </c>
    </row>
    <row r="483" spans="1:29">
      <c r="A483" t="s">
        <v>2044</v>
      </c>
      <c r="B483" s="2">
        <v>45832</v>
      </c>
      <c r="C483" t="s">
        <v>1424</v>
      </c>
      <c r="D483" t="s">
        <v>423</v>
      </c>
      <c r="E483" t="s">
        <v>2045</v>
      </c>
      <c r="F483" t="s">
        <v>2046</v>
      </c>
      <c r="G483" t="s">
        <v>47</v>
      </c>
      <c r="H483" t="s">
        <v>48</v>
      </c>
      <c r="I483" t="s">
        <v>49</v>
      </c>
      <c r="J483" t="s">
        <v>99</v>
      </c>
      <c r="K483" t="s">
        <v>100</v>
      </c>
      <c r="L483" t="s">
        <v>107</v>
      </c>
      <c r="M483" t="s">
        <v>82</v>
      </c>
      <c r="N483" t="s">
        <v>83</v>
      </c>
      <c r="O483" s="3">
        <v>385000</v>
      </c>
      <c r="P483" s="4">
        <v>5</v>
      </c>
      <c r="Q483" s="2">
        <v>45917</v>
      </c>
      <c r="R483" s="2">
        <v>46215</v>
      </c>
      <c r="S483" s="2">
        <v>45851</v>
      </c>
      <c r="T483" s="2"/>
      <c r="U483" t="str">
        <f t="shared" si="49"/>
        <v>No</v>
      </c>
      <c r="W4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3" t="str">
        <f t="shared" ca="1" si="50"/>
        <v>Due/Open</v>
      </c>
      <c r="Y483" t="str">
        <f t="shared" si="51"/>
        <v>Open</v>
      </c>
      <c r="Z483" t="str">
        <f t="shared" si="52"/>
        <v>Jun-2025</v>
      </c>
      <c r="AA483" t="str">
        <f t="shared" si="53"/>
        <v>Q2 2025</v>
      </c>
      <c r="AB483" s="4">
        <f t="shared" ca="1" si="54"/>
        <v>367</v>
      </c>
      <c r="AC483" t="str">
        <f t="shared" si="55"/>
        <v>High</v>
      </c>
    </row>
    <row r="484" spans="1:29">
      <c r="A484" t="s">
        <v>2047</v>
      </c>
      <c r="B484" s="2">
        <v>45849</v>
      </c>
      <c r="C484" t="s">
        <v>2048</v>
      </c>
      <c r="D484" t="s">
        <v>586</v>
      </c>
      <c r="E484" t="s">
        <v>2049</v>
      </c>
      <c r="F484" t="s">
        <v>2050</v>
      </c>
      <c r="G484" t="s">
        <v>179</v>
      </c>
      <c r="H484" t="s">
        <v>436</v>
      </c>
      <c r="I484" t="s">
        <v>187</v>
      </c>
      <c r="J484" t="s">
        <v>124</v>
      </c>
      <c r="K484" t="s">
        <v>71</v>
      </c>
      <c r="L484" t="s">
        <v>142</v>
      </c>
      <c r="M484" t="s">
        <v>116</v>
      </c>
      <c r="N484" t="s">
        <v>54</v>
      </c>
      <c r="O484" s="3">
        <v>240000</v>
      </c>
      <c r="P484" s="4">
        <v>20</v>
      </c>
      <c r="Q484" s="2">
        <v>45916</v>
      </c>
      <c r="R484" s="2">
        <v>46218</v>
      </c>
      <c r="S484" s="2">
        <v>45858</v>
      </c>
      <c r="T484" s="2"/>
      <c r="U484" t="str">
        <f t="shared" si="49"/>
        <v>No</v>
      </c>
      <c r="W4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4" t="str">
        <f t="shared" ca="1" si="50"/>
        <v>Due/Open</v>
      </c>
      <c r="Y484" t="str">
        <f t="shared" si="51"/>
        <v>Open</v>
      </c>
      <c r="Z484" t="str">
        <f t="shared" si="52"/>
        <v>Jul-2025</v>
      </c>
      <c r="AA484" t="str">
        <f t="shared" si="53"/>
        <v>Q3 2025</v>
      </c>
      <c r="AB484" s="4">
        <f t="shared" ca="1" si="54"/>
        <v>350</v>
      </c>
      <c r="AC484" t="str">
        <f t="shared" si="55"/>
        <v>Medium</v>
      </c>
    </row>
    <row r="485" spans="1:29">
      <c r="A485" t="s">
        <v>2051</v>
      </c>
      <c r="B485" s="2">
        <v>45853</v>
      </c>
      <c r="C485" t="s">
        <v>2052</v>
      </c>
      <c r="D485" t="s">
        <v>282</v>
      </c>
      <c r="E485" t="s">
        <v>2053</v>
      </c>
      <c r="F485" t="s">
        <v>2054</v>
      </c>
      <c r="G485" t="s">
        <v>69</v>
      </c>
      <c r="H485" t="s">
        <v>270</v>
      </c>
      <c r="I485" t="s">
        <v>36</v>
      </c>
      <c r="J485" t="s">
        <v>62</v>
      </c>
      <c r="K485" t="s">
        <v>114</v>
      </c>
      <c r="L485" t="s">
        <v>72</v>
      </c>
      <c r="M485" t="s">
        <v>53</v>
      </c>
      <c r="N485" t="s">
        <v>54</v>
      </c>
      <c r="O485" s="3">
        <v>425000</v>
      </c>
      <c r="P485" s="4">
        <v>30</v>
      </c>
      <c r="Q485" s="2">
        <v>45883</v>
      </c>
      <c r="R485" s="2">
        <v>46173</v>
      </c>
      <c r="S485" s="2">
        <v>45881</v>
      </c>
      <c r="T485" s="2"/>
      <c r="U485" t="str">
        <f t="shared" si="49"/>
        <v>No</v>
      </c>
      <c r="W4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5" t="str">
        <f t="shared" ca="1" si="50"/>
        <v>Overdue</v>
      </c>
      <c r="Y485" t="str">
        <f t="shared" si="51"/>
        <v>Open</v>
      </c>
      <c r="Z485" t="str">
        <f t="shared" si="52"/>
        <v>Jul-2025</v>
      </c>
      <c r="AA485" t="str">
        <f t="shared" si="53"/>
        <v>Q3 2025</v>
      </c>
      <c r="AB485" s="4">
        <f t="shared" ca="1" si="54"/>
        <v>346</v>
      </c>
      <c r="AC485" t="str">
        <f t="shared" si="55"/>
        <v>High</v>
      </c>
    </row>
    <row r="486" spans="1:29">
      <c r="A486" t="s">
        <v>2055</v>
      </c>
      <c r="B486" s="2">
        <v>46192</v>
      </c>
      <c r="C486" t="s">
        <v>2056</v>
      </c>
      <c r="D486" t="s">
        <v>428</v>
      </c>
      <c r="E486" t="s">
        <v>2057</v>
      </c>
      <c r="F486" t="s">
        <v>2058</v>
      </c>
      <c r="G486" t="s">
        <v>34</v>
      </c>
      <c r="H486" t="s">
        <v>238</v>
      </c>
      <c r="I486" t="s">
        <v>141</v>
      </c>
      <c r="J486" t="s">
        <v>131</v>
      </c>
      <c r="K486" t="s">
        <v>194</v>
      </c>
      <c r="L486" t="s">
        <v>63</v>
      </c>
      <c r="M486" t="s">
        <v>210</v>
      </c>
      <c r="N486" t="s">
        <v>134</v>
      </c>
      <c r="O486" s="3">
        <v>350000</v>
      </c>
      <c r="P486" s="4">
        <v>0</v>
      </c>
      <c r="Q486" s="2">
        <v>46185</v>
      </c>
      <c r="R486" s="2"/>
      <c r="S486" s="2">
        <v>46195</v>
      </c>
      <c r="T486" s="2">
        <v>46185</v>
      </c>
      <c r="U486" t="str">
        <f t="shared" si="49"/>
        <v>No</v>
      </c>
      <c r="V486" t="s">
        <v>276</v>
      </c>
      <c r="W4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>Date Error</v>
      </c>
      <c r="X486" t="str">
        <f t="shared" ca="1" si="50"/>
        <v>Closed</v>
      </c>
      <c r="Y486" t="str">
        <f t="shared" si="51"/>
        <v>Closed</v>
      </c>
      <c r="Z486" t="str">
        <f t="shared" si="52"/>
        <v>Jun-2026</v>
      </c>
      <c r="AA486" t="str">
        <f t="shared" si="53"/>
        <v>Q2 2026</v>
      </c>
      <c r="AB486" s="4">
        <f t="shared" ca="1" si="54"/>
        <v>7</v>
      </c>
      <c r="AC486" t="str">
        <f t="shared" si="55"/>
        <v>High</v>
      </c>
    </row>
    <row r="487" spans="1:29">
      <c r="A487" t="s">
        <v>2059</v>
      </c>
      <c r="B487" s="2">
        <v>45685</v>
      </c>
      <c r="C487" t="s">
        <v>2060</v>
      </c>
      <c r="D487" t="s">
        <v>640</v>
      </c>
      <c r="E487" t="s">
        <v>2061</v>
      </c>
      <c r="F487" t="s">
        <v>2062</v>
      </c>
      <c r="G487" t="s">
        <v>179</v>
      </c>
      <c r="H487" t="s">
        <v>436</v>
      </c>
      <c r="I487" t="s">
        <v>148</v>
      </c>
      <c r="J487" t="s">
        <v>37</v>
      </c>
      <c r="K487" t="s">
        <v>71</v>
      </c>
      <c r="L487" t="s">
        <v>52</v>
      </c>
      <c r="M487" t="s">
        <v>82</v>
      </c>
      <c r="N487" t="s">
        <v>83</v>
      </c>
      <c r="O487" s="3">
        <v>170000</v>
      </c>
      <c r="P487" s="4">
        <v>10</v>
      </c>
      <c r="Q487" s="2">
        <v>45772</v>
      </c>
      <c r="R487" s="2">
        <v>46241</v>
      </c>
      <c r="S487" s="2">
        <v>45696</v>
      </c>
      <c r="T487" s="2"/>
      <c r="U487" t="str">
        <f t="shared" si="49"/>
        <v>No</v>
      </c>
      <c r="W4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7" t="str">
        <f t="shared" ca="1" si="50"/>
        <v>Due/Open</v>
      </c>
      <c r="Y487" t="str">
        <f t="shared" si="51"/>
        <v>Open</v>
      </c>
      <c r="Z487" t="str">
        <f t="shared" si="52"/>
        <v>Jan-2025</v>
      </c>
      <c r="AA487" t="str">
        <f t="shared" si="53"/>
        <v>Q1 2025</v>
      </c>
      <c r="AB487" s="4">
        <f t="shared" ca="1" si="54"/>
        <v>514</v>
      </c>
      <c r="AC487" t="str">
        <f t="shared" si="55"/>
        <v>Medium</v>
      </c>
    </row>
    <row r="488" spans="1:29">
      <c r="A488" t="s">
        <v>2063</v>
      </c>
      <c r="B488" s="2">
        <v>45937</v>
      </c>
      <c r="C488" t="s">
        <v>109</v>
      </c>
      <c r="D488" t="s">
        <v>252</v>
      </c>
      <c r="E488" t="s">
        <v>2064</v>
      </c>
      <c r="F488" t="s">
        <v>2065</v>
      </c>
      <c r="G488" t="s">
        <v>34</v>
      </c>
      <c r="H488" t="s">
        <v>35</v>
      </c>
      <c r="I488" t="s">
        <v>148</v>
      </c>
      <c r="J488" t="s">
        <v>131</v>
      </c>
      <c r="K488" t="s">
        <v>71</v>
      </c>
      <c r="L488" t="s">
        <v>81</v>
      </c>
      <c r="M488" t="s">
        <v>73</v>
      </c>
      <c r="N488" t="s">
        <v>73</v>
      </c>
      <c r="O488" s="3">
        <v>190000</v>
      </c>
      <c r="P488" s="4">
        <v>85</v>
      </c>
      <c r="Q488" s="2">
        <v>45987</v>
      </c>
      <c r="R488" s="2">
        <v>46218</v>
      </c>
      <c r="S488" s="2">
        <v>45964</v>
      </c>
      <c r="T488" s="2"/>
      <c r="U488" t="str">
        <f t="shared" si="49"/>
        <v>No</v>
      </c>
      <c r="W4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88" t="str">
        <f t="shared" ca="1" si="50"/>
        <v>Due/Open</v>
      </c>
      <c r="Y488" t="str">
        <f t="shared" si="51"/>
        <v>Open</v>
      </c>
      <c r="Z488" t="str">
        <f t="shared" si="52"/>
        <v>Oct-2025</v>
      </c>
      <c r="AA488" t="str">
        <f t="shared" si="53"/>
        <v>Q4 2025</v>
      </c>
      <c r="AB488" s="4">
        <f t="shared" ca="1" si="54"/>
        <v>262</v>
      </c>
      <c r="AC488" t="str">
        <f t="shared" si="55"/>
        <v>Medium</v>
      </c>
    </row>
    <row r="489" spans="1:29">
      <c r="A489" t="s">
        <v>2066</v>
      </c>
      <c r="B489" s="2">
        <v>46039</v>
      </c>
      <c r="C489" t="s">
        <v>1280</v>
      </c>
      <c r="D489" t="s">
        <v>715</v>
      </c>
      <c r="E489" t="s">
        <v>2067</v>
      </c>
      <c r="F489" t="s">
        <v>2068</v>
      </c>
      <c r="G489" t="s">
        <v>34</v>
      </c>
      <c r="H489" t="s">
        <v>173</v>
      </c>
      <c r="I489" t="s">
        <v>98</v>
      </c>
      <c r="J489" t="s">
        <v>50</v>
      </c>
      <c r="K489" t="s">
        <v>51</v>
      </c>
      <c r="L489" t="s">
        <v>132</v>
      </c>
      <c r="M489" t="s">
        <v>40</v>
      </c>
      <c r="N489" t="s">
        <v>41</v>
      </c>
      <c r="O489" s="3">
        <v>535000</v>
      </c>
      <c r="P489" s="4">
        <v>100</v>
      </c>
      <c r="Q489" s="2">
        <v>46116</v>
      </c>
      <c r="R489" s="2"/>
      <c r="S489" s="2">
        <v>46062</v>
      </c>
      <c r="T489" s="2">
        <v>46116</v>
      </c>
      <c r="U489" t="str">
        <f t="shared" si="49"/>
        <v>Yes</v>
      </c>
      <c r="W4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77</v>
      </c>
      <c r="X489" t="str">
        <f t="shared" ca="1" si="50"/>
        <v>Closed</v>
      </c>
      <c r="Y489" t="str">
        <f t="shared" si="51"/>
        <v>Closed</v>
      </c>
      <c r="Z489" t="str">
        <f t="shared" si="52"/>
        <v>Jan-2026</v>
      </c>
      <c r="AA489" t="str">
        <f t="shared" si="53"/>
        <v>Q1 2026</v>
      </c>
      <c r="AB489" s="4">
        <f t="shared" ca="1" si="54"/>
        <v>160</v>
      </c>
      <c r="AC489" t="str">
        <f t="shared" si="55"/>
        <v>High</v>
      </c>
    </row>
    <row r="490" spans="1:29">
      <c r="A490" t="s">
        <v>2069</v>
      </c>
      <c r="B490" s="2">
        <v>45847</v>
      </c>
      <c r="C490" t="s">
        <v>746</v>
      </c>
      <c r="D490" t="s">
        <v>293</v>
      </c>
      <c r="E490" t="s">
        <v>2070</v>
      </c>
      <c r="F490" t="s">
        <v>2071</v>
      </c>
      <c r="G490" t="s">
        <v>34</v>
      </c>
      <c r="H490" t="s">
        <v>446</v>
      </c>
      <c r="I490" t="s">
        <v>36</v>
      </c>
      <c r="J490" t="s">
        <v>124</v>
      </c>
      <c r="K490" t="s">
        <v>194</v>
      </c>
      <c r="L490" t="s">
        <v>154</v>
      </c>
      <c r="M490" t="s">
        <v>40</v>
      </c>
      <c r="N490" t="s">
        <v>41</v>
      </c>
      <c r="O490" s="3">
        <v>275000</v>
      </c>
      <c r="P490" s="4">
        <v>100</v>
      </c>
      <c r="Q490" s="2">
        <v>45874</v>
      </c>
      <c r="R490" s="2"/>
      <c r="S490" s="2">
        <v>45866</v>
      </c>
      <c r="T490" s="2">
        <v>45874</v>
      </c>
      <c r="U490" t="str">
        <f t="shared" si="49"/>
        <v>Yes</v>
      </c>
      <c r="W49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490" t="str">
        <f t="shared" ca="1" si="50"/>
        <v>Closed</v>
      </c>
      <c r="Y490" t="str">
        <f t="shared" si="51"/>
        <v>Closed</v>
      </c>
      <c r="Z490" t="str">
        <f t="shared" si="52"/>
        <v>Jul-2025</v>
      </c>
      <c r="AA490" t="str">
        <f t="shared" si="53"/>
        <v>Q3 2025</v>
      </c>
      <c r="AB490" s="4">
        <f t="shared" ca="1" si="54"/>
        <v>352</v>
      </c>
      <c r="AC490" t="str">
        <f t="shared" si="55"/>
        <v>Medium</v>
      </c>
    </row>
    <row r="491" spans="1:29">
      <c r="A491" t="s">
        <v>2072</v>
      </c>
      <c r="B491" s="2">
        <v>45951</v>
      </c>
      <c r="C491" t="s">
        <v>2060</v>
      </c>
      <c r="D491" t="s">
        <v>1683</v>
      </c>
      <c r="E491" t="s">
        <v>2073</v>
      </c>
      <c r="F491" t="s">
        <v>2074</v>
      </c>
      <c r="G491" t="s">
        <v>47</v>
      </c>
      <c r="H491" t="s">
        <v>89</v>
      </c>
      <c r="I491" t="s">
        <v>187</v>
      </c>
      <c r="J491" t="s">
        <v>124</v>
      </c>
      <c r="K491" t="s">
        <v>51</v>
      </c>
      <c r="L491" t="s">
        <v>132</v>
      </c>
      <c r="M491" t="s">
        <v>116</v>
      </c>
      <c r="N491" t="s">
        <v>54</v>
      </c>
      <c r="O491" s="3">
        <v>85000</v>
      </c>
      <c r="P491" s="4">
        <v>25</v>
      </c>
      <c r="Q491" s="2">
        <v>46042</v>
      </c>
      <c r="R491" s="2">
        <v>46205</v>
      </c>
      <c r="S491" s="2">
        <v>45952</v>
      </c>
      <c r="T491" s="2"/>
      <c r="U491" t="str">
        <f t="shared" si="49"/>
        <v>No</v>
      </c>
      <c r="W4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1" t="str">
        <f t="shared" ca="1" si="50"/>
        <v>Due/Open</v>
      </c>
      <c r="Y491" t="str">
        <f t="shared" si="51"/>
        <v>Open</v>
      </c>
      <c r="Z491" t="str">
        <f t="shared" si="52"/>
        <v>Oct-2025</v>
      </c>
      <c r="AA491" t="str">
        <f t="shared" si="53"/>
        <v>Q4 2025</v>
      </c>
      <c r="AB491" s="4">
        <f t="shared" ca="1" si="54"/>
        <v>248</v>
      </c>
      <c r="AC491" t="str">
        <f t="shared" si="55"/>
        <v>Low</v>
      </c>
    </row>
    <row r="492" spans="1:29">
      <c r="A492" t="s">
        <v>2075</v>
      </c>
      <c r="B492" s="2">
        <v>45911</v>
      </c>
      <c r="C492" t="s">
        <v>1690</v>
      </c>
      <c r="D492" t="s">
        <v>1868</v>
      </c>
      <c r="E492" t="s">
        <v>2076</v>
      </c>
      <c r="F492" t="s">
        <v>2077</v>
      </c>
      <c r="G492" t="s">
        <v>34</v>
      </c>
      <c r="H492" t="s">
        <v>60</v>
      </c>
      <c r="I492" t="s">
        <v>36</v>
      </c>
      <c r="J492" t="s">
        <v>50</v>
      </c>
      <c r="K492" t="s">
        <v>194</v>
      </c>
      <c r="L492" t="s">
        <v>115</v>
      </c>
      <c r="M492" t="s">
        <v>73</v>
      </c>
      <c r="N492" t="s">
        <v>73</v>
      </c>
      <c r="O492" s="3">
        <v>130000</v>
      </c>
      <c r="P492" s="4">
        <v>85</v>
      </c>
      <c r="Q492" s="2">
        <v>46004</v>
      </c>
      <c r="R492" s="2">
        <v>46209</v>
      </c>
      <c r="S492" s="2">
        <v>45916</v>
      </c>
      <c r="T492" s="2"/>
      <c r="U492" t="str">
        <f t="shared" si="49"/>
        <v>No</v>
      </c>
      <c r="W4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2" t="str">
        <f t="shared" ca="1" si="50"/>
        <v>Due/Open</v>
      </c>
      <c r="Y492" t="str">
        <f t="shared" si="51"/>
        <v>Open</v>
      </c>
      <c r="Z492" t="str">
        <f t="shared" si="52"/>
        <v>Sep-2025</v>
      </c>
      <c r="AA492" t="str">
        <f t="shared" si="53"/>
        <v>Q3 2025</v>
      </c>
      <c r="AB492" s="4">
        <f t="shared" ca="1" si="54"/>
        <v>288</v>
      </c>
      <c r="AC492" t="str">
        <f t="shared" si="55"/>
        <v>Medium</v>
      </c>
    </row>
    <row r="493" spans="1:29">
      <c r="A493" t="s">
        <v>2078</v>
      </c>
      <c r="B493" s="2">
        <v>46089</v>
      </c>
      <c r="C493" t="s">
        <v>2079</v>
      </c>
      <c r="D493" t="s">
        <v>1717</v>
      </c>
      <c r="E493" t="s">
        <v>2080</v>
      </c>
      <c r="F493" t="s">
        <v>2081</v>
      </c>
      <c r="G493" t="s">
        <v>79</v>
      </c>
      <c r="H493" t="s">
        <v>217</v>
      </c>
      <c r="I493" t="s">
        <v>187</v>
      </c>
      <c r="J493" t="s">
        <v>50</v>
      </c>
      <c r="K493" t="s">
        <v>51</v>
      </c>
      <c r="L493" t="s">
        <v>52</v>
      </c>
      <c r="M493" t="s">
        <v>166</v>
      </c>
      <c r="N493" t="s">
        <v>167</v>
      </c>
      <c r="O493" s="3">
        <v>150000</v>
      </c>
      <c r="P493" s="4">
        <v>70</v>
      </c>
      <c r="Q493" s="2">
        <v>46120</v>
      </c>
      <c r="R493" s="2">
        <v>46239</v>
      </c>
      <c r="S493" s="2">
        <v>46114</v>
      </c>
      <c r="T493" s="2"/>
      <c r="U493" t="str">
        <f t="shared" si="49"/>
        <v>No</v>
      </c>
      <c r="W4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3" t="str">
        <f t="shared" ca="1" si="50"/>
        <v>Due/Open</v>
      </c>
      <c r="Y493" t="str">
        <f t="shared" si="51"/>
        <v>Open</v>
      </c>
      <c r="Z493" t="str">
        <f t="shared" si="52"/>
        <v>Mar-2026</v>
      </c>
      <c r="AA493" t="str">
        <f t="shared" si="53"/>
        <v>Q1 2026</v>
      </c>
      <c r="AB493" s="4">
        <f t="shared" ca="1" si="54"/>
        <v>110</v>
      </c>
      <c r="AC493" t="str">
        <f t="shared" si="55"/>
        <v>Medium</v>
      </c>
    </row>
    <row r="494" spans="1:29">
      <c r="A494" t="s">
        <v>2082</v>
      </c>
      <c r="B494" s="2">
        <v>46180</v>
      </c>
      <c r="C494" t="s">
        <v>43</v>
      </c>
      <c r="D494" t="s">
        <v>242</v>
      </c>
      <c r="E494" t="s">
        <v>2083</v>
      </c>
      <c r="F494" t="s">
        <v>2084</v>
      </c>
      <c r="G494" t="s">
        <v>34</v>
      </c>
      <c r="H494" t="s">
        <v>446</v>
      </c>
      <c r="I494" t="s">
        <v>187</v>
      </c>
      <c r="J494" t="s">
        <v>131</v>
      </c>
      <c r="K494" t="s">
        <v>100</v>
      </c>
      <c r="L494" t="s">
        <v>125</v>
      </c>
      <c r="M494" t="s">
        <v>53</v>
      </c>
      <c r="N494" t="s">
        <v>54</v>
      </c>
      <c r="O494" s="3">
        <v>120000</v>
      </c>
      <c r="P494" s="4">
        <v>35</v>
      </c>
      <c r="Q494" s="2">
        <v>46268</v>
      </c>
      <c r="R494" s="2">
        <v>46193</v>
      </c>
      <c r="S494" s="2">
        <v>46186</v>
      </c>
      <c r="T494" s="2"/>
      <c r="U494" t="str">
        <f t="shared" si="49"/>
        <v>No</v>
      </c>
      <c r="W4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4" t="str">
        <f t="shared" ca="1" si="50"/>
        <v>Overdue</v>
      </c>
      <c r="Y494" t="str">
        <f t="shared" si="51"/>
        <v>Open</v>
      </c>
      <c r="Z494" t="str">
        <f t="shared" si="52"/>
        <v>Jun-2026</v>
      </c>
      <c r="AA494" t="str">
        <f t="shared" si="53"/>
        <v>Q2 2026</v>
      </c>
      <c r="AB494" s="4">
        <f t="shared" ca="1" si="54"/>
        <v>19</v>
      </c>
      <c r="AC494" t="str">
        <f t="shared" si="55"/>
        <v>Medium</v>
      </c>
    </row>
    <row r="495" spans="1:29">
      <c r="A495" t="s">
        <v>2085</v>
      </c>
      <c r="B495" s="2">
        <v>46062</v>
      </c>
      <c r="C495" t="s">
        <v>2086</v>
      </c>
      <c r="D495" t="s">
        <v>57</v>
      </c>
      <c r="E495" t="s">
        <v>2087</v>
      </c>
      <c r="F495" t="s">
        <v>2088</v>
      </c>
      <c r="G495" t="s">
        <v>69</v>
      </c>
      <c r="H495" t="s">
        <v>285</v>
      </c>
      <c r="I495" t="s">
        <v>148</v>
      </c>
      <c r="J495" t="s">
        <v>131</v>
      </c>
      <c r="K495" t="s">
        <v>194</v>
      </c>
      <c r="L495" t="s">
        <v>142</v>
      </c>
      <c r="M495" t="s">
        <v>90</v>
      </c>
      <c r="N495" t="s">
        <v>91</v>
      </c>
      <c r="O495" s="3">
        <v>90000</v>
      </c>
      <c r="P495" s="4">
        <v>50</v>
      </c>
      <c r="Q495" s="2">
        <v>46156</v>
      </c>
      <c r="R495" s="2">
        <v>46194</v>
      </c>
      <c r="S495" s="2">
        <v>46084</v>
      </c>
      <c r="T495" s="2"/>
      <c r="U495" t="str">
        <f t="shared" si="49"/>
        <v>No</v>
      </c>
      <c r="W4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5" t="str">
        <f t="shared" ca="1" si="50"/>
        <v>Overdue</v>
      </c>
      <c r="Y495" t="str">
        <f t="shared" si="51"/>
        <v>Open</v>
      </c>
      <c r="Z495" t="str">
        <f t="shared" si="52"/>
        <v>Feb-2026</v>
      </c>
      <c r="AA495" t="str">
        <f t="shared" si="53"/>
        <v>Q1 2026</v>
      </c>
      <c r="AB495" s="4">
        <f t="shared" ca="1" si="54"/>
        <v>137</v>
      </c>
      <c r="AC495" t="str">
        <f t="shared" si="55"/>
        <v>Low</v>
      </c>
    </row>
    <row r="496" spans="1:29">
      <c r="A496" t="s">
        <v>2089</v>
      </c>
      <c r="B496" s="2">
        <v>45816</v>
      </c>
      <c r="C496" t="s">
        <v>1025</v>
      </c>
      <c r="D496" t="s">
        <v>357</v>
      </c>
      <c r="E496" t="s">
        <v>2090</v>
      </c>
      <c r="F496" t="s">
        <v>2091</v>
      </c>
      <c r="G496" t="s">
        <v>179</v>
      </c>
      <c r="H496" t="s">
        <v>436</v>
      </c>
      <c r="I496" t="s">
        <v>141</v>
      </c>
      <c r="J496" t="s">
        <v>131</v>
      </c>
      <c r="K496" t="s">
        <v>114</v>
      </c>
      <c r="L496" t="s">
        <v>107</v>
      </c>
      <c r="M496" t="s">
        <v>53</v>
      </c>
      <c r="N496" t="s">
        <v>54</v>
      </c>
      <c r="O496" s="3">
        <v>115000</v>
      </c>
      <c r="P496" s="4">
        <v>35</v>
      </c>
      <c r="Q496" s="2">
        <v>45857</v>
      </c>
      <c r="R496" s="2">
        <v>46207</v>
      </c>
      <c r="S496" s="2">
        <v>45845</v>
      </c>
      <c r="T496" s="2"/>
      <c r="U496" t="str">
        <f t="shared" si="49"/>
        <v>No</v>
      </c>
      <c r="W4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6" t="str">
        <f t="shared" ca="1" si="50"/>
        <v>Due/Open</v>
      </c>
      <c r="Y496" t="str">
        <f t="shared" si="51"/>
        <v>Open</v>
      </c>
      <c r="Z496" t="str">
        <f t="shared" si="52"/>
        <v>Jun-2025</v>
      </c>
      <c r="AA496" t="str">
        <f t="shared" si="53"/>
        <v>Q2 2025</v>
      </c>
      <c r="AB496" s="4">
        <f t="shared" ca="1" si="54"/>
        <v>383</v>
      </c>
      <c r="AC496" t="str">
        <f t="shared" si="55"/>
        <v>Low</v>
      </c>
    </row>
    <row r="497" spans="1:29">
      <c r="A497" t="s">
        <v>2092</v>
      </c>
      <c r="B497" s="2">
        <v>46154</v>
      </c>
      <c r="C497" t="s">
        <v>1857</v>
      </c>
      <c r="D497" t="s">
        <v>1017</v>
      </c>
      <c r="E497" t="s">
        <v>2093</v>
      </c>
      <c r="F497" t="s">
        <v>2094</v>
      </c>
      <c r="G497" t="s">
        <v>179</v>
      </c>
      <c r="H497" t="s">
        <v>180</v>
      </c>
      <c r="I497" t="s">
        <v>36</v>
      </c>
      <c r="J497" t="s">
        <v>37</v>
      </c>
      <c r="K497" t="s">
        <v>100</v>
      </c>
      <c r="L497" t="s">
        <v>154</v>
      </c>
      <c r="M497" t="s">
        <v>53</v>
      </c>
      <c r="N497" t="s">
        <v>54</v>
      </c>
      <c r="O497" s="3">
        <v>35000</v>
      </c>
      <c r="P497" s="4">
        <v>30</v>
      </c>
      <c r="Q497" s="2">
        <v>46182</v>
      </c>
      <c r="R497" s="2">
        <v>46177</v>
      </c>
      <c r="S497" s="2">
        <v>46158</v>
      </c>
      <c r="T497" s="2"/>
      <c r="U497" t="str">
        <f t="shared" si="49"/>
        <v>No</v>
      </c>
      <c r="W4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7" t="str">
        <f t="shared" ca="1" si="50"/>
        <v>Overdue</v>
      </c>
      <c r="Y497" t="str">
        <f t="shared" si="51"/>
        <v>Open</v>
      </c>
      <c r="Z497" t="str">
        <f t="shared" si="52"/>
        <v>May-2026</v>
      </c>
      <c r="AA497" t="str">
        <f t="shared" si="53"/>
        <v>Q2 2026</v>
      </c>
      <c r="AB497" s="4">
        <f t="shared" ca="1" si="54"/>
        <v>45</v>
      </c>
      <c r="AC497" t="str">
        <f t="shared" si="55"/>
        <v>Low</v>
      </c>
    </row>
    <row r="498" spans="1:29">
      <c r="A498" t="s">
        <v>2095</v>
      </c>
      <c r="B498" s="2">
        <v>46108</v>
      </c>
      <c r="C498" t="s">
        <v>2096</v>
      </c>
      <c r="D498" t="s">
        <v>157</v>
      </c>
      <c r="E498" t="s">
        <v>2097</v>
      </c>
      <c r="F498" t="s">
        <v>2098</v>
      </c>
      <c r="G498" t="s">
        <v>34</v>
      </c>
      <c r="H498" t="s">
        <v>160</v>
      </c>
      <c r="I498" t="s">
        <v>123</v>
      </c>
      <c r="J498" t="s">
        <v>50</v>
      </c>
      <c r="K498" t="s">
        <v>71</v>
      </c>
      <c r="L498" t="s">
        <v>154</v>
      </c>
      <c r="M498" t="s">
        <v>210</v>
      </c>
      <c r="N498" t="s">
        <v>134</v>
      </c>
      <c r="O498" s="3">
        <v>485000</v>
      </c>
      <c r="P498" s="4">
        <v>0</v>
      </c>
      <c r="Q498" s="2">
        <v>46145</v>
      </c>
      <c r="R498" s="2"/>
      <c r="S498" s="2">
        <v>46129</v>
      </c>
      <c r="T498" s="2">
        <v>46145</v>
      </c>
      <c r="U498" t="str">
        <f t="shared" si="49"/>
        <v>No</v>
      </c>
      <c r="V498" t="s">
        <v>1105</v>
      </c>
      <c r="W4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498" t="str">
        <f t="shared" ca="1" si="50"/>
        <v>Closed</v>
      </c>
      <c r="Y498" t="str">
        <f t="shared" si="51"/>
        <v>Closed</v>
      </c>
      <c r="Z498" t="str">
        <f t="shared" si="52"/>
        <v>Mar-2026</v>
      </c>
      <c r="AA498" t="str">
        <f t="shared" si="53"/>
        <v>Q1 2026</v>
      </c>
      <c r="AB498" s="4">
        <f t="shared" ca="1" si="54"/>
        <v>91</v>
      </c>
      <c r="AC498" t="str">
        <f t="shared" si="55"/>
        <v>High</v>
      </c>
    </row>
    <row r="499" spans="1:29">
      <c r="A499" t="s">
        <v>2099</v>
      </c>
      <c r="B499" s="2">
        <v>45865</v>
      </c>
      <c r="C499" t="s">
        <v>370</v>
      </c>
      <c r="D499" t="s">
        <v>1933</v>
      </c>
      <c r="E499" t="s">
        <v>2100</v>
      </c>
      <c r="F499" t="s">
        <v>2101</v>
      </c>
      <c r="G499" t="s">
        <v>79</v>
      </c>
      <c r="H499" t="s">
        <v>106</v>
      </c>
      <c r="I499" t="s">
        <v>98</v>
      </c>
      <c r="J499" t="s">
        <v>124</v>
      </c>
      <c r="K499" t="s">
        <v>38</v>
      </c>
      <c r="L499" t="s">
        <v>81</v>
      </c>
      <c r="M499" t="s">
        <v>53</v>
      </c>
      <c r="N499" t="s">
        <v>54</v>
      </c>
      <c r="O499" s="3">
        <v>305000</v>
      </c>
      <c r="P499" s="4">
        <v>35</v>
      </c>
      <c r="Q499" s="2">
        <v>45917</v>
      </c>
      <c r="R499" s="2">
        <v>46202</v>
      </c>
      <c r="S499" s="2">
        <v>45881</v>
      </c>
      <c r="T499" s="2"/>
      <c r="U499" t="str">
        <f t="shared" si="49"/>
        <v>No</v>
      </c>
      <c r="W4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499" t="str">
        <f t="shared" ca="1" si="50"/>
        <v>Due/Open</v>
      </c>
      <c r="Y499" t="str">
        <f t="shared" si="51"/>
        <v>Open</v>
      </c>
      <c r="Z499" t="str">
        <f t="shared" si="52"/>
        <v>Jul-2025</v>
      </c>
      <c r="AA499" t="str">
        <f t="shared" si="53"/>
        <v>Q3 2025</v>
      </c>
      <c r="AB499" s="4">
        <f t="shared" ca="1" si="54"/>
        <v>334</v>
      </c>
      <c r="AC499" t="str">
        <f t="shared" si="55"/>
        <v>High</v>
      </c>
    </row>
    <row r="500" spans="1:29">
      <c r="A500" t="s">
        <v>2102</v>
      </c>
      <c r="B500" s="2">
        <v>45850</v>
      </c>
      <c r="C500" t="s">
        <v>1584</v>
      </c>
      <c r="D500" t="s">
        <v>197</v>
      </c>
      <c r="E500" t="s">
        <v>2103</v>
      </c>
      <c r="F500" t="s">
        <v>2104</v>
      </c>
      <c r="G500" t="s">
        <v>179</v>
      </c>
      <c r="H500" t="s">
        <v>180</v>
      </c>
      <c r="I500" t="s">
        <v>123</v>
      </c>
      <c r="J500" t="s">
        <v>62</v>
      </c>
      <c r="K500" t="s">
        <v>194</v>
      </c>
      <c r="L500" t="s">
        <v>154</v>
      </c>
      <c r="M500" t="s">
        <v>90</v>
      </c>
      <c r="N500" t="s">
        <v>91</v>
      </c>
      <c r="O500" s="3">
        <v>435000</v>
      </c>
      <c r="P500" s="4">
        <v>40</v>
      </c>
      <c r="Q500" s="2">
        <v>45919</v>
      </c>
      <c r="R500" s="2">
        <v>46173</v>
      </c>
      <c r="S500" s="2">
        <v>45864</v>
      </c>
      <c r="T500" s="2"/>
      <c r="U500" t="str">
        <f t="shared" si="49"/>
        <v>No</v>
      </c>
      <c r="W5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0" t="str">
        <f t="shared" ca="1" si="50"/>
        <v>Overdue</v>
      </c>
      <c r="Y500" t="str">
        <f t="shared" si="51"/>
        <v>Open</v>
      </c>
      <c r="Z500" t="str">
        <f t="shared" si="52"/>
        <v>Jul-2025</v>
      </c>
      <c r="AA500" t="str">
        <f t="shared" si="53"/>
        <v>Q3 2025</v>
      </c>
      <c r="AB500" s="4">
        <f t="shared" ca="1" si="54"/>
        <v>349</v>
      </c>
      <c r="AC500" t="str">
        <f t="shared" si="55"/>
        <v>High</v>
      </c>
    </row>
    <row r="501" spans="1:29">
      <c r="A501" t="s">
        <v>2105</v>
      </c>
      <c r="B501" s="2">
        <v>45762</v>
      </c>
      <c r="C501" t="s">
        <v>2106</v>
      </c>
      <c r="D501" t="s">
        <v>926</v>
      </c>
      <c r="E501" t="s">
        <v>2107</v>
      </c>
      <c r="F501" t="s">
        <v>2108</v>
      </c>
      <c r="G501" t="s">
        <v>79</v>
      </c>
      <c r="H501" t="s">
        <v>106</v>
      </c>
      <c r="I501" t="s">
        <v>123</v>
      </c>
      <c r="J501" t="s">
        <v>131</v>
      </c>
      <c r="K501" t="s">
        <v>71</v>
      </c>
      <c r="L501" t="s">
        <v>81</v>
      </c>
      <c r="M501" t="s">
        <v>73</v>
      </c>
      <c r="N501" t="s">
        <v>73</v>
      </c>
      <c r="O501" s="3">
        <v>300000</v>
      </c>
      <c r="P501" s="4">
        <v>85</v>
      </c>
      <c r="Q501" s="2">
        <v>45824</v>
      </c>
      <c r="R501" s="2">
        <v>46177</v>
      </c>
      <c r="S501" s="2">
        <v>45767</v>
      </c>
      <c r="T501" s="2"/>
      <c r="U501" t="str">
        <f t="shared" si="49"/>
        <v>No</v>
      </c>
      <c r="W5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1" t="str">
        <f t="shared" ca="1" si="50"/>
        <v>Overdue</v>
      </c>
      <c r="Y501" t="str">
        <f t="shared" si="51"/>
        <v>Open</v>
      </c>
      <c r="Z501" t="str">
        <f t="shared" si="52"/>
        <v>Apr-2025</v>
      </c>
      <c r="AA501" t="str">
        <f t="shared" si="53"/>
        <v>Q2 2025</v>
      </c>
      <c r="AB501" s="4">
        <f t="shared" ca="1" si="54"/>
        <v>437</v>
      </c>
      <c r="AC501" t="str">
        <f t="shared" si="55"/>
        <v>High</v>
      </c>
    </row>
    <row r="502" spans="1:29">
      <c r="A502" t="s">
        <v>2109</v>
      </c>
      <c r="B502" s="2">
        <v>45690</v>
      </c>
      <c r="C502" t="s">
        <v>1261</v>
      </c>
      <c r="D502" t="s">
        <v>433</v>
      </c>
      <c r="E502" t="s">
        <v>2110</v>
      </c>
      <c r="F502" t="s">
        <v>2111</v>
      </c>
      <c r="G502" t="s">
        <v>179</v>
      </c>
      <c r="H502" t="s">
        <v>436</v>
      </c>
      <c r="I502" t="s">
        <v>148</v>
      </c>
      <c r="J502" t="s">
        <v>37</v>
      </c>
      <c r="K502" t="s">
        <v>38</v>
      </c>
      <c r="L502" t="s">
        <v>154</v>
      </c>
      <c r="M502" t="s">
        <v>53</v>
      </c>
      <c r="N502" t="s">
        <v>54</v>
      </c>
      <c r="O502" s="3">
        <v>35000</v>
      </c>
      <c r="P502" s="4">
        <v>30</v>
      </c>
      <c r="Q502" s="2">
        <v>45718</v>
      </c>
      <c r="R502" s="2">
        <v>46202</v>
      </c>
      <c r="S502" s="2">
        <v>45718</v>
      </c>
      <c r="T502" s="2"/>
      <c r="U502" t="str">
        <f t="shared" si="49"/>
        <v>No</v>
      </c>
      <c r="W5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2" t="str">
        <f t="shared" ca="1" si="50"/>
        <v>Due/Open</v>
      </c>
      <c r="Y502" t="str">
        <f t="shared" si="51"/>
        <v>Open</v>
      </c>
      <c r="Z502" t="str">
        <f t="shared" si="52"/>
        <v>Feb-2025</v>
      </c>
      <c r="AA502" t="str">
        <f t="shared" si="53"/>
        <v>Q1 2025</v>
      </c>
      <c r="AB502" s="4">
        <f t="shared" ca="1" si="54"/>
        <v>509</v>
      </c>
      <c r="AC502" t="str">
        <f t="shared" si="55"/>
        <v>Low</v>
      </c>
    </row>
    <row r="503" spans="1:29">
      <c r="A503" t="s">
        <v>2112</v>
      </c>
      <c r="B503" s="2">
        <v>45759</v>
      </c>
      <c r="C503" t="s">
        <v>1047</v>
      </c>
      <c r="D503" t="s">
        <v>252</v>
      </c>
      <c r="E503" t="s">
        <v>2113</v>
      </c>
      <c r="F503" t="s">
        <v>2114</v>
      </c>
      <c r="G503" t="s">
        <v>179</v>
      </c>
      <c r="H503" t="s">
        <v>186</v>
      </c>
      <c r="I503" t="s">
        <v>36</v>
      </c>
      <c r="J503" t="s">
        <v>131</v>
      </c>
      <c r="K503" t="s">
        <v>71</v>
      </c>
      <c r="L503" t="s">
        <v>115</v>
      </c>
      <c r="M503" t="s">
        <v>166</v>
      </c>
      <c r="N503" t="s">
        <v>167</v>
      </c>
      <c r="O503" s="3">
        <v>275000</v>
      </c>
      <c r="P503" s="4">
        <v>70</v>
      </c>
      <c r="Q503" s="2">
        <v>45829</v>
      </c>
      <c r="R503" s="2">
        <v>46209</v>
      </c>
      <c r="S503" s="2">
        <v>45782</v>
      </c>
      <c r="T503" s="2"/>
      <c r="U503" t="str">
        <f t="shared" si="49"/>
        <v>No</v>
      </c>
      <c r="W5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3" t="str">
        <f t="shared" ca="1" si="50"/>
        <v>Due/Open</v>
      </c>
      <c r="Y503" t="str">
        <f t="shared" si="51"/>
        <v>Open</v>
      </c>
      <c r="Z503" t="str">
        <f t="shared" si="52"/>
        <v>Apr-2025</v>
      </c>
      <c r="AA503" t="str">
        <f t="shared" si="53"/>
        <v>Q2 2025</v>
      </c>
      <c r="AB503" s="4">
        <f t="shared" ca="1" si="54"/>
        <v>440</v>
      </c>
      <c r="AC503" t="str">
        <f t="shared" si="55"/>
        <v>Medium</v>
      </c>
    </row>
    <row r="504" spans="1:29">
      <c r="A504" t="s">
        <v>2115</v>
      </c>
      <c r="B504" s="2">
        <v>46030</v>
      </c>
      <c r="C504" t="s">
        <v>1921</v>
      </c>
      <c r="D504" t="s">
        <v>31</v>
      </c>
      <c r="E504" t="s">
        <v>2116</v>
      </c>
      <c r="F504" t="s">
        <v>2117</v>
      </c>
      <c r="G504" t="s">
        <v>69</v>
      </c>
      <c r="H504" t="s">
        <v>270</v>
      </c>
      <c r="I504" t="s">
        <v>36</v>
      </c>
      <c r="J504" t="s">
        <v>62</v>
      </c>
      <c r="K504" t="s">
        <v>71</v>
      </c>
      <c r="L504" t="s">
        <v>115</v>
      </c>
      <c r="M504" t="s">
        <v>82</v>
      </c>
      <c r="N504" t="s">
        <v>83</v>
      </c>
      <c r="O504" s="3">
        <v>245000</v>
      </c>
      <c r="P504" s="4">
        <v>10</v>
      </c>
      <c r="Q504" s="2">
        <v>46076</v>
      </c>
      <c r="R504" s="2">
        <v>46212</v>
      </c>
      <c r="S504" s="2">
        <v>46047</v>
      </c>
      <c r="T504" s="2"/>
      <c r="U504" t="str">
        <f t="shared" si="49"/>
        <v>No</v>
      </c>
      <c r="W5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4" t="str">
        <f t="shared" ca="1" si="50"/>
        <v>Due/Open</v>
      </c>
      <c r="Y504" t="str">
        <f t="shared" si="51"/>
        <v>Open</v>
      </c>
      <c r="Z504" t="str">
        <f t="shared" si="52"/>
        <v>Jan-2026</v>
      </c>
      <c r="AA504" t="str">
        <f t="shared" si="53"/>
        <v>Q1 2026</v>
      </c>
      <c r="AB504" s="4">
        <f t="shared" ca="1" si="54"/>
        <v>169</v>
      </c>
      <c r="AC504" t="str">
        <f t="shared" si="55"/>
        <v>Medium</v>
      </c>
    </row>
    <row r="505" spans="1:29">
      <c r="A505" t="s">
        <v>2118</v>
      </c>
      <c r="B505" s="2">
        <v>45685</v>
      </c>
      <c r="C505" t="s">
        <v>2119</v>
      </c>
      <c r="D505" t="s">
        <v>464</v>
      </c>
      <c r="E505" t="s">
        <v>2120</v>
      </c>
      <c r="F505" t="s">
        <v>2121</v>
      </c>
      <c r="G505" t="s">
        <v>34</v>
      </c>
      <c r="H505" t="s">
        <v>35</v>
      </c>
      <c r="I505" t="s">
        <v>187</v>
      </c>
      <c r="J505" t="s">
        <v>131</v>
      </c>
      <c r="K505" t="s">
        <v>38</v>
      </c>
      <c r="L505" t="s">
        <v>52</v>
      </c>
      <c r="M505" t="s">
        <v>40</v>
      </c>
      <c r="N505" t="s">
        <v>41</v>
      </c>
      <c r="O505" s="3">
        <v>350000</v>
      </c>
      <c r="P505" s="4">
        <v>100</v>
      </c>
      <c r="Q505" s="2">
        <v>45741</v>
      </c>
      <c r="R505" s="2"/>
      <c r="S505" s="2">
        <v>45711</v>
      </c>
      <c r="T505" s="2">
        <v>45741</v>
      </c>
      <c r="U505" t="str">
        <f t="shared" si="49"/>
        <v>Yes</v>
      </c>
      <c r="W50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505" t="str">
        <f t="shared" ca="1" si="50"/>
        <v>Closed</v>
      </c>
      <c r="Y505" t="str">
        <f t="shared" si="51"/>
        <v>Closed</v>
      </c>
      <c r="Z505" t="str">
        <f t="shared" si="52"/>
        <v>Jan-2025</v>
      </c>
      <c r="AA505" t="str">
        <f t="shared" si="53"/>
        <v>Q1 2025</v>
      </c>
      <c r="AB505" s="4">
        <f t="shared" ca="1" si="54"/>
        <v>514</v>
      </c>
      <c r="AC505" t="str">
        <f t="shared" si="55"/>
        <v>High</v>
      </c>
    </row>
    <row r="506" spans="1:29">
      <c r="A506" t="s">
        <v>2122</v>
      </c>
      <c r="B506" s="2">
        <v>45808</v>
      </c>
      <c r="C506" t="s">
        <v>393</v>
      </c>
      <c r="D506" t="s">
        <v>831</v>
      </c>
      <c r="E506" t="s">
        <v>2123</v>
      </c>
      <c r="F506" t="s">
        <v>2124</v>
      </c>
      <c r="G506" t="s">
        <v>47</v>
      </c>
      <c r="H506" t="s">
        <v>122</v>
      </c>
      <c r="I506" t="s">
        <v>141</v>
      </c>
      <c r="J506" t="s">
        <v>131</v>
      </c>
      <c r="K506" t="s">
        <v>38</v>
      </c>
      <c r="L506" t="s">
        <v>154</v>
      </c>
      <c r="M506" t="s">
        <v>40</v>
      </c>
      <c r="N506" t="s">
        <v>41</v>
      </c>
      <c r="O506" s="3">
        <v>120000</v>
      </c>
      <c r="P506" s="4">
        <v>100</v>
      </c>
      <c r="Q506" s="2">
        <v>45826</v>
      </c>
      <c r="R506" s="2"/>
      <c r="S506" s="2">
        <v>45825</v>
      </c>
      <c r="T506" s="2">
        <v>45826</v>
      </c>
      <c r="U506" t="str">
        <f t="shared" si="49"/>
        <v>Yes</v>
      </c>
      <c r="W50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18</v>
      </c>
      <c r="X506" t="str">
        <f t="shared" ca="1" si="50"/>
        <v>Closed</v>
      </c>
      <c r="Y506" t="str">
        <f t="shared" si="51"/>
        <v>Closed</v>
      </c>
      <c r="Z506" t="str">
        <f t="shared" si="52"/>
        <v>May-2025</v>
      </c>
      <c r="AA506" t="str">
        <f t="shared" si="53"/>
        <v>Q2 2025</v>
      </c>
      <c r="AB506" s="4">
        <f t="shared" ca="1" si="54"/>
        <v>391</v>
      </c>
      <c r="AC506" t="str">
        <f t="shared" si="55"/>
        <v>Medium</v>
      </c>
    </row>
    <row r="507" spans="1:29">
      <c r="A507" t="s">
        <v>2125</v>
      </c>
      <c r="B507" s="2">
        <v>45697</v>
      </c>
      <c r="C507" t="s">
        <v>2126</v>
      </c>
      <c r="D507" t="s">
        <v>1127</v>
      </c>
      <c r="E507" t="s">
        <v>2127</v>
      </c>
      <c r="F507" t="s">
        <v>2128</v>
      </c>
      <c r="G507" t="s">
        <v>179</v>
      </c>
      <c r="H507" t="s">
        <v>186</v>
      </c>
      <c r="I507" t="s">
        <v>36</v>
      </c>
      <c r="J507" t="s">
        <v>124</v>
      </c>
      <c r="K507" t="s">
        <v>71</v>
      </c>
      <c r="L507" t="s">
        <v>72</v>
      </c>
      <c r="M507" t="s">
        <v>53</v>
      </c>
      <c r="N507" t="s">
        <v>54</v>
      </c>
      <c r="O507" s="3">
        <v>300000</v>
      </c>
      <c r="P507" s="4">
        <v>25</v>
      </c>
      <c r="Q507" s="2">
        <v>45725</v>
      </c>
      <c r="R507" s="2">
        <v>46187</v>
      </c>
      <c r="S507" s="2">
        <v>45710</v>
      </c>
      <c r="T507" s="2"/>
      <c r="U507" t="str">
        <f t="shared" si="49"/>
        <v>No</v>
      </c>
      <c r="W5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7" t="str">
        <f t="shared" ca="1" si="50"/>
        <v>Overdue</v>
      </c>
      <c r="Y507" t="str">
        <f t="shared" si="51"/>
        <v>Open</v>
      </c>
      <c r="Z507" t="str">
        <f t="shared" si="52"/>
        <v>Feb-2025</v>
      </c>
      <c r="AA507" t="str">
        <f t="shared" si="53"/>
        <v>Q1 2025</v>
      </c>
      <c r="AB507" s="4">
        <f t="shared" ca="1" si="54"/>
        <v>502</v>
      </c>
      <c r="AC507" t="str">
        <f t="shared" si="55"/>
        <v>High</v>
      </c>
    </row>
    <row r="508" spans="1:29">
      <c r="A508" t="s">
        <v>2129</v>
      </c>
      <c r="B508" s="2">
        <v>45798</v>
      </c>
      <c r="C508" t="s">
        <v>196</v>
      </c>
      <c r="D508" t="s">
        <v>375</v>
      </c>
      <c r="E508" t="s">
        <v>2130</v>
      </c>
      <c r="F508" t="s">
        <v>2131</v>
      </c>
      <c r="G508" t="s">
        <v>47</v>
      </c>
      <c r="H508" t="s">
        <v>493</v>
      </c>
      <c r="I508" t="s">
        <v>36</v>
      </c>
      <c r="J508" t="s">
        <v>50</v>
      </c>
      <c r="K508" t="s">
        <v>114</v>
      </c>
      <c r="L508" t="s">
        <v>81</v>
      </c>
      <c r="M508" t="s">
        <v>73</v>
      </c>
      <c r="N508" t="s">
        <v>73</v>
      </c>
      <c r="O508" s="3">
        <v>230000</v>
      </c>
      <c r="P508" s="4">
        <v>75</v>
      </c>
      <c r="Q508" s="2">
        <v>45862</v>
      </c>
      <c r="R508" s="2">
        <v>46223</v>
      </c>
      <c r="S508" s="2">
        <v>45811</v>
      </c>
      <c r="T508" s="2"/>
      <c r="U508" t="str">
        <f t="shared" si="49"/>
        <v>No</v>
      </c>
      <c r="W5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8" t="str">
        <f t="shared" ca="1" si="50"/>
        <v>Due/Open</v>
      </c>
      <c r="Y508" t="str">
        <f t="shared" si="51"/>
        <v>Open</v>
      </c>
      <c r="Z508" t="str">
        <f t="shared" si="52"/>
        <v>May-2025</v>
      </c>
      <c r="AA508" t="str">
        <f t="shared" si="53"/>
        <v>Q2 2025</v>
      </c>
      <c r="AB508" s="4">
        <f t="shared" ca="1" si="54"/>
        <v>401</v>
      </c>
      <c r="AC508" t="str">
        <f t="shared" si="55"/>
        <v>Medium</v>
      </c>
    </row>
    <row r="509" spans="1:29">
      <c r="A509" t="s">
        <v>2132</v>
      </c>
      <c r="B509" s="2">
        <v>46011</v>
      </c>
      <c r="C509" t="s">
        <v>321</v>
      </c>
      <c r="D509" t="s">
        <v>581</v>
      </c>
      <c r="E509" t="s">
        <v>2133</v>
      </c>
      <c r="F509" t="s">
        <v>2134</v>
      </c>
      <c r="G509" t="s">
        <v>79</v>
      </c>
      <c r="H509" t="s">
        <v>260</v>
      </c>
      <c r="I509" t="s">
        <v>36</v>
      </c>
      <c r="J509" t="s">
        <v>124</v>
      </c>
      <c r="K509" t="s">
        <v>100</v>
      </c>
      <c r="L509" t="s">
        <v>52</v>
      </c>
      <c r="M509" t="s">
        <v>116</v>
      </c>
      <c r="N509" t="s">
        <v>54</v>
      </c>
      <c r="O509" s="3">
        <v>235000</v>
      </c>
      <c r="P509" s="4">
        <v>15</v>
      </c>
      <c r="Q509" s="2">
        <v>46078</v>
      </c>
      <c r="R509" s="2">
        <v>46209</v>
      </c>
      <c r="S509" s="2">
        <v>46012</v>
      </c>
      <c r="T509" s="2"/>
      <c r="U509" t="str">
        <f t="shared" si="49"/>
        <v>No</v>
      </c>
      <c r="W5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09" t="str">
        <f t="shared" ca="1" si="50"/>
        <v>Due/Open</v>
      </c>
      <c r="Y509" t="str">
        <f t="shared" si="51"/>
        <v>Open</v>
      </c>
      <c r="Z509" t="str">
        <f t="shared" si="52"/>
        <v>Dec-2025</v>
      </c>
      <c r="AA509" t="str">
        <f t="shared" si="53"/>
        <v>Q4 2025</v>
      </c>
      <c r="AB509" s="4">
        <f t="shared" ca="1" si="54"/>
        <v>188</v>
      </c>
      <c r="AC509" t="str">
        <f t="shared" si="55"/>
        <v>Medium</v>
      </c>
    </row>
    <row r="510" spans="1:29">
      <c r="A510" t="s">
        <v>2135</v>
      </c>
      <c r="B510" s="2">
        <v>45933</v>
      </c>
      <c r="C510" t="s">
        <v>856</v>
      </c>
      <c r="D510" t="s">
        <v>337</v>
      </c>
      <c r="E510" t="s">
        <v>2136</v>
      </c>
      <c r="F510" t="s">
        <v>2137</v>
      </c>
      <c r="G510" t="s">
        <v>79</v>
      </c>
      <c r="H510" t="s">
        <v>260</v>
      </c>
      <c r="I510" t="s">
        <v>141</v>
      </c>
      <c r="J510" t="s">
        <v>50</v>
      </c>
      <c r="K510" t="s">
        <v>114</v>
      </c>
      <c r="L510" t="s">
        <v>72</v>
      </c>
      <c r="M510" t="s">
        <v>53</v>
      </c>
      <c r="N510" t="s">
        <v>54</v>
      </c>
      <c r="O510" s="3">
        <v>200000</v>
      </c>
      <c r="P510" s="4">
        <v>25</v>
      </c>
      <c r="Q510" s="2">
        <v>45974</v>
      </c>
      <c r="R510" s="2">
        <v>46227</v>
      </c>
      <c r="S510" s="2">
        <v>45938</v>
      </c>
      <c r="T510" s="2"/>
      <c r="U510" t="str">
        <f t="shared" si="49"/>
        <v>No</v>
      </c>
      <c r="W5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0" t="str">
        <f t="shared" ca="1" si="50"/>
        <v>Due/Open</v>
      </c>
      <c r="Y510" t="str">
        <f t="shared" si="51"/>
        <v>Open</v>
      </c>
      <c r="Z510" t="str">
        <f t="shared" si="52"/>
        <v>Oct-2025</v>
      </c>
      <c r="AA510" t="str">
        <f t="shared" si="53"/>
        <v>Q4 2025</v>
      </c>
      <c r="AB510" s="4">
        <f t="shared" ca="1" si="54"/>
        <v>266</v>
      </c>
      <c r="AC510" t="str">
        <f t="shared" si="55"/>
        <v>Medium</v>
      </c>
    </row>
    <row r="511" spans="1:29">
      <c r="A511" t="s">
        <v>2138</v>
      </c>
      <c r="B511" s="2">
        <v>45696</v>
      </c>
      <c r="C511" t="s">
        <v>458</v>
      </c>
      <c r="D511" t="s">
        <v>322</v>
      </c>
      <c r="E511" t="s">
        <v>2139</v>
      </c>
      <c r="F511" t="s">
        <v>2140</v>
      </c>
      <c r="G511" t="s">
        <v>179</v>
      </c>
      <c r="H511" t="s">
        <v>318</v>
      </c>
      <c r="I511" t="s">
        <v>141</v>
      </c>
      <c r="J511" t="s">
        <v>131</v>
      </c>
      <c r="K511" t="s">
        <v>51</v>
      </c>
      <c r="L511" t="s">
        <v>132</v>
      </c>
      <c r="M511" t="s">
        <v>90</v>
      </c>
      <c r="N511" t="s">
        <v>91</v>
      </c>
      <c r="O511" s="3">
        <v>300000</v>
      </c>
      <c r="P511" s="4">
        <v>55</v>
      </c>
      <c r="Q511" s="2">
        <v>45737</v>
      </c>
      <c r="R511" s="2">
        <v>46243</v>
      </c>
      <c r="S511" s="2">
        <v>45715</v>
      </c>
      <c r="T511" s="2"/>
      <c r="U511" t="str">
        <f t="shared" si="49"/>
        <v>No</v>
      </c>
      <c r="W5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1" t="str">
        <f t="shared" ca="1" si="50"/>
        <v>Due/Open</v>
      </c>
      <c r="Y511" t="str">
        <f t="shared" si="51"/>
        <v>Open</v>
      </c>
      <c r="Z511" t="str">
        <f t="shared" si="52"/>
        <v>Feb-2025</v>
      </c>
      <c r="AA511" t="str">
        <f t="shared" si="53"/>
        <v>Q1 2025</v>
      </c>
      <c r="AB511" s="4">
        <f t="shared" ca="1" si="54"/>
        <v>503</v>
      </c>
      <c r="AC511" t="str">
        <f t="shared" si="55"/>
        <v>High</v>
      </c>
    </row>
    <row r="512" spans="1:29">
      <c r="A512" t="s">
        <v>2141</v>
      </c>
      <c r="B512" s="2">
        <v>45982</v>
      </c>
      <c r="C512" t="s">
        <v>2142</v>
      </c>
      <c r="D512" t="s">
        <v>2143</v>
      </c>
      <c r="E512" t="s">
        <v>2144</v>
      </c>
      <c r="F512" t="s">
        <v>2145</v>
      </c>
      <c r="G512" t="s">
        <v>69</v>
      </c>
      <c r="H512" t="s">
        <v>200</v>
      </c>
      <c r="I512" t="s">
        <v>148</v>
      </c>
      <c r="J512" t="s">
        <v>99</v>
      </c>
      <c r="K512" t="s">
        <v>71</v>
      </c>
      <c r="L512" t="s">
        <v>72</v>
      </c>
      <c r="M512" t="s">
        <v>82</v>
      </c>
      <c r="N512" t="s">
        <v>83</v>
      </c>
      <c r="O512" s="3">
        <v>700000</v>
      </c>
      <c r="P512" s="4">
        <v>10</v>
      </c>
      <c r="Q512" s="2">
        <v>46036</v>
      </c>
      <c r="R512" s="2">
        <v>46161</v>
      </c>
      <c r="S512" s="2">
        <v>45993</v>
      </c>
      <c r="T512" s="2"/>
      <c r="U512" t="str">
        <f t="shared" si="49"/>
        <v>No</v>
      </c>
      <c r="W5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2" t="str">
        <f t="shared" ca="1" si="50"/>
        <v>Overdue</v>
      </c>
      <c r="Y512" t="str">
        <f t="shared" si="51"/>
        <v>Open</v>
      </c>
      <c r="Z512" t="str">
        <f t="shared" si="52"/>
        <v>Nov-2025</v>
      </c>
      <c r="AA512" t="str">
        <f t="shared" si="53"/>
        <v>Q4 2025</v>
      </c>
      <c r="AB512" s="4">
        <f t="shared" ca="1" si="54"/>
        <v>217</v>
      </c>
      <c r="AC512" t="str">
        <f t="shared" si="55"/>
        <v>High</v>
      </c>
    </row>
    <row r="513" spans="1:29">
      <c r="A513" t="s">
        <v>2146</v>
      </c>
      <c r="B513" s="2">
        <v>45988</v>
      </c>
      <c r="C513" t="s">
        <v>2147</v>
      </c>
      <c r="D513" t="s">
        <v>1249</v>
      </c>
      <c r="E513" t="s">
        <v>2148</v>
      </c>
      <c r="F513" t="s">
        <v>2149</v>
      </c>
      <c r="G513" t="s">
        <v>179</v>
      </c>
      <c r="H513" t="s">
        <v>180</v>
      </c>
      <c r="I513" t="s">
        <v>148</v>
      </c>
      <c r="J513" t="s">
        <v>131</v>
      </c>
      <c r="K513" t="s">
        <v>71</v>
      </c>
      <c r="L513" t="s">
        <v>72</v>
      </c>
      <c r="M513" t="s">
        <v>90</v>
      </c>
      <c r="N513" t="s">
        <v>91</v>
      </c>
      <c r="O513" s="3">
        <v>115000</v>
      </c>
      <c r="P513" s="4">
        <v>55</v>
      </c>
      <c r="Q513" s="2">
        <v>46010</v>
      </c>
      <c r="R513" s="2">
        <v>46214</v>
      </c>
      <c r="S513" s="2">
        <v>46010</v>
      </c>
      <c r="T513" s="2"/>
      <c r="U513" t="str">
        <f t="shared" si="49"/>
        <v>No</v>
      </c>
      <c r="W5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3" t="str">
        <f t="shared" ca="1" si="50"/>
        <v>Due/Open</v>
      </c>
      <c r="Y513" t="str">
        <f t="shared" si="51"/>
        <v>Open</v>
      </c>
      <c r="Z513" t="str">
        <f t="shared" si="52"/>
        <v>Nov-2025</v>
      </c>
      <c r="AA513" t="str">
        <f t="shared" si="53"/>
        <v>Q4 2025</v>
      </c>
      <c r="AB513" s="4">
        <f t="shared" ca="1" si="54"/>
        <v>211</v>
      </c>
      <c r="AC513" t="str">
        <f t="shared" si="55"/>
        <v>Low</v>
      </c>
    </row>
    <row r="514" spans="1:29">
      <c r="A514" t="s">
        <v>2150</v>
      </c>
      <c r="B514" s="2">
        <v>46015</v>
      </c>
      <c r="C514" t="s">
        <v>2151</v>
      </c>
      <c r="D514" t="s">
        <v>332</v>
      </c>
      <c r="E514" t="s">
        <v>2152</v>
      </c>
      <c r="F514" t="s">
        <v>2153</v>
      </c>
      <c r="G514" t="s">
        <v>47</v>
      </c>
      <c r="H514" t="s">
        <v>122</v>
      </c>
      <c r="I514" t="s">
        <v>148</v>
      </c>
      <c r="J514" t="s">
        <v>62</v>
      </c>
      <c r="K514" t="s">
        <v>114</v>
      </c>
      <c r="L514" t="s">
        <v>115</v>
      </c>
      <c r="M514" t="s">
        <v>40</v>
      </c>
      <c r="N514" t="s">
        <v>41</v>
      </c>
      <c r="O514" s="3">
        <v>170000</v>
      </c>
      <c r="P514" s="4">
        <v>100</v>
      </c>
      <c r="Q514" s="2">
        <v>46087</v>
      </c>
      <c r="R514" s="2"/>
      <c r="S514" s="2">
        <v>46018</v>
      </c>
      <c r="T514" s="2">
        <v>46087</v>
      </c>
      <c r="U514" t="str">
        <f t="shared" ref="U514:U577" si="56">IF(M514="Converted","Yes","No")</f>
        <v>Yes</v>
      </c>
      <c r="W5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514" t="str">
        <f t="shared" ref="X514:X577" ca="1" si="57">IF(OR(M514="Converted",M514="Lost",M514="Not Interested"),"Closed",IF(R514&lt;TODAY(),"Overdue","Due/Open"))</f>
        <v>Closed</v>
      </c>
      <c r="Y514" t="str">
        <f t="shared" ref="Y514:Y577" si="58">IF(OR(M514="Converted",M514="Lost",M514="Not Interested"),"Closed","Open")</f>
        <v>Closed</v>
      </c>
      <c r="Z514" t="str">
        <f t="shared" ref="Z514:Z577" si="59">TEXT(B514,"mmm-yyyy")</f>
        <v>Dec-2025</v>
      </c>
      <c r="AA514" t="str">
        <f t="shared" ref="AA514:AA577" si="60">"Q"&amp;ROUNDUP(MONTH(B514)/3,0)&amp;" "&amp;YEAR(B514)</f>
        <v>Q4 2025</v>
      </c>
      <c r="AB514" s="4">
        <f t="shared" ref="AB514:AB577" ca="1" si="61">TODAY()-B514</f>
        <v>184</v>
      </c>
      <c r="AC514" t="str">
        <f t="shared" ref="AC514:AC577" si="62">IF(O514&gt;=300000,"High",IF(O514&gt;=120000,"Medium","Low"))</f>
        <v>Medium</v>
      </c>
    </row>
    <row r="515" spans="1:29">
      <c r="A515" t="s">
        <v>2154</v>
      </c>
      <c r="B515" s="2">
        <v>45726</v>
      </c>
      <c r="C515" t="s">
        <v>2155</v>
      </c>
      <c r="D515" t="s">
        <v>282</v>
      </c>
      <c r="E515" t="s">
        <v>2156</v>
      </c>
      <c r="F515" t="s">
        <v>2157</v>
      </c>
      <c r="G515" t="s">
        <v>179</v>
      </c>
      <c r="H515" t="s">
        <v>180</v>
      </c>
      <c r="I515" t="s">
        <v>148</v>
      </c>
      <c r="J515" t="s">
        <v>50</v>
      </c>
      <c r="K515" t="s">
        <v>114</v>
      </c>
      <c r="L515" t="s">
        <v>239</v>
      </c>
      <c r="M515" t="s">
        <v>82</v>
      </c>
      <c r="N515" t="s">
        <v>83</v>
      </c>
      <c r="O515" s="3">
        <v>475000</v>
      </c>
      <c r="P515" s="4">
        <v>10</v>
      </c>
      <c r="Q515" s="2">
        <v>45755</v>
      </c>
      <c r="R515" s="2">
        <v>46197</v>
      </c>
      <c r="S515" s="2">
        <v>45731</v>
      </c>
      <c r="T515" s="2"/>
      <c r="U515" t="str">
        <f t="shared" si="56"/>
        <v>No</v>
      </c>
      <c r="W5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5" t="str">
        <f t="shared" ca="1" si="57"/>
        <v>Overdue</v>
      </c>
      <c r="Y515" t="str">
        <f t="shared" si="58"/>
        <v>Open</v>
      </c>
      <c r="Z515" t="str">
        <f t="shared" si="59"/>
        <v>Mar-2025</v>
      </c>
      <c r="AA515" t="str">
        <f t="shared" si="60"/>
        <v>Q1 2025</v>
      </c>
      <c r="AB515" s="4">
        <f t="shared" ca="1" si="61"/>
        <v>473</v>
      </c>
      <c r="AC515" t="str">
        <f t="shared" si="62"/>
        <v>High</v>
      </c>
    </row>
    <row r="516" spans="1:29">
      <c r="A516" t="s">
        <v>2158</v>
      </c>
      <c r="B516" s="2">
        <v>46146</v>
      </c>
      <c r="C516" t="s">
        <v>448</v>
      </c>
      <c r="D516" t="s">
        <v>981</v>
      </c>
      <c r="E516" t="s">
        <v>2159</v>
      </c>
      <c r="F516" t="s">
        <v>2160</v>
      </c>
      <c r="G516" t="s">
        <v>69</v>
      </c>
      <c r="H516" t="s">
        <v>200</v>
      </c>
      <c r="I516" t="s">
        <v>49</v>
      </c>
      <c r="J516" t="s">
        <v>62</v>
      </c>
      <c r="K516" t="s">
        <v>194</v>
      </c>
      <c r="L516" t="s">
        <v>52</v>
      </c>
      <c r="M516" t="s">
        <v>133</v>
      </c>
      <c r="N516" t="s">
        <v>134</v>
      </c>
      <c r="O516" s="3">
        <v>225000</v>
      </c>
      <c r="P516" s="4">
        <v>0</v>
      </c>
      <c r="Q516" s="2">
        <v>46186</v>
      </c>
      <c r="R516" s="2"/>
      <c r="S516" s="2">
        <v>46155</v>
      </c>
      <c r="T516" s="2">
        <v>46186</v>
      </c>
      <c r="U516" t="str">
        <f t="shared" si="56"/>
        <v>No</v>
      </c>
      <c r="V516" t="s">
        <v>1105</v>
      </c>
      <c r="W51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516" t="str">
        <f t="shared" ca="1" si="57"/>
        <v>Closed</v>
      </c>
      <c r="Y516" t="str">
        <f t="shared" si="58"/>
        <v>Closed</v>
      </c>
      <c r="Z516" t="str">
        <f t="shared" si="59"/>
        <v>May-2026</v>
      </c>
      <c r="AA516" t="str">
        <f t="shared" si="60"/>
        <v>Q2 2026</v>
      </c>
      <c r="AB516" s="4">
        <f t="shared" ca="1" si="61"/>
        <v>53</v>
      </c>
      <c r="AC516" t="str">
        <f t="shared" si="62"/>
        <v>Medium</v>
      </c>
    </row>
    <row r="517" spans="1:29">
      <c r="A517" t="s">
        <v>2161</v>
      </c>
      <c r="B517" s="2">
        <v>45952</v>
      </c>
      <c r="C517" t="s">
        <v>1290</v>
      </c>
      <c r="D517" t="s">
        <v>715</v>
      </c>
      <c r="E517" t="s">
        <v>2162</v>
      </c>
      <c r="F517" t="s">
        <v>2163</v>
      </c>
      <c r="G517" t="s">
        <v>69</v>
      </c>
      <c r="H517" t="s">
        <v>312</v>
      </c>
      <c r="I517" t="s">
        <v>148</v>
      </c>
      <c r="J517" t="s">
        <v>131</v>
      </c>
      <c r="K517" t="s">
        <v>100</v>
      </c>
      <c r="L517" t="s">
        <v>154</v>
      </c>
      <c r="M517" t="s">
        <v>116</v>
      </c>
      <c r="N517" t="s">
        <v>54</v>
      </c>
      <c r="O517" s="3">
        <v>140000</v>
      </c>
      <c r="P517" s="4">
        <v>20</v>
      </c>
      <c r="Q517" s="2">
        <v>45990</v>
      </c>
      <c r="R517" s="2">
        <v>46242</v>
      </c>
      <c r="S517" s="2">
        <v>45964</v>
      </c>
      <c r="T517" s="2"/>
      <c r="U517" t="str">
        <f t="shared" si="56"/>
        <v>No</v>
      </c>
      <c r="W5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7" t="str">
        <f t="shared" ca="1" si="57"/>
        <v>Due/Open</v>
      </c>
      <c r="Y517" t="str">
        <f t="shared" si="58"/>
        <v>Open</v>
      </c>
      <c r="Z517" t="str">
        <f t="shared" si="59"/>
        <v>Oct-2025</v>
      </c>
      <c r="AA517" t="str">
        <f t="shared" si="60"/>
        <v>Q4 2025</v>
      </c>
      <c r="AB517" s="4">
        <f t="shared" ca="1" si="61"/>
        <v>247</v>
      </c>
      <c r="AC517" t="str">
        <f t="shared" si="62"/>
        <v>Medium</v>
      </c>
    </row>
    <row r="518" spans="1:29">
      <c r="A518" t="s">
        <v>2164</v>
      </c>
      <c r="B518" s="2">
        <v>46151</v>
      </c>
      <c r="C518" t="s">
        <v>2165</v>
      </c>
      <c r="D518" t="s">
        <v>464</v>
      </c>
      <c r="E518" t="s">
        <v>2166</v>
      </c>
      <c r="F518" t="s">
        <v>2167</v>
      </c>
      <c r="G518" t="s">
        <v>34</v>
      </c>
      <c r="H518" t="s">
        <v>160</v>
      </c>
      <c r="I518" t="s">
        <v>187</v>
      </c>
      <c r="J518" t="s">
        <v>131</v>
      </c>
      <c r="K518" t="s">
        <v>51</v>
      </c>
      <c r="L518" t="s">
        <v>63</v>
      </c>
      <c r="M518" t="s">
        <v>40</v>
      </c>
      <c r="N518" t="s">
        <v>41</v>
      </c>
      <c r="O518" s="3">
        <v>140000</v>
      </c>
      <c r="P518" s="4">
        <v>100</v>
      </c>
      <c r="Q518" s="2">
        <v>46195</v>
      </c>
      <c r="R518" s="2"/>
      <c r="S518" s="2">
        <v>46166</v>
      </c>
      <c r="T518" s="2">
        <v>46195</v>
      </c>
      <c r="U518" t="str">
        <f t="shared" si="56"/>
        <v>Yes</v>
      </c>
      <c r="W51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44</v>
      </c>
      <c r="X518" t="str">
        <f t="shared" ca="1" si="57"/>
        <v>Closed</v>
      </c>
      <c r="Y518" t="str">
        <f t="shared" si="58"/>
        <v>Closed</v>
      </c>
      <c r="Z518" t="str">
        <f t="shared" si="59"/>
        <v>May-2026</v>
      </c>
      <c r="AA518" t="str">
        <f t="shared" si="60"/>
        <v>Q2 2026</v>
      </c>
      <c r="AB518" s="4">
        <f t="shared" ca="1" si="61"/>
        <v>48</v>
      </c>
      <c r="AC518" t="str">
        <f t="shared" si="62"/>
        <v>Medium</v>
      </c>
    </row>
    <row r="519" spans="1:29">
      <c r="A519" t="s">
        <v>2168</v>
      </c>
      <c r="B519" s="2">
        <v>45708</v>
      </c>
      <c r="C519" t="s">
        <v>2169</v>
      </c>
      <c r="D519" t="s">
        <v>909</v>
      </c>
      <c r="E519" t="s">
        <v>2170</v>
      </c>
      <c r="F519" t="s">
        <v>2171</v>
      </c>
      <c r="G519" t="s">
        <v>179</v>
      </c>
      <c r="H519" t="s">
        <v>318</v>
      </c>
      <c r="I519" t="s">
        <v>49</v>
      </c>
      <c r="J519" t="s">
        <v>131</v>
      </c>
      <c r="K519" t="s">
        <v>51</v>
      </c>
      <c r="L519" t="s">
        <v>52</v>
      </c>
      <c r="M519" t="s">
        <v>73</v>
      </c>
      <c r="N519" t="s">
        <v>73</v>
      </c>
      <c r="O519" s="3">
        <v>195000</v>
      </c>
      <c r="P519" s="4">
        <v>80</v>
      </c>
      <c r="Q519" s="2">
        <v>45761</v>
      </c>
      <c r="R519" s="2">
        <v>46226</v>
      </c>
      <c r="S519" s="2">
        <v>45713</v>
      </c>
      <c r="T519" s="2"/>
      <c r="U519" t="str">
        <f t="shared" si="56"/>
        <v>No</v>
      </c>
      <c r="W5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19" t="str">
        <f t="shared" ca="1" si="57"/>
        <v>Due/Open</v>
      </c>
      <c r="Y519" t="str">
        <f t="shared" si="58"/>
        <v>Open</v>
      </c>
      <c r="Z519" t="str">
        <f t="shared" si="59"/>
        <v>Feb-2025</v>
      </c>
      <c r="AA519" t="str">
        <f t="shared" si="60"/>
        <v>Q1 2025</v>
      </c>
      <c r="AB519" s="4">
        <f t="shared" ca="1" si="61"/>
        <v>491</v>
      </c>
      <c r="AC519" t="str">
        <f t="shared" si="62"/>
        <v>Medium</v>
      </c>
    </row>
    <row r="520" spans="1:29">
      <c r="A520" t="s">
        <v>2172</v>
      </c>
      <c r="B520" s="2">
        <v>45778</v>
      </c>
      <c r="C520" t="s">
        <v>102</v>
      </c>
      <c r="D520" t="s">
        <v>705</v>
      </c>
      <c r="E520" t="s">
        <v>2173</v>
      </c>
      <c r="F520" t="s">
        <v>2174</v>
      </c>
      <c r="G520" t="s">
        <v>47</v>
      </c>
      <c r="H520" t="s">
        <v>113</v>
      </c>
      <c r="I520" t="s">
        <v>49</v>
      </c>
      <c r="J520" t="s">
        <v>50</v>
      </c>
      <c r="K520" t="s">
        <v>100</v>
      </c>
      <c r="L520" t="s">
        <v>132</v>
      </c>
      <c r="M520" t="s">
        <v>210</v>
      </c>
      <c r="N520" t="s">
        <v>134</v>
      </c>
      <c r="O520" s="3">
        <v>430000</v>
      </c>
      <c r="P520" s="4">
        <v>0</v>
      </c>
      <c r="Q520" s="2">
        <v>45802</v>
      </c>
      <c r="R520" s="2"/>
      <c r="S520" s="2">
        <v>45780</v>
      </c>
      <c r="T520" s="2">
        <v>45802</v>
      </c>
      <c r="U520" t="str">
        <f t="shared" si="56"/>
        <v>No</v>
      </c>
      <c r="V520" t="s">
        <v>276</v>
      </c>
      <c r="W52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24</v>
      </c>
      <c r="X520" t="str">
        <f t="shared" ca="1" si="57"/>
        <v>Closed</v>
      </c>
      <c r="Y520" t="str">
        <f t="shared" si="58"/>
        <v>Closed</v>
      </c>
      <c r="Z520" t="str">
        <f t="shared" si="59"/>
        <v>May-2025</v>
      </c>
      <c r="AA520" t="str">
        <f t="shared" si="60"/>
        <v>Q2 2025</v>
      </c>
      <c r="AB520" s="4">
        <f t="shared" ca="1" si="61"/>
        <v>421</v>
      </c>
      <c r="AC520" t="str">
        <f t="shared" si="62"/>
        <v>High</v>
      </c>
    </row>
    <row r="521" spans="1:29">
      <c r="A521" t="s">
        <v>2175</v>
      </c>
      <c r="B521" s="2">
        <v>45972</v>
      </c>
      <c r="C521" t="s">
        <v>1122</v>
      </c>
      <c r="D521" t="s">
        <v>394</v>
      </c>
      <c r="E521" t="s">
        <v>2176</v>
      </c>
      <c r="F521" t="s">
        <v>2177</v>
      </c>
      <c r="G521" t="s">
        <v>69</v>
      </c>
      <c r="H521" t="s">
        <v>193</v>
      </c>
      <c r="I521" t="s">
        <v>123</v>
      </c>
      <c r="J521" t="s">
        <v>62</v>
      </c>
      <c r="K521" t="s">
        <v>51</v>
      </c>
      <c r="L521" t="s">
        <v>39</v>
      </c>
      <c r="M521" t="s">
        <v>40</v>
      </c>
      <c r="N521" t="s">
        <v>41</v>
      </c>
      <c r="O521" s="3">
        <v>435000</v>
      </c>
      <c r="P521" s="4">
        <v>100</v>
      </c>
      <c r="Q521" s="2">
        <v>46011</v>
      </c>
      <c r="R521" s="2"/>
      <c r="S521" s="2">
        <v>45984</v>
      </c>
      <c r="T521" s="2">
        <v>46011</v>
      </c>
      <c r="U521" t="str">
        <f t="shared" si="56"/>
        <v>Yes</v>
      </c>
      <c r="W52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39</v>
      </c>
      <c r="X521" t="str">
        <f t="shared" ca="1" si="57"/>
        <v>Closed</v>
      </c>
      <c r="Y521" t="str">
        <f t="shared" si="58"/>
        <v>Closed</v>
      </c>
      <c r="Z521" t="str">
        <f t="shared" si="59"/>
        <v>Nov-2025</v>
      </c>
      <c r="AA521" t="str">
        <f t="shared" si="60"/>
        <v>Q4 2025</v>
      </c>
      <c r="AB521" s="4">
        <f t="shared" ca="1" si="61"/>
        <v>227</v>
      </c>
      <c r="AC521" t="str">
        <f t="shared" si="62"/>
        <v>High</v>
      </c>
    </row>
    <row r="522" spans="1:29">
      <c r="A522" t="s">
        <v>2178</v>
      </c>
      <c r="B522" s="2">
        <v>45782</v>
      </c>
      <c r="C522" t="s">
        <v>442</v>
      </c>
      <c r="D522" t="s">
        <v>2179</v>
      </c>
      <c r="E522" t="s">
        <v>2180</v>
      </c>
      <c r="F522" t="s">
        <v>2181</v>
      </c>
      <c r="G522" t="s">
        <v>47</v>
      </c>
      <c r="H522" t="s">
        <v>89</v>
      </c>
      <c r="I522" t="s">
        <v>148</v>
      </c>
      <c r="J522" t="s">
        <v>50</v>
      </c>
      <c r="K522" t="s">
        <v>71</v>
      </c>
      <c r="L522" t="s">
        <v>72</v>
      </c>
      <c r="M522" t="s">
        <v>166</v>
      </c>
      <c r="N522" t="s">
        <v>167</v>
      </c>
      <c r="O522" s="3">
        <v>295000</v>
      </c>
      <c r="P522" s="4">
        <v>70</v>
      </c>
      <c r="Q522" s="2">
        <v>45875</v>
      </c>
      <c r="R522" s="2">
        <v>46167</v>
      </c>
      <c r="S522" s="2">
        <v>45809</v>
      </c>
      <c r="T522" s="2"/>
      <c r="U522" t="str">
        <f t="shared" si="56"/>
        <v>No</v>
      </c>
      <c r="W5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2" t="str">
        <f t="shared" ca="1" si="57"/>
        <v>Overdue</v>
      </c>
      <c r="Y522" t="str">
        <f t="shared" si="58"/>
        <v>Open</v>
      </c>
      <c r="Z522" t="str">
        <f t="shared" si="59"/>
        <v>May-2025</v>
      </c>
      <c r="AA522" t="str">
        <f t="shared" si="60"/>
        <v>Q2 2025</v>
      </c>
      <c r="AB522" s="4">
        <f t="shared" ca="1" si="61"/>
        <v>417</v>
      </c>
      <c r="AC522" t="str">
        <f t="shared" si="62"/>
        <v>Medium</v>
      </c>
    </row>
    <row r="523" spans="1:29">
      <c r="A523" t="s">
        <v>2182</v>
      </c>
      <c r="B523" s="2">
        <v>45692</v>
      </c>
      <c r="C523" t="s">
        <v>2183</v>
      </c>
      <c r="D523" t="s">
        <v>2143</v>
      </c>
      <c r="E523" t="s">
        <v>2184</v>
      </c>
      <c r="F523" t="s">
        <v>2185</v>
      </c>
      <c r="G523" t="s">
        <v>34</v>
      </c>
      <c r="H523" t="s">
        <v>60</v>
      </c>
      <c r="I523" t="s">
        <v>141</v>
      </c>
      <c r="J523" t="s">
        <v>99</v>
      </c>
      <c r="K523" t="s">
        <v>71</v>
      </c>
      <c r="L523" t="s">
        <v>132</v>
      </c>
      <c r="M523" t="s">
        <v>116</v>
      </c>
      <c r="N523" t="s">
        <v>54</v>
      </c>
      <c r="O523" s="3">
        <v>530000</v>
      </c>
      <c r="P523" s="4">
        <v>15</v>
      </c>
      <c r="Q523" s="2">
        <v>45756</v>
      </c>
      <c r="R523" s="2">
        <v>46193</v>
      </c>
      <c r="S523" s="2">
        <v>45696</v>
      </c>
      <c r="T523" s="2"/>
      <c r="U523" t="str">
        <f t="shared" si="56"/>
        <v>No</v>
      </c>
      <c r="W5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3" t="str">
        <f t="shared" ca="1" si="57"/>
        <v>Overdue</v>
      </c>
      <c r="Y523" t="str">
        <f t="shared" si="58"/>
        <v>Open</v>
      </c>
      <c r="Z523" t="str">
        <f t="shared" si="59"/>
        <v>Feb-2025</v>
      </c>
      <c r="AA523" t="str">
        <f t="shared" si="60"/>
        <v>Q1 2025</v>
      </c>
      <c r="AB523" s="4">
        <f t="shared" ca="1" si="61"/>
        <v>507</v>
      </c>
      <c r="AC523" t="str">
        <f t="shared" si="62"/>
        <v>High</v>
      </c>
    </row>
    <row r="524" spans="1:29">
      <c r="A524" t="s">
        <v>2186</v>
      </c>
      <c r="B524" s="2">
        <v>46127</v>
      </c>
      <c r="C524" t="s">
        <v>2187</v>
      </c>
      <c r="D524" t="s">
        <v>183</v>
      </c>
      <c r="E524" t="s">
        <v>2188</v>
      </c>
      <c r="F524" t="s">
        <v>2189</v>
      </c>
      <c r="G524" t="s">
        <v>47</v>
      </c>
      <c r="H524" t="s">
        <v>122</v>
      </c>
      <c r="I524" t="s">
        <v>123</v>
      </c>
      <c r="J524" t="s">
        <v>99</v>
      </c>
      <c r="K524" t="s">
        <v>114</v>
      </c>
      <c r="L524" t="s">
        <v>115</v>
      </c>
      <c r="M524" t="s">
        <v>82</v>
      </c>
      <c r="N524" t="s">
        <v>83</v>
      </c>
      <c r="O524" s="3">
        <v>460000</v>
      </c>
      <c r="P524" s="4">
        <v>10</v>
      </c>
      <c r="Q524" s="2">
        <v>46150</v>
      </c>
      <c r="R524" s="2">
        <v>46200</v>
      </c>
      <c r="S524" s="2">
        <v>46144</v>
      </c>
      <c r="T524" s="2"/>
      <c r="U524" t="str">
        <f t="shared" si="56"/>
        <v>No</v>
      </c>
      <c r="W5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4" t="str">
        <f t="shared" ca="1" si="57"/>
        <v>Due/Open</v>
      </c>
      <c r="Y524" t="str">
        <f t="shared" si="58"/>
        <v>Open</v>
      </c>
      <c r="Z524" t="str">
        <f t="shared" si="59"/>
        <v>Apr-2026</v>
      </c>
      <c r="AA524" t="str">
        <f t="shared" si="60"/>
        <v>Q2 2026</v>
      </c>
      <c r="AB524" s="4">
        <f t="shared" ca="1" si="61"/>
        <v>72</v>
      </c>
      <c r="AC524" t="str">
        <f t="shared" si="62"/>
        <v>High</v>
      </c>
    </row>
    <row r="525" spans="1:29">
      <c r="A525" t="s">
        <v>2190</v>
      </c>
      <c r="B525" s="2">
        <v>45916</v>
      </c>
      <c r="C525" t="s">
        <v>1584</v>
      </c>
      <c r="D525" t="s">
        <v>220</v>
      </c>
      <c r="E525" t="s">
        <v>2191</v>
      </c>
      <c r="F525" t="s">
        <v>2192</v>
      </c>
      <c r="G525" t="s">
        <v>47</v>
      </c>
      <c r="H525" t="s">
        <v>113</v>
      </c>
      <c r="I525" t="s">
        <v>98</v>
      </c>
      <c r="J525" t="s">
        <v>37</v>
      </c>
      <c r="K525" t="s">
        <v>71</v>
      </c>
      <c r="L525" t="s">
        <v>142</v>
      </c>
      <c r="M525" t="s">
        <v>210</v>
      </c>
      <c r="N525" t="s">
        <v>134</v>
      </c>
      <c r="O525" s="3">
        <v>150000</v>
      </c>
      <c r="P525" s="4">
        <v>0</v>
      </c>
      <c r="Q525" s="2">
        <v>45969</v>
      </c>
      <c r="R525" s="2"/>
      <c r="S525" s="2">
        <v>45946</v>
      </c>
      <c r="T525" s="2">
        <v>45969</v>
      </c>
      <c r="U525" t="str">
        <f t="shared" si="56"/>
        <v>No</v>
      </c>
      <c r="V525" t="s">
        <v>319</v>
      </c>
      <c r="W52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525" t="str">
        <f t="shared" ca="1" si="57"/>
        <v>Closed</v>
      </c>
      <c r="Y525" t="str">
        <f t="shared" si="58"/>
        <v>Closed</v>
      </c>
      <c r="Z525" t="str">
        <f t="shared" si="59"/>
        <v>Sep-2025</v>
      </c>
      <c r="AA525" t="str">
        <f t="shared" si="60"/>
        <v>Q3 2025</v>
      </c>
      <c r="AB525" s="4">
        <f t="shared" ca="1" si="61"/>
        <v>283</v>
      </c>
      <c r="AC525" t="str">
        <f t="shared" si="62"/>
        <v>Medium</v>
      </c>
    </row>
    <row r="526" spans="1:29">
      <c r="A526" t="s">
        <v>2193</v>
      </c>
      <c r="B526" s="2">
        <v>45890</v>
      </c>
      <c r="C526" t="s">
        <v>2194</v>
      </c>
      <c r="D526" t="s">
        <v>490</v>
      </c>
      <c r="E526" t="s">
        <v>2195</v>
      </c>
      <c r="F526" t="s">
        <v>2196</v>
      </c>
      <c r="G526" t="s">
        <v>34</v>
      </c>
      <c r="H526" t="s">
        <v>446</v>
      </c>
      <c r="I526" t="s">
        <v>98</v>
      </c>
      <c r="J526" t="s">
        <v>124</v>
      </c>
      <c r="K526" t="s">
        <v>71</v>
      </c>
      <c r="L526" t="s">
        <v>72</v>
      </c>
      <c r="M526" t="s">
        <v>116</v>
      </c>
      <c r="N526" t="s">
        <v>54</v>
      </c>
      <c r="O526" s="3">
        <v>165000</v>
      </c>
      <c r="P526" s="4">
        <v>20</v>
      </c>
      <c r="Q526" s="2">
        <v>45920</v>
      </c>
      <c r="R526" s="2">
        <v>46216</v>
      </c>
      <c r="S526" s="2">
        <v>45901</v>
      </c>
      <c r="T526" s="2"/>
      <c r="U526" t="str">
        <f t="shared" si="56"/>
        <v>No</v>
      </c>
      <c r="W5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6" t="str">
        <f t="shared" ca="1" si="57"/>
        <v>Due/Open</v>
      </c>
      <c r="Y526" t="str">
        <f t="shared" si="58"/>
        <v>Open</v>
      </c>
      <c r="Z526" t="str">
        <f t="shared" si="59"/>
        <v>Aug-2025</v>
      </c>
      <c r="AA526" t="str">
        <f t="shared" si="60"/>
        <v>Q3 2025</v>
      </c>
      <c r="AB526" s="4">
        <f t="shared" ca="1" si="61"/>
        <v>309</v>
      </c>
      <c r="AC526" t="str">
        <f t="shared" si="62"/>
        <v>Medium</v>
      </c>
    </row>
    <row r="527" spans="1:29">
      <c r="A527" t="s">
        <v>2197</v>
      </c>
      <c r="B527" s="2">
        <v>46044</v>
      </c>
      <c r="C527" t="s">
        <v>1802</v>
      </c>
      <c r="D527" t="s">
        <v>747</v>
      </c>
      <c r="E527" t="s">
        <v>2198</v>
      </c>
      <c r="F527" t="s">
        <v>2199</v>
      </c>
      <c r="G527" t="s">
        <v>69</v>
      </c>
      <c r="H527" t="s">
        <v>285</v>
      </c>
      <c r="I527" t="s">
        <v>148</v>
      </c>
      <c r="J527" t="s">
        <v>99</v>
      </c>
      <c r="K527" t="s">
        <v>71</v>
      </c>
      <c r="L527" t="s">
        <v>132</v>
      </c>
      <c r="M527" t="s">
        <v>53</v>
      </c>
      <c r="N527" t="s">
        <v>54</v>
      </c>
      <c r="O527" s="3">
        <v>285000</v>
      </c>
      <c r="P527" s="4">
        <v>35</v>
      </c>
      <c r="Q527" s="2">
        <v>46087</v>
      </c>
      <c r="R527" s="2">
        <v>46243</v>
      </c>
      <c r="S527" s="2">
        <v>46051</v>
      </c>
      <c r="T527" s="2"/>
      <c r="U527" t="str">
        <f t="shared" si="56"/>
        <v>No</v>
      </c>
      <c r="W5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7" t="str">
        <f t="shared" ca="1" si="57"/>
        <v>Due/Open</v>
      </c>
      <c r="Y527" t="str">
        <f t="shared" si="58"/>
        <v>Open</v>
      </c>
      <c r="Z527" t="str">
        <f t="shared" si="59"/>
        <v>Jan-2026</v>
      </c>
      <c r="AA527" t="str">
        <f t="shared" si="60"/>
        <v>Q1 2026</v>
      </c>
      <c r="AB527" s="4">
        <f t="shared" ca="1" si="61"/>
        <v>155</v>
      </c>
      <c r="AC527" t="str">
        <f t="shared" si="62"/>
        <v>Medium</v>
      </c>
    </row>
    <row r="528" spans="1:29">
      <c r="A528" t="s">
        <v>2200</v>
      </c>
      <c r="B528" s="2">
        <v>46182</v>
      </c>
      <c r="C528" t="s">
        <v>1525</v>
      </c>
      <c r="D528" t="s">
        <v>389</v>
      </c>
      <c r="E528" t="s">
        <v>2201</v>
      </c>
      <c r="F528" t="s">
        <v>2202</v>
      </c>
      <c r="G528" t="s">
        <v>179</v>
      </c>
      <c r="H528" t="s">
        <v>487</v>
      </c>
      <c r="I528" t="s">
        <v>36</v>
      </c>
      <c r="J528" t="s">
        <v>131</v>
      </c>
      <c r="K528" t="s">
        <v>114</v>
      </c>
      <c r="L528" t="s">
        <v>125</v>
      </c>
      <c r="M528" t="s">
        <v>166</v>
      </c>
      <c r="N528" t="s">
        <v>167</v>
      </c>
      <c r="O528" s="3">
        <v>255000</v>
      </c>
      <c r="P528" s="4">
        <v>65</v>
      </c>
      <c r="Q528" s="2">
        <v>46232</v>
      </c>
      <c r="R528" s="2">
        <v>46214</v>
      </c>
      <c r="S528" s="2">
        <v>46189</v>
      </c>
      <c r="T528" s="2"/>
      <c r="U528" t="str">
        <f t="shared" si="56"/>
        <v>No</v>
      </c>
      <c r="W5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8" t="str">
        <f t="shared" ca="1" si="57"/>
        <v>Due/Open</v>
      </c>
      <c r="Y528" t="str">
        <f t="shared" si="58"/>
        <v>Open</v>
      </c>
      <c r="Z528" t="str">
        <f t="shared" si="59"/>
        <v>Jun-2026</v>
      </c>
      <c r="AA528" t="str">
        <f t="shared" si="60"/>
        <v>Q2 2026</v>
      </c>
      <c r="AB528" s="4">
        <f t="shared" ca="1" si="61"/>
        <v>17</v>
      </c>
      <c r="AC528" t="str">
        <f t="shared" si="62"/>
        <v>Medium</v>
      </c>
    </row>
    <row r="529" spans="1:29">
      <c r="A529" t="s">
        <v>2203</v>
      </c>
      <c r="B529" s="2">
        <v>45863</v>
      </c>
      <c r="C529" t="s">
        <v>1448</v>
      </c>
      <c r="D529" t="s">
        <v>573</v>
      </c>
      <c r="E529" t="s">
        <v>2204</v>
      </c>
      <c r="F529" t="s">
        <v>2205</v>
      </c>
      <c r="G529" t="s">
        <v>79</v>
      </c>
      <c r="H529" t="s">
        <v>260</v>
      </c>
      <c r="I529" t="s">
        <v>61</v>
      </c>
      <c r="J529" t="s">
        <v>37</v>
      </c>
      <c r="K529" t="s">
        <v>51</v>
      </c>
      <c r="L529" t="s">
        <v>239</v>
      </c>
      <c r="M529" t="s">
        <v>90</v>
      </c>
      <c r="N529" t="s">
        <v>91</v>
      </c>
      <c r="O529" s="3">
        <v>60000</v>
      </c>
      <c r="P529" s="4">
        <v>40</v>
      </c>
      <c r="Q529" s="2">
        <v>45895</v>
      </c>
      <c r="R529" s="2">
        <v>46183</v>
      </c>
      <c r="S529" s="2">
        <v>45879</v>
      </c>
      <c r="T529" s="2"/>
      <c r="U529" t="str">
        <f t="shared" si="56"/>
        <v>No</v>
      </c>
      <c r="W5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29" t="str">
        <f t="shared" ca="1" si="57"/>
        <v>Overdue</v>
      </c>
      <c r="Y529" t="str">
        <f t="shared" si="58"/>
        <v>Open</v>
      </c>
      <c r="Z529" t="str">
        <f t="shared" si="59"/>
        <v>Jul-2025</v>
      </c>
      <c r="AA529" t="str">
        <f t="shared" si="60"/>
        <v>Q3 2025</v>
      </c>
      <c r="AB529" s="4">
        <f t="shared" ca="1" si="61"/>
        <v>336</v>
      </c>
      <c r="AC529" t="str">
        <f t="shared" si="62"/>
        <v>Low</v>
      </c>
    </row>
    <row r="530" spans="1:29">
      <c r="A530" t="s">
        <v>2206</v>
      </c>
      <c r="B530" s="2">
        <v>46000</v>
      </c>
      <c r="C530" t="s">
        <v>308</v>
      </c>
      <c r="D530" t="s">
        <v>981</v>
      </c>
      <c r="E530" t="s">
        <v>2207</v>
      </c>
      <c r="F530" t="s">
        <v>2208</v>
      </c>
      <c r="G530" t="s">
        <v>179</v>
      </c>
      <c r="H530" t="s">
        <v>436</v>
      </c>
      <c r="I530" t="s">
        <v>148</v>
      </c>
      <c r="J530" t="s">
        <v>50</v>
      </c>
      <c r="K530" t="s">
        <v>114</v>
      </c>
      <c r="L530" t="s">
        <v>72</v>
      </c>
      <c r="M530" t="s">
        <v>90</v>
      </c>
      <c r="N530" t="s">
        <v>91</v>
      </c>
      <c r="O530" s="3">
        <v>295000</v>
      </c>
      <c r="P530" s="4">
        <v>50</v>
      </c>
      <c r="Q530" s="2">
        <v>46024</v>
      </c>
      <c r="R530" s="2">
        <v>46165</v>
      </c>
      <c r="S530" s="2">
        <v>46010</v>
      </c>
      <c r="T530" s="2"/>
      <c r="U530" t="str">
        <f t="shared" si="56"/>
        <v>No</v>
      </c>
      <c r="W5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0" t="str">
        <f t="shared" ca="1" si="57"/>
        <v>Overdue</v>
      </c>
      <c r="Y530" t="str">
        <f t="shared" si="58"/>
        <v>Open</v>
      </c>
      <c r="Z530" t="str">
        <f t="shared" si="59"/>
        <v>Dec-2025</v>
      </c>
      <c r="AA530" t="str">
        <f t="shared" si="60"/>
        <v>Q4 2025</v>
      </c>
      <c r="AB530" s="4">
        <f t="shared" ca="1" si="61"/>
        <v>199</v>
      </c>
      <c r="AC530" t="str">
        <f t="shared" si="62"/>
        <v>Medium</v>
      </c>
    </row>
    <row r="531" spans="1:29">
      <c r="A531" t="s">
        <v>2209</v>
      </c>
      <c r="B531" s="2">
        <v>45915</v>
      </c>
      <c r="C531" t="s">
        <v>2210</v>
      </c>
      <c r="D531" t="s">
        <v>2211</v>
      </c>
      <c r="E531" t="s">
        <v>2212</v>
      </c>
      <c r="F531" t="s">
        <v>2213</v>
      </c>
      <c r="G531" t="s">
        <v>79</v>
      </c>
      <c r="H531" t="s">
        <v>97</v>
      </c>
      <c r="I531" t="s">
        <v>187</v>
      </c>
      <c r="J531" t="s">
        <v>99</v>
      </c>
      <c r="K531" t="s">
        <v>71</v>
      </c>
      <c r="L531" t="s">
        <v>125</v>
      </c>
      <c r="M531" t="s">
        <v>90</v>
      </c>
      <c r="N531" t="s">
        <v>91</v>
      </c>
      <c r="O531" s="3">
        <v>420000</v>
      </c>
      <c r="P531" s="4">
        <v>50</v>
      </c>
      <c r="Q531" s="2">
        <v>45979</v>
      </c>
      <c r="R531" s="2">
        <v>46163</v>
      </c>
      <c r="S531" s="2">
        <v>45921</v>
      </c>
      <c r="T531" s="2"/>
      <c r="U531" t="str">
        <f t="shared" si="56"/>
        <v>No</v>
      </c>
      <c r="W5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1" t="str">
        <f t="shared" ca="1" si="57"/>
        <v>Overdue</v>
      </c>
      <c r="Y531" t="str">
        <f t="shared" si="58"/>
        <v>Open</v>
      </c>
      <c r="Z531" t="str">
        <f t="shared" si="59"/>
        <v>Sep-2025</v>
      </c>
      <c r="AA531" t="str">
        <f t="shared" si="60"/>
        <v>Q3 2025</v>
      </c>
      <c r="AB531" s="4">
        <f t="shared" ca="1" si="61"/>
        <v>284</v>
      </c>
      <c r="AC531" t="str">
        <f t="shared" si="62"/>
        <v>High</v>
      </c>
    </row>
    <row r="532" spans="1:29">
      <c r="A532" t="s">
        <v>2214</v>
      </c>
      <c r="B532" s="2">
        <v>46116</v>
      </c>
      <c r="C532" t="s">
        <v>2215</v>
      </c>
      <c r="D532" t="s">
        <v>573</v>
      </c>
      <c r="E532" t="s">
        <v>2216</v>
      </c>
      <c r="F532" t="s">
        <v>2217</v>
      </c>
      <c r="G532" t="s">
        <v>47</v>
      </c>
      <c r="H532" t="s">
        <v>113</v>
      </c>
      <c r="I532" t="s">
        <v>61</v>
      </c>
      <c r="J532" t="s">
        <v>131</v>
      </c>
      <c r="K532" t="s">
        <v>100</v>
      </c>
      <c r="L532" t="s">
        <v>63</v>
      </c>
      <c r="M532" t="s">
        <v>90</v>
      </c>
      <c r="N532" t="s">
        <v>91</v>
      </c>
      <c r="O532" s="3">
        <v>360000</v>
      </c>
      <c r="P532" s="4">
        <v>55</v>
      </c>
      <c r="Q532" s="2">
        <v>46204</v>
      </c>
      <c r="R532" s="2">
        <v>46179</v>
      </c>
      <c r="S532" s="2">
        <v>46118</v>
      </c>
      <c r="T532" s="2"/>
      <c r="U532" t="str">
        <f t="shared" si="56"/>
        <v>No</v>
      </c>
      <c r="W5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2" t="str">
        <f t="shared" ca="1" si="57"/>
        <v>Overdue</v>
      </c>
      <c r="Y532" t="str">
        <f t="shared" si="58"/>
        <v>Open</v>
      </c>
      <c r="Z532" t="str">
        <f t="shared" si="59"/>
        <v>Apr-2026</v>
      </c>
      <c r="AA532" t="str">
        <f t="shared" si="60"/>
        <v>Q2 2026</v>
      </c>
      <c r="AB532" s="4">
        <f t="shared" ca="1" si="61"/>
        <v>83</v>
      </c>
      <c r="AC532" t="str">
        <f t="shared" si="62"/>
        <v>High</v>
      </c>
    </row>
    <row r="533" spans="1:29">
      <c r="A533" t="s">
        <v>2218</v>
      </c>
      <c r="B533" s="2">
        <v>45923</v>
      </c>
      <c r="C533" t="s">
        <v>1051</v>
      </c>
      <c r="D533" t="s">
        <v>887</v>
      </c>
      <c r="E533" t="s">
        <v>2219</v>
      </c>
      <c r="F533" t="s">
        <v>2220</v>
      </c>
      <c r="G533" t="s">
        <v>179</v>
      </c>
      <c r="H533" t="s">
        <v>296</v>
      </c>
      <c r="I533" t="s">
        <v>187</v>
      </c>
      <c r="J533" t="s">
        <v>131</v>
      </c>
      <c r="K533" t="s">
        <v>51</v>
      </c>
      <c r="L533" t="s">
        <v>132</v>
      </c>
      <c r="M533" t="s">
        <v>90</v>
      </c>
      <c r="N533" t="s">
        <v>91</v>
      </c>
      <c r="O533" s="3">
        <v>300000</v>
      </c>
      <c r="P533" s="4">
        <v>55</v>
      </c>
      <c r="Q533" s="2">
        <v>45947</v>
      </c>
      <c r="R533" s="2">
        <v>46181</v>
      </c>
      <c r="S533" s="2">
        <v>45935</v>
      </c>
      <c r="T533" s="2"/>
      <c r="U533" t="str">
        <f t="shared" si="56"/>
        <v>No</v>
      </c>
      <c r="W5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3" t="str">
        <f t="shared" ca="1" si="57"/>
        <v>Overdue</v>
      </c>
      <c r="Y533" t="str">
        <f t="shared" si="58"/>
        <v>Open</v>
      </c>
      <c r="Z533" t="str">
        <f t="shared" si="59"/>
        <v>Sep-2025</v>
      </c>
      <c r="AA533" t="str">
        <f t="shared" si="60"/>
        <v>Q3 2025</v>
      </c>
      <c r="AB533" s="4">
        <f t="shared" ca="1" si="61"/>
        <v>276</v>
      </c>
      <c r="AC533" t="str">
        <f t="shared" si="62"/>
        <v>High</v>
      </c>
    </row>
    <row r="534" spans="1:29">
      <c r="A534" t="s">
        <v>2221</v>
      </c>
      <c r="B534" s="2">
        <v>46189</v>
      </c>
      <c r="C534" t="s">
        <v>2222</v>
      </c>
      <c r="D534" t="s">
        <v>1683</v>
      </c>
      <c r="E534" t="s">
        <v>2223</v>
      </c>
      <c r="F534" t="s">
        <v>2224</v>
      </c>
      <c r="G534" t="s">
        <v>34</v>
      </c>
      <c r="H534" t="s">
        <v>35</v>
      </c>
      <c r="I534" t="s">
        <v>148</v>
      </c>
      <c r="J534" t="s">
        <v>50</v>
      </c>
      <c r="K534" t="s">
        <v>114</v>
      </c>
      <c r="L534" t="s">
        <v>154</v>
      </c>
      <c r="M534" t="s">
        <v>73</v>
      </c>
      <c r="N534" t="s">
        <v>73</v>
      </c>
      <c r="O534" s="3">
        <v>265000</v>
      </c>
      <c r="P534" s="4">
        <v>75</v>
      </c>
      <c r="Q534" s="2">
        <v>46220</v>
      </c>
      <c r="R534" s="2">
        <v>46157</v>
      </c>
      <c r="S534" s="2">
        <v>46197</v>
      </c>
      <c r="T534" s="2"/>
      <c r="U534" t="str">
        <f t="shared" si="56"/>
        <v>No</v>
      </c>
      <c r="W5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4" t="str">
        <f t="shared" ca="1" si="57"/>
        <v>Overdue</v>
      </c>
      <c r="Y534" t="str">
        <f t="shared" si="58"/>
        <v>Open</v>
      </c>
      <c r="Z534" t="str">
        <f t="shared" si="59"/>
        <v>Jun-2026</v>
      </c>
      <c r="AA534" t="str">
        <f t="shared" si="60"/>
        <v>Q2 2026</v>
      </c>
      <c r="AB534" s="4">
        <f t="shared" ca="1" si="61"/>
        <v>10</v>
      </c>
      <c r="AC534" t="str">
        <f t="shared" si="62"/>
        <v>Medium</v>
      </c>
    </row>
    <row r="535" spans="1:29">
      <c r="A535" t="s">
        <v>2225</v>
      </c>
      <c r="B535" s="2">
        <v>45710</v>
      </c>
      <c r="C535" t="s">
        <v>2226</v>
      </c>
      <c r="D535" t="s">
        <v>327</v>
      </c>
      <c r="E535" t="s">
        <v>2227</v>
      </c>
      <c r="F535" t="s">
        <v>2228</v>
      </c>
      <c r="G535" t="s">
        <v>47</v>
      </c>
      <c r="H535" t="s">
        <v>418</v>
      </c>
      <c r="I535" t="s">
        <v>187</v>
      </c>
      <c r="J535" t="s">
        <v>99</v>
      </c>
      <c r="K535" t="s">
        <v>100</v>
      </c>
      <c r="L535" t="s">
        <v>52</v>
      </c>
      <c r="M535" t="s">
        <v>166</v>
      </c>
      <c r="N535" t="s">
        <v>167</v>
      </c>
      <c r="O535" s="3">
        <v>295000</v>
      </c>
      <c r="P535" s="4">
        <v>65</v>
      </c>
      <c r="Q535" s="2">
        <v>45803</v>
      </c>
      <c r="R535" s="2">
        <v>46234</v>
      </c>
      <c r="S535" s="2">
        <v>45715</v>
      </c>
      <c r="T535" s="2"/>
      <c r="U535" t="str">
        <f t="shared" si="56"/>
        <v>No</v>
      </c>
      <c r="W5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5" t="str">
        <f t="shared" ca="1" si="57"/>
        <v>Due/Open</v>
      </c>
      <c r="Y535" t="str">
        <f t="shared" si="58"/>
        <v>Open</v>
      </c>
      <c r="Z535" t="str">
        <f t="shared" si="59"/>
        <v>Feb-2025</v>
      </c>
      <c r="AA535" t="str">
        <f t="shared" si="60"/>
        <v>Q1 2025</v>
      </c>
      <c r="AB535" s="4">
        <f t="shared" ca="1" si="61"/>
        <v>489</v>
      </c>
      <c r="AC535" t="str">
        <f t="shared" si="62"/>
        <v>Medium</v>
      </c>
    </row>
    <row r="536" spans="1:29">
      <c r="A536" t="s">
        <v>2229</v>
      </c>
      <c r="B536" s="2">
        <v>45754</v>
      </c>
      <c r="C536" t="s">
        <v>2230</v>
      </c>
      <c r="D536" t="s">
        <v>2231</v>
      </c>
      <c r="E536" t="s">
        <v>2232</v>
      </c>
      <c r="F536" t="s">
        <v>2233</v>
      </c>
      <c r="G536" t="s">
        <v>69</v>
      </c>
      <c r="H536" t="s">
        <v>285</v>
      </c>
      <c r="I536" t="s">
        <v>141</v>
      </c>
      <c r="J536" t="s">
        <v>99</v>
      </c>
      <c r="K536" t="s">
        <v>194</v>
      </c>
      <c r="L536" t="s">
        <v>107</v>
      </c>
      <c r="M536" t="s">
        <v>82</v>
      </c>
      <c r="N536" t="s">
        <v>83</v>
      </c>
      <c r="O536" s="3">
        <v>265000</v>
      </c>
      <c r="P536" s="4">
        <v>10</v>
      </c>
      <c r="Q536" s="2">
        <v>45793</v>
      </c>
      <c r="R536" s="2">
        <v>46197</v>
      </c>
      <c r="S536" s="2">
        <v>45778</v>
      </c>
      <c r="T536" s="2"/>
      <c r="U536" t="str">
        <f t="shared" si="56"/>
        <v>No</v>
      </c>
      <c r="W5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6" t="str">
        <f t="shared" ca="1" si="57"/>
        <v>Overdue</v>
      </c>
      <c r="Y536" t="str">
        <f t="shared" si="58"/>
        <v>Open</v>
      </c>
      <c r="Z536" t="str">
        <f t="shared" si="59"/>
        <v>Apr-2025</v>
      </c>
      <c r="AA536" t="str">
        <f t="shared" si="60"/>
        <v>Q2 2025</v>
      </c>
      <c r="AB536" s="4">
        <f t="shared" ca="1" si="61"/>
        <v>445</v>
      </c>
      <c r="AC536" t="str">
        <f t="shared" si="62"/>
        <v>Medium</v>
      </c>
    </row>
    <row r="537" spans="1:29">
      <c r="A537" t="s">
        <v>2234</v>
      </c>
      <c r="B537" s="2">
        <v>45738</v>
      </c>
      <c r="C537" t="s">
        <v>2235</v>
      </c>
      <c r="D537" t="s">
        <v>986</v>
      </c>
      <c r="E537" t="s">
        <v>2236</v>
      </c>
      <c r="F537" t="s">
        <v>2237</v>
      </c>
      <c r="G537" t="s">
        <v>34</v>
      </c>
      <c r="H537" t="s">
        <v>35</v>
      </c>
      <c r="I537" t="s">
        <v>141</v>
      </c>
      <c r="J537" t="s">
        <v>50</v>
      </c>
      <c r="K537" t="s">
        <v>114</v>
      </c>
      <c r="L537" t="s">
        <v>107</v>
      </c>
      <c r="M537" t="s">
        <v>40</v>
      </c>
      <c r="N537" t="s">
        <v>41</v>
      </c>
      <c r="O537" s="3">
        <v>415000</v>
      </c>
      <c r="P537" s="4">
        <v>100</v>
      </c>
      <c r="Q537" s="2">
        <v>45778</v>
      </c>
      <c r="R537" s="2"/>
      <c r="S537" s="2">
        <v>45762</v>
      </c>
      <c r="T537" s="2">
        <v>45778</v>
      </c>
      <c r="U537" t="str">
        <f t="shared" si="56"/>
        <v>Yes</v>
      </c>
      <c r="W5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537" t="str">
        <f t="shared" ca="1" si="57"/>
        <v>Closed</v>
      </c>
      <c r="Y537" t="str">
        <f t="shared" si="58"/>
        <v>Closed</v>
      </c>
      <c r="Z537" t="str">
        <f t="shared" si="59"/>
        <v>Mar-2025</v>
      </c>
      <c r="AA537" t="str">
        <f t="shared" si="60"/>
        <v>Q1 2025</v>
      </c>
      <c r="AB537" s="4">
        <f t="shared" ca="1" si="61"/>
        <v>461</v>
      </c>
      <c r="AC537" t="str">
        <f t="shared" si="62"/>
        <v>High</v>
      </c>
    </row>
    <row r="538" spans="1:29">
      <c r="A538" t="s">
        <v>2238</v>
      </c>
      <c r="B538" s="2">
        <v>45846</v>
      </c>
      <c r="C538" t="s">
        <v>1740</v>
      </c>
      <c r="D538" t="s">
        <v>715</v>
      </c>
      <c r="E538" t="s">
        <v>2239</v>
      </c>
      <c r="F538" t="s">
        <v>2240</v>
      </c>
      <c r="G538" t="s">
        <v>34</v>
      </c>
      <c r="H538" t="s">
        <v>60</v>
      </c>
      <c r="I538" t="s">
        <v>141</v>
      </c>
      <c r="J538" t="s">
        <v>124</v>
      </c>
      <c r="K538" t="s">
        <v>71</v>
      </c>
      <c r="L538" t="s">
        <v>142</v>
      </c>
      <c r="M538" t="s">
        <v>90</v>
      </c>
      <c r="N538" t="s">
        <v>91</v>
      </c>
      <c r="O538" s="3">
        <v>315000</v>
      </c>
      <c r="P538" s="4">
        <v>40</v>
      </c>
      <c r="Q538" s="2">
        <v>45934</v>
      </c>
      <c r="R538" s="2">
        <v>46182</v>
      </c>
      <c r="S538" s="2">
        <v>45862</v>
      </c>
      <c r="T538" s="2"/>
      <c r="U538" t="str">
        <f t="shared" si="56"/>
        <v>No</v>
      </c>
      <c r="W5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8" t="str">
        <f t="shared" ca="1" si="57"/>
        <v>Overdue</v>
      </c>
      <c r="Y538" t="str">
        <f t="shared" si="58"/>
        <v>Open</v>
      </c>
      <c r="Z538" t="str">
        <f t="shared" si="59"/>
        <v>Jul-2025</v>
      </c>
      <c r="AA538" t="str">
        <f t="shared" si="60"/>
        <v>Q3 2025</v>
      </c>
      <c r="AB538" s="4">
        <f t="shared" ca="1" si="61"/>
        <v>353</v>
      </c>
      <c r="AC538" t="str">
        <f t="shared" si="62"/>
        <v>High</v>
      </c>
    </row>
    <row r="539" spans="1:29">
      <c r="A539" t="s">
        <v>2241</v>
      </c>
      <c r="B539" s="2">
        <v>45881</v>
      </c>
      <c r="C539" t="s">
        <v>2242</v>
      </c>
      <c r="D539" t="s">
        <v>327</v>
      </c>
      <c r="E539" t="s">
        <v>2243</v>
      </c>
      <c r="F539" t="s">
        <v>2244</v>
      </c>
      <c r="G539" t="s">
        <v>47</v>
      </c>
      <c r="H539" t="s">
        <v>113</v>
      </c>
      <c r="I539" t="s">
        <v>36</v>
      </c>
      <c r="J539" t="s">
        <v>62</v>
      </c>
      <c r="K539" t="s">
        <v>100</v>
      </c>
      <c r="L539" t="s">
        <v>125</v>
      </c>
      <c r="M539" t="s">
        <v>166</v>
      </c>
      <c r="N539" t="s">
        <v>167</v>
      </c>
      <c r="O539" s="3">
        <v>325000</v>
      </c>
      <c r="P539" s="4">
        <v>70</v>
      </c>
      <c r="Q539" s="2">
        <v>45937</v>
      </c>
      <c r="R539" s="2">
        <v>46194</v>
      </c>
      <c r="S539" s="2">
        <v>45898</v>
      </c>
      <c r="T539" s="2"/>
      <c r="U539" t="str">
        <f t="shared" si="56"/>
        <v>No</v>
      </c>
      <c r="W5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39" t="str">
        <f t="shared" ca="1" si="57"/>
        <v>Overdue</v>
      </c>
      <c r="Y539" t="str">
        <f t="shared" si="58"/>
        <v>Open</v>
      </c>
      <c r="Z539" t="str">
        <f t="shared" si="59"/>
        <v>Aug-2025</v>
      </c>
      <c r="AA539" t="str">
        <f t="shared" si="60"/>
        <v>Q3 2025</v>
      </c>
      <c r="AB539" s="4">
        <f t="shared" ca="1" si="61"/>
        <v>318</v>
      </c>
      <c r="AC539" t="str">
        <f t="shared" si="62"/>
        <v>High</v>
      </c>
    </row>
    <row r="540" spans="1:29">
      <c r="A540" t="s">
        <v>2245</v>
      </c>
      <c r="B540" s="2">
        <v>45819</v>
      </c>
      <c r="C540" t="s">
        <v>2246</v>
      </c>
      <c r="D540" t="s">
        <v>697</v>
      </c>
      <c r="E540" t="s">
        <v>2247</v>
      </c>
      <c r="F540" t="s">
        <v>2248</v>
      </c>
      <c r="G540" t="s">
        <v>69</v>
      </c>
      <c r="H540" t="s">
        <v>70</v>
      </c>
      <c r="I540" t="s">
        <v>148</v>
      </c>
      <c r="J540" t="s">
        <v>131</v>
      </c>
      <c r="K540" t="s">
        <v>38</v>
      </c>
      <c r="L540" t="s">
        <v>107</v>
      </c>
      <c r="M540" t="s">
        <v>53</v>
      </c>
      <c r="N540" t="s">
        <v>54</v>
      </c>
      <c r="O540" s="3">
        <v>375000</v>
      </c>
      <c r="P540" s="4">
        <v>30</v>
      </c>
      <c r="Q540" s="2">
        <v>45879</v>
      </c>
      <c r="R540" s="2">
        <v>46242</v>
      </c>
      <c r="S540" s="2">
        <v>45839</v>
      </c>
      <c r="T540" s="2"/>
      <c r="U540" t="str">
        <f t="shared" si="56"/>
        <v>No</v>
      </c>
      <c r="W5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0" t="str">
        <f t="shared" ca="1" si="57"/>
        <v>Due/Open</v>
      </c>
      <c r="Y540" t="str">
        <f t="shared" si="58"/>
        <v>Open</v>
      </c>
      <c r="Z540" t="str">
        <f t="shared" si="59"/>
        <v>Jun-2025</v>
      </c>
      <c r="AA540" t="str">
        <f t="shared" si="60"/>
        <v>Q2 2025</v>
      </c>
      <c r="AB540" s="4">
        <f t="shared" ca="1" si="61"/>
        <v>380</v>
      </c>
      <c r="AC540" t="str">
        <f t="shared" si="62"/>
        <v>High</v>
      </c>
    </row>
    <row r="541" spans="1:29">
      <c r="A541" t="s">
        <v>2249</v>
      </c>
      <c r="B541" s="2">
        <v>45795</v>
      </c>
      <c r="C541" t="s">
        <v>2250</v>
      </c>
      <c r="D541" t="s">
        <v>779</v>
      </c>
      <c r="E541" t="s">
        <v>2251</v>
      </c>
      <c r="F541" t="s">
        <v>2252</v>
      </c>
      <c r="G541" t="s">
        <v>179</v>
      </c>
      <c r="H541" t="s">
        <v>318</v>
      </c>
      <c r="I541" t="s">
        <v>187</v>
      </c>
      <c r="J541" t="s">
        <v>124</v>
      </c>
      <c r="K541" t="s">
        <v>100</v>
      </c>
      <c r="L541" t="s">
        <v>115</v>
      </c>
      <c r="M541" t="s">
        <v>40</v>
      </c>
      <c r="N541" t="s">
        <v>41</v>
      </c>
      <c r="O541" s="3">
        <v>225000</v>
      </c>
      <c r="P541" s="4">
        <v>100</v>
      </c>
      <c r="Q541" s="2">
        <v>45815</v>
      </c>
      <c r="R541" s="2"/>
      <c r="S541" s="2">
        <v>45804</v>
      </c>
      <c r="T541" s="2">
        <v>45815</v>
      </c>
      <c r="U541" t="str">
        <f t="shared" si="56"/>
        <v>Yes</v>
      </c>
      <c r="W5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541" t="str">
        <f t="shared" ca="1" si="57"/>
        <v>Closed</v>
      </c>
      <c r="Y541" t="str">
        <f t="shared" si="58"/>
        <v>Closed</v>
      </c>
      <c r="Z541" t="str">
        <f t="shared" si="59"/>
        <v>May-2025</v>
      </c>
      <c r="AA541" t="str">
        <f t="shared" si="60"/>
        <v>Q2 2025</v>
      </c>
      <c r="AB541" s="4">
        <f t="shared" ca="1" si="61"/>
        <v>404</v>
      </c>
      <c r="AC541" t="str">
        <f t="shared" si="62"/>
        <v>Medium</v>
      </c>
    </row>
    <row r="542" spans="1:29">
      <c r="A542" t="s">
        <v>2253</v>
      </c>
      <c r="B542" s="2">
        <v>46123</v>
      </c>
      <c r="C542" t="s">
        <v>2254</v>
      </c>
      <c r="D542" t="s">
        <v>357</v>
      </c>
      <c r="E542" t="s">
        <v>2255</v>
      </c>
      <c r="F542" t="s">
        <v>2256</v>
      </c>
      <c r="G542" t="s">
        <v>47</v>
      </c>
      <c r="H542" t="s">
        <v>113</v>
      </c>
      <c r="I542" t="s">
        <v>98</v>
      </c>
      <c r="J542" t="s">
        <v>131</v>
      </c>
      <c r="K542" t="s">
        <v>114</v>
      </c>
      <c r="L542" t="s">
        <v>142</v>
      </c>
      <c r="M542" t="s">
        <v>53</v>
      </c>
      <c r="N542" t="s">
        <v>54</v>
      </c>
      <c r="O542" s="3">
        <v>215000</v>
      </c>
      <c r="P542" s="4">
        <v>25</v>
      </c>
      <c r="Q542" s="2">
        <v>46163</v>
      </c>
      <c r="R542" s="2">
        <v>46217</v>
      </c>
      <c r="S542" s="2">
        <v>46150</v>
      </c>
      <c r="T542" s="2"/>
      <c r="U542" t="str">
        <f t="shared" si="56"/>
        <v>No</v>
      </c>
      <c r="W5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2" t="str">
        <f t="shared" ca="1" si="57"/>
        <v>Due/Open</v>
      </c>
      <c r="Y542" t="str">
        <f t="shared" si="58"/>
        <v>Open</v>
      </c>
      <c r="Z542" t="str">
        <f t="shared" si="59"/>
        <v>Apr-2026</v>
      </c>
      <c r="AA542" t="str">
        <f t="shared" si="60"/>
        <v>Q2 2026</v>
      </c>
      <c r="AB542" s="4">
        <f t="shared" ca="1" si="61"/>
        <v>76</v>
      </c>
      <c r="AC542" t="str">
        <f t="shared" si="62"/>
        <v>Medium</v>
      </c>
    </row>
    <row r="543" spans="1:29">
      <c r="A543" t="s">
        <v>2257</v>
      </c>
      <c r="B543" s="2">
        <v>46117</v>
      </c>
      <c r="C543" t="s">
        <v>370</v>
      </c>
      <c r="D543" t="s">
        <v>914</v>
      </c>
      <c r="E543" t="s">
        <v>2258</v>
      </c>
      <c r="F543" t="s">
        <v>2259</v>
      </c>
      <c r="G543" t="s">
        <v>69</v>
      </c>
      <c r="H543" t="s">
        <v>70</v>
      </c>
      <c r="I543" t="s">
        <v>123</v>
      </c>
      <c r="J543" t="s">
        <v>62</v>
      </c>
      <c r="K543" t="s">
        <v>71</v>
      </c>
      <c r="L543" t="s">
        <v>125</v>
      </c>
      <c r="M543" t="s">
        <v>53</v>
      </c>
      <c r="N543" t="s">
        <v>54</v>
      </c>
      <c r="O543" s="3">
        <v>235000</v>
      </c>
      <c r="P543" s="4">
        <v>25</v>
      </c>
      <c r="Q543" s="2">
        <v>46155</v>
      </c>
      <c r="R543" s="2">
        <v>46159</v>
      </c>
      <c r="S543" s="2">
        <v>46142</v>
      </c>
      <c r="T543" s="2"/>
      <c r="U543" t="str">
        <f t="shared" si="56"/>
        <v>No</v>
      </c>
      <c r="W5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3" t="str">
        <f t="shared" ca="1" si="57"/>
        <v>Overdue</v>
      </c>
      <c r="Y543" t="str">
        <f t="shared" si="58"/>
        <v>Open</v>
      </c>
      <c r="Z543" t="str">
        <f t="shared" si="59"/>
        <v>Apr-2026</v>
      </c>
      <c r="AA543" t="str">
        <f t="shared" si="60"/>
        <v>Q2 2026</v>
      </c>
      <c r="AB543" s="4">
        <f t="shared" ca="1" si="61"/>
        <v>82</v>
      </c>
      <c r="AC543" t="str">
        <f t="shared" si="62"/>
        <v>Medium</v>
      </c>
    </row>
    <row r="544" spans="1:29">
      <c r="A544" t="s">
        <v>2260</v>
      </c>
      <c r="B544" s="2">
        <v>45889</v>
      </c>
      <c r="C544" t="s">
        <v>2261</v>
      </c>
      <c r="D544" t="s">
        <v>934</v>
      </c>
      <c r="E544" t="s">
        <v>2262</v>
      </c>
      <c r="F544" t="s">
        <v>2263</v>
      </c>
      <c r="G544" t="s">
        <v>47</v>
      </c>
      <c r="H544" t="s">
        <v>493</v>
      </c>
      <c r="I544" t="s">
        <v>98</v>
      </c>
      <c r="J544" t="s">
        <v>124</v>
      </c>
      <c r="K544" t="s">
        <v>38</v>
      </c>
      <c r="L544" t="s">
        <v>39</v>
      </c>
      <c r="M544" t="s">
        <v>166</v>
      </c>
      <c r="N544" t="s">
        <v>167</v>
      </c>
      <c r="O544" s="3">
        <v>90000</v>
      </c>
      <c r="P544" s="4">
        <v>70</v>
      </c>
      <c r="Q544" s="2">
        <v>45954</v>
      </c>
      <c r="R544" s="2">
        <v>46186</v>
      </c>
      <c r="S544" s="2">
        <v>45909</v>
      </c>
      <c r="T544" s="2"/>
      <c r="U544" t="str">
        <f t="shared" si="56"/>
        <v>No</v>
      </c>
      <c r="W5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4" t="str">
        <f t="shared" ca="1" si="57"/>
        <v>Overdue</v>
      </c>
      <c r="Y544" t="str">
        <f t="shared" si="58"/>
        <v>Open</v>
      </c>
      <c r="Z544" t="str">
        <f t="shared" si="59"/>
        <v>Aug-2025</v>
      </c>
      <c r="AA544" t="str">
        <f t="shared" si="60"/>
        <v>Q3 2025</v>
      </c>
      <c r="AB544" s="4">
        <f t="shared" ca="1" si="61"/>
        <v>310</v>
      </c>
      <c r="AC544" t="str">
        <f t="shared" si="62"/>
        <v>Low</v>
      </c>
    </row>
    <row r="545" spans="1:29">
      <c r="A545" t="s">
        <v>2264</v>
      </c>
      <c r="B545" s="2">
        <v>46084</v>
      </c>
      <c r="C545" t="s">
        <v>2265</v>
      </c>
      <c r="D545" t="s">
        <v>1148</v>
      </c>
      <c r="E545" t="s">
        <v>2266</v>
      </c>
      <c r="F545" t="s">
        <v>2267</v>
      </c>
      <c r="G545" t="s">
        <v>179</v>
      </c>
      <c r="H545" t="s">
        <v>487</v>
      </c>
      <c r="I545" t="s">
        <v>36</v>
      </c>
      <c r="J545" t="s">
        <v>99</v>
      </c>
      <c r="K545" t="s">
        <v>38</v>
      </c>
      <c r="L545" t="s">
        <v>52</v>
      </c>
      <c r="M545" t="s">
        <v>116</v>
      </c>
      <c r="N545" t="s">
        <v>54</v>
      </c>
      <c r="O545" s="3">
        <v>700000</v>
      </c>
      <c r="P545" s="4">
        <v>15</v>
      </c>
      <c r="Q545" s="2">
        <v>46173</v>
      </c>
      <c r="R545" s="2">
        <v>46217</v>
      </c>
      <c r="S545" s="2">
        <v>46097</v>
      </c>
      <c r="T545" s="2"/>
      <c r="U545" t="str">
        <f t="shared" si="56"/>
        <v>No</v>
      </c>
      <c r="W5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5" t="str">
        <f t="shared" ca="1" si="57"/>
        <v>Due/Open</v>
      </c>
      <c r="Y545" t="str">
        <f t="shared" si="58"/>
        <v>Open</v>
      </c>
      <c r="Z545" t="str">
        <f t="shared" si="59"/>
        <v>Mar-2026</v>
      </c>
      <c r="AA545" t="str">
        <f t="shared" si="60"/>
        <v>Q1 2026</v>
      </c>
      <c r="AB545" s="4">
        <f t="shared" ca="1" si="61"/>
        <v>115</v>
      </c>
      <c r="AC545" t="str">
        <f t="shared" si="62"/>
        <v>High</v>
      </c>
    </row>
    <row r="546" spans="1:29">
      <c r="A546" t="s">
        <v>2268</v>
      </c>
      <c r="B546" s="2">
        <v>45869</v>
      </c>
      <c r="C546" t="s">
        <v>144</v>
      </c>
      <c r="D546" t="s">
        <v>1086</v>
      </c>
      <c r="E546" t="s">
        <v>2269</v>
      </c>
      <c r="F546" t="s">
        <v>2270</v>
      </c>
      <c r="G546" t="s">
        <v>47</v>
      </c>
      <c r="H546" t="s">
        <v>48</v>
      </c>
      <c r="I546" t="s">
        <v>98</v>
      </c>
      <c r="J546" t="s">
        <v>99</v>
      </c>
      <c r="K546" t="s">
        <v>51</v>
      </c>
      <c r="L546" t="s">
        <v>81</v>
      </c>
      <c r="M546" t="s">
        <v>90</v>
      </c>
      <c r="N546" t="s">
        <v>91</v>
      </c>
      <c r="O546" s="3">
        <v>165000</v>
      </c>
      <c r="P546" s="4">
        <v>40</v>
      </c>
      <c r="Q546" s="2">
        <v>45943</v>
      </c>
      <c r="R546" s="2">
        <v>46222</v>
      </c>
      <c r="S546" s="2">
        <v>45887</v>
      </c>
      <c r="T546" s="2"/>
      <c r="U546" t="str">
        <f t="shared" si="56"/>
        <v>No</v>
      </c>
      <c r="W5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6" t="str">
        <f t="shared" ca="1" si="57"/>
        <v>Due/Open</v>
      </c>
      <c r="Y546" t="str">
        <f t="shared" si="58"/>
        <v>Open</v>
      </c>
      <c r="Z546" t="str">
        <f t="shared" si="59"/>
        <v>Jul-2025</v>
      </c>
      <c r="AA546" t="str">
        <f t="shared" si="60"/>
        <v>Q3 2025</v>
      </c>
      <c r="AB546" s="4">
        <f t="shared" ca="1" si="61"/>
        <v>330</v>
      </c>
      <c r="AC546" t="str">
        <f t="shared" si="62"/>
        <v>Medium</v>
      </c>
    </row>
    <row r="547" spans="1:29">
      <c r="A547" t="s">
        <v>2271</v>
      </c>
      <c r="B547" s="2">
        <v>46122</v>
      </c>
      <c r="C547" t="s">
        <v>1342</v>
      </c>
      <c r="D547" t="s">
        <v>428</v>
      </c>
      <c r="E547" t="s">
        <v>2272</v>
      </c>
      <c r="F547" t="s">
        <v>2273</v>
      </c>
      <c r="G547" t="s">
        <v>69</v>
      </c>
      <c r="H547" t="s">
        <v>200</v>
      </c>
      <c r="I547" t="s">
        <v>148</v>
      </c>
      <c r="J547" t="s">
        <v>124</v>
      </c>
      <c r="K547" t="s">
        <v>100</v>
      </c>
      <c r="L547" t="s">
        <v>39</v>
      </c>
      <c r="M547" t="s">
        <v>82</v>
      </c>
      <c r="N547" t="s">
        <v>83</v>
      </c>
      <c r="O547" s="3">
        <v>345000</v>
      </c>
      <c r="P547" s="4">
        <v>10</v>
      </c>
      <c r="Q547" s="2">
        <v>46181</v>
      </c>
      <c r="R547" s="2">
        <v>46234</v>
      </c>
      <c r="S547" s="2">
        <v>46135</v>
      </c>
      <c r="T547" s="2"/>
      <c r="U547" t="str">
        <f t="shared" si="56"/>
        <v>No</v>
      </c>
      <c r="W5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7" t="str">
        <f t="shared" ca="1" si="57"/>
        <v>Due/Open</v>
      </c>
      <c r="Y547" t="str">
        <f t="shared" si="58"/>
        <v>Open</v>
      </c>
      <c r="Z547" t="str">
        <f t="shared" si="59"/>
        <v>Apr-2026</v>
      </c>
      <c r="AA547" t="str">
        <f t="shared" si="60"/>
        <v>Q2 2026</v>
      </c>
      <c r="AB547" s="4">
        <f t="shared" ca="1" si="61"/>
        <v>77</v>
      </c>
      <c r="AC547" t="str">
        <f t="shared" si="62"/>
        <v>High</v>
      </c>
    </row>
    <row r="548" spans="1:29">
      <c r="A548" t="s">
        <v>2274</v>
      </c>
      <c r="B548" s="2">
        <v>45757</v>
      </c>
      <c r="C548" t="s">
        <v>542</v>
      </c>
      <c r="D548" t="s">
        <v>2231</v>
      </c>
      <c r="E548" t="s">
        <v>2275</v>
      </c>
      <c r="F548" t="s">
        <v>2276</v>
      </c>
      <c r="G548" t="s">
        <v>79</v>
      </c>
      <c r="H548" t="s">
        <v>260</v>
      </c>
      <c r="I548" t="s">
        <v>148</v>
      </c>
      <c r="J548" t="s">
        <v>62</v>
      </c>
      <c r="K548" t="s">
        <v>51</v>
      </c>
      <c r="L548" t="s">
        <v>39</v>
      </c>
      <c r="M548" t="s">
        <v>53</v>
      </c>
      <c r="N548" t="s">
        <v>54</v>
      </c>
      <c r="O548" s="3">
        <v>310000</v>
      </c>
      <c r="P548" s="4">
        <v>30</v>
      </c>
      <c r="Q548" s="2">
        <v>45794</v>
      </c>
      <c r="R548" s="2">
        <v>46189</v>
      </c>
      <c r="S548" s="2">
        <v>45784</v>
      </c>
      <c r="T548" s="2"/>
      <c r="U548" t="str">
        <f t="shared" si="56"/>
        <v>No</v>
      </c>
      <c r="W5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8" t="str">
        <f t="shared" ca="1" si="57"/>
        <v>Overdue</v>
      </c>
      <c r="Y548" t="str">
        <f t="shared" si="58"/>
        <v>Open</v>
      </c>
      <c r="Z548" t="str">
        <f t="shared" si="59"/>
        <v>Apr-2025</v>
      </c>
      <c r="AA548" t="str">
        <f t="shared" si="60"/>
        <v>Q2 2025</v>
      </c>
      <c r="AB548" s="4">
        <f t="shared" ca="1" si="61"/>
        <v>442</v>
      </c>
      <c r="AC548" t="str">
        <f t="shared" si="62"/>
        <v>High</v>
      </c>
    </row>
    <row r="549" spans="1:29">
      <c r="A549" t="s">
        <v>2277</v>
      </c>
      <c r="B549" s="2">
        <v>45973</v>
      </c>
      <c r="C549" t="s">
        <v>1342</v>
      </c>
      <c r="D549" t="s">
        <v>119</v>
      </c>
      <c r="E549" t="s">
        <v>2278</v>
      </c>
      <c r="F549" t="s">
        <v>2279</v>
      </c>
      <c r="G549" t="s">
        <v>69</v>
      </c>
      <c r="H549" t="s">
        <v>312</v>
      </c>
      <c r="I549" t="s">
        <v>141</v>
      </c>
      <c r="J549" t="s">
        <v>37</v>
      </c>
      <c r="K549" t="s">
        <v>51</v>
      </c>
      <c r="L549" t="s">
        <v>142</v>
      </c>
      <c r="M549" t="s">
        <v>73</v>
      </c>
      <c r="N549" t="s">
        <v>73</v>
      </c>
      <c r="O549" s="3">
        <v>55000</v>
      </c>
      <c r="P549" s="4">
        <v>80</v>
      </c>
      <c r="Q549" s="2">
        <v>46016</v>
      </c>
      <c r="R549" s="2">
        <v>46236</v>
      </c>
      <c r="S549" s="2">
        <v>45998</v>
      </c>
      <c r="T549" s="2"/>
      <c r="U549" t="str">
        <f t="shared" si="56"/>
        <v>No</v>
      </c>
      <c r="W5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49" t="str">
        <f t="shared" ca="1" si="57"/>
        <v>Due/Open</v>
      </c>
      <c r="Y549" t="str">
        <f t="shared" si="58"/>
        <v>Open</v>
      </c>
      <c r="Z549" t="str">
        <f t="shared" si="59"/>
        <v>Nov-2025</v>
      </c>
      <c r="AA549" t="str">
        <f t="shared" si="60"/>
        <v>Q4 2025</v>
      </c>
      <c r="AB549" s="4">
        <f t="shared" ca="1" si="61"/>
        <v>226</v>
      </c>
      <c r="AC549" t="str">
        <f t="shared" si="62"/>
        <v>Low</v>
      </c>
    </row>
    <row r="550" spans="1:29">
      <c r="A550" t="s">
        <v>2280</v>
      </c>
      <c r="B550" s="2">
        <v>46078</v>
      </c>
      <c r="C550" t="s">
        <v>2281</v>
      </c>
      <c r="D550" t="s">
        <v>1017</v>
      </c>
      <c r="E550" t="s">
        <v>2282</v>
      </c>
      <c r="F550" t="s">
        <v>2283</v>
      </c>
      <c r="G550" t="s">
        <v>47</v>
      </c>
      <c r="H550" t="s">
        <v>493</v>
      </c>
      <c r="I550" t="s">
        <v>49</v>
      </c>
      <c r="J550" t="s">
        <v>131</v>
      </c>
      <c r="K550" t="s">
        <v>100</v>
      </c>
      <c r="L550" t="s">
        <v>154</v>
      </c>
      <c r="M550" t="s">
        <v>166</v>
      </c>
      <c r="N550" t="s">
        <v>167</v>
      </c>
      <c r="O550" s="3">
        <v>145000</v>
      </c>
      <c r="P550" s="4">
        <v>60</v>
      </c>
      <c r="Q550" s="2">
        <v>46153</v>
      </c>
      <c r="R550" s="2">
        <v>46237</v>
      </c>
      <c r="S550" s="2">
        <v>46093</v>
      </c>
      <c r="T550" s="2"/>
      <c r="U550" t="str">
        <f t="shared" si="56"/>
        <v>No</v>
      </c>
      <c r="W5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0" t="str">
        <f t="shared" ca="1" si="57"/>
        <v>Due/Open</v>
      </c>
      <c r="Y550" t="str">
        <f t="shared" si="58"/>
        <v>Open</v>
      </c>
      <c r="Z550" t="str">
        <f t="shared" si="59"/>
        <v>Feb-2026</v>
      </c>
      <c r="AA550" t="str">
        <f t="shared" si="60"/>
        <v>Q1 2026</v>
      </c>
      <c r="AB550" s="4">
        <f t="shared" ca="1" si="61"/>
        <v>121</v>
      </c>
      <c r="AC550" t="str">
        <f t="shared" si="62"/>
        <v>Medium</v>
      </c>
    </row>
    <row r="551" spans="1:29">
      <c r="A551" t="s">
        <v>2284</v>
      </c>
      <c r="B551" s="2">
        <v>46010</v>
      </c>
      <c r="C551" t="s">
        <v>2285</v>
      </c>
      <c r="D551" t="s">
        <v>1086</v>
      </c>
      <c r="E551" t="s">
        <v>2286</v>
      </c>
      <c r="F551" t="s">
        <v>2287</v>
      </c>
      <c r="G551" t="s">
        <v>34</v>
      </c>
      <c r="H551" t="s">
        <v>60</v>
      </c>
      <c r="I551" t="s">
        <v>187</v>
      </c>
      <c r="J551" t="s">
        <v>131</v>
      </c>
      <c r="K551" t="s">
        <v>114</v>
      </c>
      <c r="L551" t="s">
        <v>132</v>
      </c>
      <c r="M551" t="s">
        <v>133</v>
      </c>
      <c r="N551" t="s">
        <v>134</v>
      </c>
      <c r="O551" s="3">
        <v>230000</v>
      </c>
      <c r="P551" s="4">
        <v>0</v>
      </c>
      <c r="Q551" s="2">
        <v>46035</v>
      </c>
      <c r="R551" s="2"/>
      <c r="S551" s="2">
        <v>46030</v>
      </c>
      <c r="T551" s="2">
        <v>46035</v>
      </c>
      <c r="U551" t="str">
        <f t="shared" si="56"/>
        <v>No</v>
      </c>
      <c r="V551" t="s">
        <v>276</v>
      </c>
      <c r="W55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551" t="str">
        <f t="shared" ca="1" si="57"/>
        <v>Closed</v>
      </c>
      <c r="Y551" t="str">
        <f t="shared" si="58"/>
        <v>Closed</v>
      </c>
      <c r="Z551" t="str">
        <f t="shared" si="59"/>
        <v>Dec-2025</v>
      </c>
      <c r="AA551" t="str">
        <f t="shared" si="60"/>
        <v>Q4 2025</v>
      </c>
      <c r="AB551" s="4">
        <f t="shared" ca="1" si="61"/>
        <v>189</v>
      </c>
      <c r="AC551" t="str">
        <f t="shared" si="62"/>
        <v>Medium</v>
      </c>
    </row>
    <row r="552" spans="1:29">
      <c r="A552" t="s">
        <v>2288</v>
      </c>
      <c r="B552" s="2">
        <v>45929</v>
      </c>
      <c r="C552" t="s">
        <v>2289</v>
      </c>
      <c r="D552" t="s">
        <v>779</v>
      </c>
      <c r="E552" t="s">
        <v>2290</v>
      </c>
      <c r="F552" t="s">
        <v>2291</v>
      </c>
      <c r="G552" t="s">
        <v>47</v>
      </c>
      <c r="H552" t="s">
        <v>493</v>
      </c>
      <c r="I552" t="s">
        <v>98</v>
      </c>
      <c r="J552" t="s">
        <v>50</v>
      </c>
      <c r="K552" t="s">
        <v>38</v>
      </c>
      <c r="L552" t="s">
        <v>52</v>
      </c>
      <c r="M552" t="s">
        <v>73</v>
      </c>
      <c r="N552" t="s">
        <v>73</v>
      </c>
      <c r="O552" s="3">
        <v>530000</v>
      </c>
      <c r="P552" s="4">
        <v>75</v>
      </c>
      <c r="Q552" s="2">
        <v>46004</v>
      </c>
      <c r="R552" s="2">
        <v>46154</v>
      </c>
      <c r="S552" s="2">
        <v>45948</v>
      </c>
      <c r="T552" s="2"/>
      <c r="U552" t="str">
        <f t="shared" si="56"/>
        <v>No</v>
      </c>
      <c r="W5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2" t="str">
        <f t="shared" ca="1" si="57"/>
        <v>Overdue</v>
      </c>
      <c r="Y552" t="str">
        <f t="shared" si="58"/>
        <v>Open</v>
      </c>
      <c r="Z552" t="str">
        <f t="shared" si="59"/>
        <v>Sep-2025</v>
      </c>
      <c r="AA552" t="str">
        <f t="shared" si="60"/>
        <v>Q3 2025</v>
      </c>
      <c r="AB552" s="4">
        <f t="shared" ca="1" si="61"/>
        <v>270</v>
      </c>
      <c r="AC552" t="str">
        <f t="shared" si="62"/>
        <v>High</v>
      </c>
    </row>
    <row r="553" spans="1:29">
      <c r="A553" t="s">
        <v>2292</v>
      </c>
      <c r="B553" s="2">
        <v>46164</v>
      </c>
      <c r="C553" t="s">
        <v>1261</v>
      </c>
      <c r="D553" t="s">
        <v>1093</v>
      </c>
      <c r="E553" t="s">
        <v>2293</v>
      </c>
      <c r="F553" t="s">
        <v>2294</v>
      </c>
      <c r="G553" t="s">
        <v>34</v>
      </c>
      <c r="H553" t="s">
        <v>238</v>
      </c>
      <c r="I553" t="s">
        <v>98</v>
      </c>
      <c r="J553" t="s">
        <v>131</v>
      </c>
      <c r="K553" t="s">
        <v>71</v>
      </c>
      <c r="L553" t="s">
        <v>239</v>
      </c>
      <c r="M553" t="s">
        <v>133</v>
      </c>
      <c r="N553" t="s">
        <v>134</v>
      </c>
      <c r="O553" s="3">
        <v>115000</v>
      </c>
      <c r="P553" s="4">
        <v>0</v>
      </c>
      <c r="Q553" s="2">
        <v>46193</v>
      </c>
      <c r="R553" s="2"/>
      <c r="S553" s="2">
        <v>46184</v>
      </c>
      <c r="T553" s="2">
        <v>46193</v>
      </c>
      <c r="U553" t="str">
        <f t="shared" si="56"/>
        <v>No</v>
      </c>
      <c r="V553" t="s">
        <v>276</v>
      </c>
      <c r="W55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553" t="str">
        <f t="shared" ca="1" si="57"/>
        <v>Closed</v>
      </c>
      <c r="Y553" t="str">
        <f t="shared" si="58"/>
        <v>Closed</v>
      </c>
      <c r="Z553" t="str">
        <f t="shared" si="59"/>
        <v>May-2026</v>
      </c>
      <c r="AA553" t="str">
        <f t="shared" si="60"/>
        <v>Q2 2026</v>
      </c>
      <c r="AB553" s="4">
        <f t="shared" ca="1" si="61"/>
        <v>35</v>
      </c>
      <c r="AC553" t="str">
        <f t="shared" si="62"/>
        <v>Low</v>
      </c>
    </row>
    <row r="554" spans="1:29">
      <c r="A554" t="s">
        <v>2295</v>
      </c>
      <c r="B554" s="2">
        <v>46143</v>
      </c>
      <c r="C554" t="s">
        <v>1034</v>
      </c>
      <c r="D554" t="s">
        <v>943</v>
      </c>
      <c r="E554" t="s">
        <v>2296</v>
      </c>
      <c r="F554" t="s">
        <v>2297</v>
      </c>
      <c r="G554" t="s">
        <v>69</v>
      </c>
      <c r="H554" t="s">
        <v>285</v>
      </c>
      <c r="I554" t="s">
        <v>49</v>
      </c>
      <c r="J554" t="s">
        <v>62</v>
      </c>
      <c r="K554" t="s">
        <v>71</v>
      </c>
      <c r="L554" t="s">
        <v>142</v>
      </c>
      <c r="M554" t="s">
        <v>133</v>
      </c>
      <c r="N554" t="s">
        <v>134</v>
      </c>
      <c r="O554" s="3">
        <v>180000</v>
      </c>
      <c r="P554" s="4">
        <v>0</v>
      </c>
      <c r="Q554" s="2">
        <v>46173</v>
      </c>
      <c r="R554" s="2"/>
      <c r="S554" s="2">
        <v>46155</v>
      </c>
      <c r="T554" s="2">
        <v>46173</v>
      </c>
      <c r="U554" t="str">
        <f t="shared" si="56"/>
        <v>No</v>
      </c>
      <c r="V554" t="s">
        <v>1105</v>
      </c>
      <c r="W55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30</v>
      </c>
      <c r="X554" t="str">
        <f t="shared" ca="1" si="57"/>
        <v>Closed</v>
      </c>
      <c r="Y554" t="str">
        <f t="shared" si="58"/>
        <v>Closed</v>
      </c>
      <c r="Z554" t="str">
        <f t="shared" si="59"/>
        <v>May-2026</v>
      </c>
      <c r="AA554" t="str">
        <f t="shared" si="60"/>
        <v>Q2 2026</v>
      </c>
      <c r="AB554" s="4">
        <f t="shared" ca="1" si="61"/>
        <v>56</v>
      </c>
      <c r="AC554" t="str">
        <f t="shared" si="62"/>
        <v>Medium</v>
      </c>
    </row>
    <row r="555" spans="1:29">
      <c r="A555" t="s">
        <v>2298</v>
      </c>
      <c r="B555" s="2">
        <v>46071</v>
      </c>
      <c r="C555" t="s">
        <v>379</v>
      </c>
      <c r="D555" t="s">
        <v>252</v>
      </c>
      <c r="E555" t="s">
        <v>2299</v>
      </c>
      <c r="F555" t="s">
        <v>2300</v>
      </c>
      <c r="G555" t="s">
        <v>34</v>
      </c>
      <c r="H555" t="s">
        <v>35</v>
      </c>
      <c r="I555" t="s">
        <v>36</v>
      </c>
      <c r="J555" t="s">
        <v>37</v>
      </c>
      <c r="K555" t="s">
        <v>100</v>
      </c>
      <c r="L555" t="s">
        <v>52</v>
      </c>
      <c r="M555" t="s">
        <v>116</v>
      </c>
      <c r="N555" t="s">
        <v>54</v>
      </c>
      <c r="O555" s="3">
        <v>90000</v>
      </c>
      <c r="P555" s="4">
        <v>20</v>
      </c>
      <c r="Q555" s="2">
        <v>46166</v>
      </c>
      <c r="R555" s="2">
        <v>46163</v>
      </c>
      <c r="S555" s="2">
        <v>46091</v>
      </c>
      <c r="T555" s="2"/>
      <c r="U555" t="str">
        <f t="shared" si="56"/>
        <v>No</v>
      </c>
      <c r="W5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5" t="str">
        <f t="shared" ca="1" si="57"/>
        <v>Overdue</v>
      </c>
      <c r="Y555" t="str">
        <f t="shared" si="58"/>
        <v>Open</v>
      </c>
      <c r="Z555" t="str">
        <f t="shared" si="59"/>
        <v>Feb-2026</v>
      </c>
      <c r="AA555" t="str">
        <f t="shared" si="60"/>
        <v>Q1 2026</v>
      </c>
      <c r="AB555" s="4">
        <f t="shared" ca="1" si="61"/>
        <v>128</v>
      </c>
      <c r="AC555" t="str">
        <f t="shared" si="62"/>
        <v>Low</v>
      </c>
    </row>
    <row r="556" spans="1:29">
      <c r="A556" t="s">
        <v>2301</v>
      </c>
      <c r="B556" s="2">
        <v>45871</v>
      </c>
      <c r="C556" t="s">
        <v>2222</v>
      </c>
      <c r="D556" t="s">
        <v>31</v>
      </c>
      <c r="E556" t="s">
        <v>2302</v>
      </c>
      <c r="F556" t="s">
        <v>2303</v>
      </c>
      <c r="G556" t="s">
        <v>69</v>
      </c>
      <c r="H556" t="s">
        <v>200</v>
      </c>
      <c r="I556" t="s">
        <v>141</v>
      </c>
      <c r="J556" t="s">
        <v>62</v>
      </c>
      <c r="K556" t="s">
        <v>51</v>
      </c>
      <c r="L556" t="s">
        <v>132</v>
      </c>
      <c r="M556" t="s">
        <v>90</v>
      </c>
      <c r="N556" t="s">
        <v>91</v>
      </c>
      <c r="O556" s="3">
        <v>215000</v>
      </c>
      <c r="P556" s="4">
        <v>55</v>
      </c>
      <c r="Q556" s="2">
        <v>45927</v>
      </c>
      <c r="R556" s="2">
        <v>46167</v>
      </c>
      <c r="S556" s="2">
        <v>45883</v>
      </c>
      <c r="T556" s="2"/>
      <c r="U556" t="str">
        <f t="shared" si="56"/>
        <v>No</v>
      </c>
      <c r="W5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6" t="str">
        <f t="shared" ca="1" si="57"/>
        <v>Overdue</v>
      </c>
      <c r="Y556" t="str">
        <f t="shared" si="58"/>
        <v>Open</v>
      </c>
      <c r="Z556" t="str">
        <f t="shared" si="59"/>
        <v>Aug-2025</v>
      </c>
      <c r="AA556" t="str">
        <f t="shared" si="60"/>
        <v>Q3 2025</v>
      </c>
      <c r="AB556" s="4">
        <f t="shared" ca="1" si="61"/>
        <v>328</v>
      </c>
      <c r="AC556" t="str">
        <f t="shared" si="62"/>
        <v>Medium</v>
      </c>
    </row>
    <row r="557" spans="1:29">
      <c r="A557" t="s">
        <v>2304</v>
      </c>
      <c r="B557" s="2">
        <v>45684</v>
      </c>
      <c r="C557" t="s">
        <v>2305</v>
      </c>
      <c r="D557" t="s">
        <v>214</v>
      </c>
      <c r="E557" t="s">
        <v>2306</v>
      </c>
      <c r="F557" t="s">
        <v>2307</v>
      </c>
      <c r="G557" t="s">
        <v>179</v>
      </c>
      <c r="H557" t="s">
        <v>186</v>
      </c>
      <c r="I557" t="s">
        <v>36</v>
      </c>
      <c r="J557" t="s">
        <v>50</v>
      </c>
      <c r="K557" t="s">
        <v>71</v>
      </c>
      <c r="L557" t="s">
        <v>39</v>
      </c>
      <c r="M557" t="s">
        <v>116</v>
      </c>
      <c r="N557" t="s">
        <v>54</v>
      </c>
      <c r="O557" s="3">
        <v>210000</v>
      </c>
      <c r="P557" s="4">
        <v>20</v>
      </c>
      <c r="Q557" s="2">
        <v>45747</v>
      </c>
      <c r="R557" s="2">
        <v>46187</v>
      </c>
      <c r="S557" s="2">
        <v>45696</v>
      </c>
      <c r="T557" s="2"/>
      <c r="U557" t="str">
        <f t="shared" si="56"/>
        <v>No</v>
      </c>
      <c r="W5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7" t="str">
        <f t="shared" ca="1" si="57"/>
        <v>Overdue</v>
      </c>
      <c r="Y557" t="str">
        <f t="shared" si="58"/>
        <v>Open</v>
      </c>
      <c r="Z557" t="str">
        <f t="shared" si="59"/>
        <v>Jan-2025</v>
      </c>
      <c r="AA557" t="str">
        <f t="shared" si="60"/>
        <v>Q1 2025</v>
      </c>
      <c r="AB557" s="4">
        <f t="shared" ca="1" si="61"/>
        <v>515</v>
      </c>
      <c r="AC557" t="str">
        <f t="shared" si="62"/>
        <v>Medium</v>
      </c>
    </row>
    <row r="558" spans="1:29">
      <c r="A558" t="s">
        <v>2308</v>
      </c>
      <c r="B558" s="2">
        <v>45758</v>
      </c>
      <c r="C558" t="s">
        <v>2309</v>
      </c>
      <c r="D558" t="s">
        <v>407</v>
      </c>
      <c r="E558" t="s">
        <v>2310</v>
      </c>
      <c r="F558" t="s">
        <v>2311</v>
      </c>
      <c r="G558" t="s">
        <v>79</v>
      </c>
      <c r="H558" t="s">
        <v>97</v>
      </c>
      <c r="I558" t="s">
        <v>148</v>
      </c>
      <c r="J558" t="s">
        <v>99</v>
      </c>
      <c r="K558" t="s">
        <v>51</v>
      </c>
      <c r="L558" t="s">
        <v>39</v>
      </c>
      <c r="M558" t="s">
        <v>53</v>
      </c>
      <c r="N558" t="s">
        <v>54</v>
      </c>
      <c r="O558" s="3">
        <v>300000</v>
      </c>
      <c r="P558" s="4">
        <v>25</v>
      </c>
      <c r="Q558" s="2">
        <v>45781</v>
      </c>
      <c r="R558" s="2">
        <v>46168</v>
      </c>
      <c r="S558" s="2">
        <v>45784</v>
      </c>
      <c r="T558" s="2"/>
      <c r="U558" t="str">
        <f t="shared" si="56"/>
        <v>No</v>
      </c>
      <c r="W5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58" t="str">
        <f t="shared" ca="1" si="57"/>
        <v>Overdue</v>
      </c>
      <c r="Y558" t="str">
        <f t="shared" si="58"/>
        <v>Open</v>
      </c>
      <c r="Z558" t="str">
        <f t="shared" si="59"/>
        <v>Apr-2025</v>
      </c>
      <c r="AA558" t="str">
        <f t="shared" si="60"/>
        <v>Q2 2025</v>
      </c>
      <c r="AB558" s="4">
        <f t="shared" ca="1" si="61"/>
        <v>441</v>
      </c>
      <c r="AC558" t="str">
        <f t="shared" si="62"/>
        <v>High</v>
      </c>
    </row>
    <row r="559" spans="1:29">
      <c r="A559" t="s">
        <v>2312</v>
      </c>
      <c r="B559" s="2">
        <v>46178</v>
      </c>
      <c r="C559" t="s">
        <v>1389</v>
      </c>
      <c r="D559" t="s">
        <v>1701</v>
      </c>
      <c r="E559" t="s">
        <v>2313</v>
      </c>
      <c r="F559" t="s">
        <v>2314</v>
      </c>
      <c r="G559" t="s">
        <v>79</v>
      </c>
      <c r="H559" t="s">
        <v>260</v>
      </c>
      <c r="I559" t="s">
        <v>123</v>
      </c>
      <c r="J559" t="s">
        <v>124</v>
      </c>
      <c r="K559" t="s">
        <v>100</v>
      </c>
      <c r="L559" t="s">
        <v>154</v>
      </c>
      <c r="M559" t="s">
        <v>133</v>
      </c>
      <c r="N559" t="s">
        <v>134</v>
      </c>
      <c r="O559" s="3">
        <v>185000</v>
      </c>
      <c r="P559" s="4">
        <v>0</v>
      </c>
      <c r="Q559" s="2">
        <v>46197</v>
      </c>
      <c r="R559" s="2"/>
      <c r="S559" s="2">
        <v>46185</v>
      </c>
      <c r="T559" s="2">
        <v>46197</v>
      </c>
      <c r="U559" t="str">
        <f t="shared" si="56"/>
        <v>No</v>
      </c>
      <c r="V559" t="s">
        <v>211</v>
      </c>
      <c r="W5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559" t="str">
        <f t="shared" ca="1" si="57"/>
        <v>Closed</v>
      </c>
      <c r="Y559" t="str">
        <f t="shared" si="58"/>
        <v>Closed</v>
      </c>
      <c r="Z559" t="str">
        <f t="shared" si="59"/>
        <v>Jun-2026</v>
      </c>
      <c r="AA559" t="str">
        <f t="shared" si="60"/>
        <v>Q2 2026</v>
      </c>
      <c r="AB559" s="4">
        <f t="shared" ca="1" si="61"/>
        <v>21</v>
      </c>
      <c r="AC559" t="str">
        <f t="shared" si="62"/>
        <v>Medium</v>
      </c>
    </row>
    <row r="560" spans="1:29">
      <c r="A560" t="s">
        <v>2315</v>
      </c>
      <c r="B560" s="2">
        <v>45771</v>
      </c>
      <c r="C560" t="s">
        <v>379</v>
      </c>
      <c r="D560" t="s">
        <v>1269</v>
      </c>
      <c r="E560" t="s">
        <v>2316</v>
      </c>
      <c r="F560" t="s">
        <v>2317</v>
      </c>
      <c r="G560" t="s">
        <v>47</v>
      </c>
      <c r="H560" t="s">
        <v>418</v>
      </c>
      <c r="I560" t="s">
        <v>141</v>
      </c>
      <c r="J560" t="s">
        <v>131</v>
      </c>
      <c r="K560" t="s">
        <v>114</v>
      </c>
      <c r="L560" t="s">
        <v>115</v>
      </c>
      <c r="M560" t="s">
        <v>40</v>
      </c>
      <c r="N560" t="s">
        <v>41</v>
      </c>
      <c r="O560" s="3">
        <v>200000</v>
      </c>
      <c r="P560" s="4">
        <v>100</v>
      </c>
      <c r="Q560" s="2">
        <v>45817</v>
      </c>
      <c r="R560" s="2"/>
      <c r="S560" s="2">
        <v>45774</v>
      </c>
      <c r="T560" s="2">
        <v>45817</v>
      </c>
      <c r="U560" t="str">
        <f t="shared" si="56"/>
        <v>Yes</v>
      </c>
      <c r="W56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560" t="str">
        <f t="shared" ca="1" si="57"/>
        <v>Closed</v>
      </c>
      <c r="Y560" t="str">
        <f t="shared" si="58"/>
        <v>Closed</v>
      </c>
      <c r="Z560" t="str">
        <f t="shared" si="59"/>
        <v>Apr-2025</v>
      </c>
      <c r="AA560" t="str">
        <f t="shared" si="60"/>
        <v>Q2 2025</v>
      </c>
      <c r="AB560" s="4">
        <f t="shared" ca="1" si="61"/>
        <v>428</v>
      </c>
      <c r="AC560" t="str">
        <f t="shared" si="62"/>
        <v>Medium</v>
      </c>
    </row>
    <row r="561" spans="1:29">
      <c r="A561" t="s">
        <v>2318</v>
      </c>
      <c r="B561" s="2">
        <v>45737</v>
      </c>
      <c r="C561" t="s">
        <v>2169</v>
      </c>
      <c r="D561" t="s">
        <v>197</v>
      </c>
      <c r="E561" t="s">
        <v>2319</v>
      </c>
      <c r="F561" t="s">
        <v>2320</v>
      </c>
      <c r="G561" t="s">
        <v>34</v>
      </c>
      <c r="H561" t="s">
        <v>60</v>
      </c>
      <c r="I561" t="s">
        <v>36</v>
      </c>
      <c r="J561" t="s">
        <v>37</v>
      </c>
      <c r="K561" t="s">
        <v>71</v>
      </c>
      <c r="L561" t="s">
        <v>39</v>
      </c>
      <c r="M561" t="s">
        <v>116</v>
      </c>
      <c r="N561" t="s">
        <v>54</v>
      </c>
      <c r="O561" s="3">
        <v>115000</v>
      </c>
      <c r="P561" s="4">
        <v>15</v>
      </c>
      <c r="Q561" s="2">
        <v>45792</v>
      </c>
      <c r="R561" s="2">
        <v>46182</v>
      </c>
      <c r="S561" s="2">
        <v>45742</v>
      </c>
      <c r="T561" s="2"/>
      <c r="U561" t="str">
        <f t="shared" si="56"/>
        <v>No</v>
      </c>
      <c r="W5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1" t="str">
        <f t="shared" ca="1" si="57"/>
        <v>Overdue</v>
      </c>
      <c r="Y561" t="str">
        <f t="shared" si="58"/>
        <v>Open</v>
      </c>
      <c r="Z561" t="str">
        <f t="shared" si="59"/>
        <v>Mar-2025</v>
      </c>
      <c r="AA561" t="str">
        <f t="shared" si="60"/>
        <v>Q1 2025</v>
      </c>
      <c r="AB561" s="4">
        <f t="shared" ca="1" si="61"/>
        <v>462</v>
      </c>
      <c r="AC561" t="str">
        <f t="shared" si="62"/>
        <v>Low</v>
      </c>
    </row>
    <row r="562" spans="1:29">
      <c r="A562" t="s">
        <v>2321</v>
      </c>
      <c r="B562" s="2">
        <v>46041</v>
      </c>
      <c r="C562" t="s">
        <v>2322</v>
      </c>
      <c r="D562" t="s">
        <v>31</v>
      </c>
      <c r="E562" t="s">
        <v>2323</v>
      </c>
      <c r="F562" t="s">
        <v>2324</v>
      </c>
      <c r="G562" t="s">
        <v>179</v>
      </c>
      <c r="H562" t="s">
        <v>487</v>
      </c>
      <c r="I562" t="s">
        <v>61</v>
      </c>
      <c r="J562" t="s">
        <v>131</v>
      </c>
      <c r="K562" t="s">
        <v>100</v>
      </c>
      <c r="L562" t="s">
        <v>154</v>
      </c>
      <c r="M562" t="s">
        <v>53</v>
      </c>
      <c r="N562" t="s">
        <v>54</v>
      </c>
      <c r="O562" s="3">
        <v>355000</v>
      </c>
      <c r="P562" s="4">
        <v>25</v>
      </c>
      <c r="Q562" s="2">
        <v>46087</v>
      </c>
      <c r="R562" s="2">
        <v>46205</v>
      </c>
      <c r="S562" s="2">
        <v>46071</v>
      </c>
      <c r="T562" s="2"/>
      <c r="U562" t="str">
        <f t="shared" si="56"/>
        <v>No</v>
      </c>
      <c r="W5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2" t="str">
        <f t="shared" ca="1" si="57"/>
        <v>Due/Open</v>
      </c>
      <c r="Y562" t="str">
        <f t="shared" si="58"/>
        <v>Open</v>
      </c>
      <c r="Z562" t="str">
        <f t="shared" si="59"/>
        <v>Jan-2026</v>
      </c>
      <c r="AA562" t="str">
        <f t="shared" si="60"/>
        <v>Q1 2026</v>
      </c>
      <c r="AB562" s="4">
        <f t="shared" ca="1" si="61"/>
        <v>158</v>
      </c>
      <c r="AC562" t="str">
        <f t="shared" si="62"/>
        <v>High</v>
      </c>
    </row>
    <row r="563" spans="1:29">
      <c r="A563" t="s">
        <v>2325</v>
      </c>
      <c r="B563" s="2">
        <v>46141</v>
      </c>
      <c r="C563" t="s">
        <v>1207</v>
      </c>
      <c r="D563" t="s">
        <v>565</v>
      </c>
      <c r="E563" t="s">
        <v>2326</v>
      </c>
      <c r="F563" t="s">
        <v>2327</v>
      </c>
      <c r="G563" t="s">
        <v>179</v>
      </c>
      <c r="H563" t="s">
        <v>180</v>
      </c>
      <c r="I563" t="s">
        <v>49</v>
      </c>
      <c r="J563" t="s">
        <v>62</v>
      </c>
      <c r="K563" t="s">
        <v>100</v>
      </c>
      <c r="L563" t="s">
        <v>52</v>
      </c>
      <c r="M563" t="s">
        <v>53</v>
      </c>
      <c r="N563" t="s">
        <v>54</v>
      </c>
      <c r="O563" s="3">
        <v>390000</v>
      </c>
      <c r="P563" s="4">
        <v>35</v>
      </c>
      <c r="Q563" s="2">
        <v>46194</v>
      </c>
      <c r="R563" s="2">
        <v>46179</v>
      </c>
      <c r="S563" s="2">
        <v>46164</v>
      </c>
      <c r="T563" s="2"/>
      <c r="U563" t="str">
        <f t="shared" si="56"/>
        <v>No</v>
      </c>
      <c r="W5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3" t="str">
        <f t="shared" ca="1" si="57"/>
        <v>Overdue</v>
      </c>
      <c r="Y563" t="str">
        <f t="shared" si="58"/>
        <v>Open</v>
      </c>
      <c r="Z563" t="str">
        <f t="shared" si="59"/>
        <v>Apr-2026</v>
      </c>
      <c r="AA563" t="str">
        <f t="shared" si="60"/>
        <v>Q2 2026</v>
      </c>
      <c r="AB563" s="4">
        <f t="shared" ca="1" si="61"/>
        <v>58</v>
      </c>
      <c r="AC563" t="str">
        <f t="shared" si="62"/>
        <v>High</v>
      </c>
    </row>
    <row r="564" spans="1:29">
      <c r="A564" t="s">
        <v>2328</v>
      </c>
      <c r="B564" s="2">
        <v>45979</v>
      </c>
      <c r="C564" t="s">
        <v>2329</v>
      </c>
      <c r="D564" t="s">
        <v>207</v>
      </c>
      <c r="E564" t="s">
        <v>2330</v>
      </c>
      <c r="F564" t="s">
        <v>2331</v>
      </c>
      <c r="G564" t="s">
        <v>69</v>
      </c>
      <c r="H564" t="s">
        <v>200</v>
      </c>
      <c r="I564" t="s">
        <v>49</v>
      </c>
      <c r="J564" t="s">
        <v>99</v>
      </c>
      <c r="K564" t="s">
        <v>100</v>
      </c>
      <c r="L564" t="s">
        <v>115</v>
      </c>
      <c r="M564" t="s">
        <v>73</v>
      </c>
      <c r="N564" t="s">
        <v>73</v>
      </c>
      <c r="O564" s="3">
        <v>550000</v>
      </c>
      <c r="P564" s="4">
        <v>80</v>
      </c>
      <c r="Q564" s="2">
        <v>46002</v>
      </c>
      <c r="R564" s="2">
        <v>46228</v>
      </c>
      <c r="S564" s="2">
        <v>45989</v>
      </c>
      <c r="T564" s="2"/>
      <c r="U564" t="str">
        <f t="shared" si="56"/>
        <v>No</v>
      </c>
      <c r="W5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4" t="str">
        <f t="shared" ca="1" si="57"/>
        <v>Due/Open</v>
      </c>
      <c r="Y564" t="str">
        <f t="shared" si="58"/>
        <v>Open</v>
      </c>
      <c r="Z564" t="str">
        <f t="shared" si="59"/>
        <v>Nov-2025</v>
      </c>
      <c r="AA564" t="str">
        <f t="shared" si="60"/>
        <v>Q4 2025</v>
      </c>
      <c r="AB564" s="4">
        <f t="shared" ca="1" si="61"/>
        <v>220</v>
      </c>
      <c r="AC564" t="str">
        <f t="shared" si="62"/>
        <v>High</v>
      </c>
    </row>
    <row r="565" spans="1:29">
      <c r="A565" t="s">
        <v>2332</v>
      </c>
      <c r="B565" s="2">
        <v>46193</v>
      </c>
      <c r="C565" t="s">
        <v>614</v>
      </c>
      <c r="D565" t="s">
        <v>684</v>
      </c>
      <c r="E565" t="s">
        <v>2333</v>
      </c>
      <c r="F565" t="s">
        <v>2334</v>
      </c>
      <c r="G565" t="s">
        <v>47</v>
      </c>
      <c r="H565" t="s">
        <v>89</v>
      </c>
      <c r="I565" t="s">
        <v>141</v>
      </c>
      <c r="J565" t="s">
        <v>62</v>
      </c>
      <c r="K565" t="s">
        <v>51</v>
      </c>
      <c r="L565" t="s">
        <v>142</v>
      </c>
      <c r="M565" t="s">
        <v>82</v>
      </c>
      <c r="N565" t="s">
        <v>83</v>
      </c>
      <c r="O565" s="3">
        <v>400000</v>
      </c>
      <c r="P565" s="4">
        <v>10</v>
      </c>
      <c r="Q565" s="2">
        <v>46235</v>
      </c>
      <c r="R565" s="2">
        <v>46240</v>
      </c>
      <c r="S565" s="2">
        <v>46194</v>
      </c>
      <c r="T565" s="2"/>
      <c r="U565" t="str">
        <f t="shared" si="56"/>
        <v>No</v>
      </c>
      <c r="W5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5" t="str">
        <f t="shared" ca="1" si="57"/>
        <v>Due/Open</v>
      </c>
      <c r="Y565" t="str">
        <f t="shared" si="58"/>
        <v>Open</v>
      </c>
      <c r="Z565" t="str">
        <f t="shared" si="59"/>
        <v>Jun-2026</v>
      </c>
      <c r="AA565" t="str">
        <f t="shared" si="60"/>
        <v>Q2 2026</v>
      </c>
      <c r="AB565" s="4">
        <f t="shared" ca="1" si="61"/>
        <v>6</v>
      </c>
      <c r="AC565" t="str">
        <f t="shared" si="62"/>
        <v>High</v>
      </c>
    </row>
    <row r="566" spans="1:29">
      <c r="A566" t="s">
        <v>2335</v>
      </c>
      <c r="B566" s="2">
        <v>46036</v>
      </c>
      <c r="C566" t="s">
        <v>2336</v>
      </c>
      <c r="D566" t="s">
        <v>1081</v>
      </c>
      <c r="E566" t="s">
        <v>2337</v>
      </c>
      <c r="F566" t="s">
        <v>2338</v>
      </c>
      <c r="G566" t="s">
        <v>34</v>
      </c>
      <c r="H566" t="s">
        <v>238</v>
      </c>
      <c r="I566" t="s">
        <v>49</v>
      </c>
      <c r="J566" t="s">
        <v>37</v>
      </c>
      <c r="K566" t="s">
        <v>71</v>
      </c>
      <c r="L566" t="s">
        <v>39</v>
      </c>
      <c r="M566" t="s">
        <v>116</v>
      </c>
      <c r="N566" t="s">
        <v>54</v>
      </c>
      <c r="O566" s="3">
        <v>135000</v>
      </c>
      <c r="P566" s="4">
        <v>20</v>
      </c>
      <c r="Q566" s="2">
        <v>46117</v>
      </c>
      <c r="R566" s="2">
        <v>46241</v>
      </c>
      <c r="S566" s="2">
        <v>46040</v>
      </c>
      <c r="T566" s="2"/>
      <c r="U566" t="str">
        <f t="shared" si="56"/>
        <v>No</v>
      </c>
      <c r="W5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6" t="str">
        <f t="shared" ca="1" si="57"/>
        <v>Due/Open</v>
      </c>
      <c r="Y566" t="str">
        <f t="shared" si="58"/>
        <v>Open</v>
      </c>
      <c r="Z566" t="str">
        <f t="shared" si="59"/>
        <v>Jan-2026</v>
      </c>
      <c r="AA566" t="str">
        <f t="shared" si="60"/>
        <v>Q1 2026</v>
      </c>
      <c r="AB566" s="4">
        <f t="shared" ca="1" si="61"/>
        <v>163</v>
      </c>
      <c r="AC566" t="str">
        <f t="shared" si="62"/>
        <v>Medium</v>
      </c>
    </row>
    <row r="567" spans="1:29">
      <c r="A567" t="s">
        <v>2339</v>
      </c>
      <c r="B567" s="2">
        <v>45798</v>
      </c>
      <c r="C567" t="s">
        <v>2340</v>
      </c>
      <c r="D567" t="s">
        <v>547</v>
      </c>
      <c r="E567" t="s">
        <v>2341</v>
      </c>
      <c r="F567" t="s">
        <v>2342</v>
      </c>
      <c r="G567" t="s">
        <v>47</v>
      </c>
      <c r="H567" t="s">
        <v>493</v>
      </c>
      <c r="I567" t="s">
        <v>36</v>
      </c>
      <c r="J567" t="s">
        <v>62</v>
      </c>
      <c r="K567" t="s">
        <v>100</v>
      </c>
      <c r="L567" t="s">
        <v>52</v>
      </c>
      <c r="M567" t="s">
        <v>90</v>
      </c>
      <c r="N567" t="s">
        <v>91</v>
      </c>
      <c r="O567" s="3">
        <v>320000</v>
      </c>
      <c r="P567" s="4">
        <v>55</v>
      </c>
      <c r="Q567" s="2">
        <v>45890</v>
      </c>
      <c r="R567" s="2">
        <v>46164</v>
      </c>
      <c r="S567" s="2">
        <v>45810</v>
      </c>
      <c r="T567" s="2"/>
      <c r="U567" t="str">
        <f t="shared" si="56"/>
        <v>No</v>
      </c>
      <c r="W5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7" t="str">
        <f t="shared" ca="1" si="57"/>
        <v>Overdue</v>
      </c>
      <c r="Y567" t="str">
        <f t="shared" si="58"/>
        <v>Open</v>
      </c>
      <c r="Z567" t="str">
        <f t="shared" si="59"/>
        <v>May-2025</v>
      </c>
      <c r="AA567" t="str">
        <f t="shared" si="60"/>
        <v>Q2 2025</v>
      </c>
      <c r="AB567" s="4">
        <f t="shared" ca="1" si="61"/>
        <v>401</v>
      </c>
      <c r="AC567" t="str">
        <f t="shared" si="62"/>
        <v>High</v>
      </c>
    </row>
    <row r="568" spans="1:29">
      <c r="A568" t="s">
        <v>2343</v>
      </c>
      <c r="B568" s="2">
        <v>45718</v>
      </c>
      <c r="C568" t="s">
        <v>2344</v>
      </c>
      <c r="D568" t="s">
        <v>449</v>
      </c>
      <c r="E568" t="s">
        <v>2345</v>
      </c>
      <c r="F568" t="s">
        <v>2346</v>
      </c>
      <c r="G568" t="s">
        <v>34</v>
      </c>
      <c r="H568" t="s">
        <v>35</v>
      </c>
      <c r="I568" t="s">
        <v>141</v>
      </c>
      <c r="J568" t="s">
        <v>50</v>
      </c>
      <c r="K568" t="s">
        <v>114</v>
      </c>
      <c r="L568" t="s">
        <v>107</v>
      </c>
      <c r="M568" t="s">
        <v>116</v>
      </c>
      <c r="N568" t="s">
        <v>54</v>
      </c>
      <c r="O568" s="3">
        <v>505000</v>
      </c>
      <c r="P568" s="4">
        <v>25</v>
      </c>
      <c r="Q568" s="2">
        <v>45796</v>
      </c>
      <c r="R568" s="2">
        <v>46162</v>
      </c>
      <c r="S568" s="2">
        <v>45743</v>
      </c>
      <c r="T568" s="2"/>
      <c r="U568" t="str">
        <f t="shared" si="56"/>
        <v>No</v>
      </c>
      <c r="W5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68" t="str">
        <f t="shared" ca="1" si="57"/>
        <v>Overdue</v>
      </c>
      <c r="Y568" t="str">
        <f t="shared" si="58"/>
        <v>Open</v>
      </c>
      <c r="Z568" t="str">
        <f t="shared" si="59"/>
        <v>Mar-2025</v>
      </c>
      <c r="AA568" t="str">
        <f t="shared" si="60"/>
        <v>Q1 2025</v>
      </c>
      <c r="AB568" s="4">
        <f t="shared" ca="1" si="61"/>
        <v>481</v>
      </c>
      <c r="AC568" t="str">
        <f t="shared" si="62"/>
        <v>High</v>
      </c>
    </row>
    <row r="569" spans="1:29">
      <c r="A569" t="s">
        <v>2347</v>
      </c>
      <c r="B569" s="2">
        <v>46134</v>
      </c>
      <c r="C569" t="s">
        <v>219</v>
      </c>
      <c r="D569" t="s">
        <v>459</v>
      </c>
      <c r="E569" t="s">
        <v>2348</v>
      </c>
      <c r="F569" t="s">
        <v>2349</v>
      </c>
      <c r="G569" t="s">
        <v>179</v>
      </c>
      <c r="H569" t="s">
        <v>487</v>
      </c>
      <c r="I569" t="s">
        <v>49</v>
      </c>
      <c r="J569" t="s">
        <v>124</v>
      </c>
      <c r="K569" t="s">
        <v>114</v>
      </c>
      <c r="L569" t="s">
        <v>239</v>
      </c>
      <c r="M569" t="s">
        <v>133</v>
      </c>
      <c r="N569" t="s">
        <v>134</v>
      </c>
      <c r="O569" s="3">
        <v>100000</v>
      </c>
      <c r="P569" s="4">
        <v>0</v>
      </c>
      <c r="Q569" s="2">
        <v>46197</v>
      </c>
      <c r="R569" s="2"/>
      <c r="S569" s="2">
        <v>46141</v>
      </c>
      <c r="T569" s="2">
        <v>46197</v>
      </c>
      <c r="U569" t="str">
        <f t="shared" si="56"/>
        <v>No</v>
      </c>
      <c r="V569" t="s">
        <v>319</v>
      </c>
      <c r="W5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569" t="str">
        <f t="shared" ca="1" si="57"/>
        <v>Closed</v>
      </c>
      <c r="Y569" t="str">
        <f t="shared" si="58"/>
        <v>Closed</v>
      </c>
      <c r="Z569" t="str">
        <f t="shared" si="59"/>
        <v>Apr-2026</v>
      </c>
      <c r="AA569" t="str">
        <f t="shared" si="60"/>
        <v>Q2 2026</v>
      </c>
      <c r="AB569" s="4">
        <f t="shared" ca="1" si="61"/>
        <v>65</v>
      </c>
      <c r="AC569" t="str">
        <f t="shared" si="62"/>
        <v>Low</v>
      </c>
    </row>
    <row r="570" spans="1:29">
      <c r="A570" t="s">
        <v>2350</v>
      </c>
      <c r="B570" s="2">
        <v>45995</v>
      </c>
      <c r="C570" t="s">
        <v>2242</v>
      </c>
      <c r="D570" t="s">
        <v>288</v>
      </c>
      <c r="E570" t="s">
        <v>2351</v>
      </c>
      <c r="F570" t="s">
        <v>2352</v>
      </c>
      <c r="G570" t="s">
        <v>79</v>
      </c>
      <c r="H570" t="s">
        <v>80</v>
      </c>
      <c r="I570" t="s">
        <v>123</v>
      </c>
      <c r="J570" t="s">
        <v>131</v>
      </c>
      <c r="K570" t="s">
        <v>194</v>
      </c>
      <c r="L570" t="s">
        <v>239</v>
      </c>
      <c r="M570" t="s">
        <v>53</v>
      </c>
      <c r="N570" t="s">
        <v>54</v>
      </c>
      <c r="O570" s="3">
        <v>330000</v>
      </c>
      <c r="P570" s="4">
        <v>25</v>
      </c>
      <c r="Q570" s="2">
        <v>46034</v>
      </c>
      <c r="R570" s="2">
        <v>46220</v>
      </c>
      <c r="S570" s="2">
        <v>46015</v>
      </c>
      <c r="T570" s="2"/>
      <c r="U570" t="str">
        <f t="shared" si="56"/>
        <v>No</v>
      </c>
      <c r="W5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0" t="str">
        <f t="shared" ca="1" si="57"/>
        <v>Due/Open</v>
      </c>
      <c r="Y570" t="str">
        <f t="shared" si="58"/>
        <v>Open</v>
      </c>
      <c r="Z570" t="str">
        <f t="shared" si="59"/>
        <v>Dec-2025</v>
      </c>
      <c r="AA570" t="str">
        <f t="shared" si="60"/>
        <v>Q4 2025</v>
      </c>
      <c r="AB570" s="4">
        <f t="shared" ca="1" si="61"/>
        <v>204</v>
      </c>
      <c r="AC570" t="str">
        <f t="shared" si="62"/>
        <v>High</v>
      </c>
    </row>
    <row r="571" spans="1:29">
      <c r="A571" t="s">
        <v>2353</v>
      </c>
      <c r="B571" s="2">
        <v>46113</v>
      </c>
      <c r="C571" t="s">
        <v>2354</v>
      </c>
      <c r="D571" t="s">
        <v>526</v>
      </c>
      <c r="E571" t="s">
        <v>2355</v>
      </c>
      <c r="F571" t="s">
        <v>2356</v>
      </c>
      <c r="G571" t="s">
        <v>34</v>
      </c>
      <c r="H571" t="s">
        <v>60</v>
      </c>
      <c r="I571" t="s">
        <v>148</v>
      </c>
      <c r="J571" t="s">
        <v>37</v>
      </c>
      <c r="K571" t="s">
        <v>71</v>
      </c>
      <c r="L571" t="s">
        <v>142</v>
      </c>
      <c r="M571" t="s">
        <v>116</v>
      </c>
      <c r="N571" t="s">
        <v>54</v>
      </c>
      <c r="O571" s="3">
        <v>55000</v>
      </c>
      <c r="P571" s="4">
        <v>15</v>
      </c>
      <c r="Q571" s="2">
        <v>46157</v>
      </c>
      <c r="R571" s="2">
        <v>46183</v>
      </c>
      <c r="S571" s="2">
        <v>46123</v>
      </c>
      <c r="T571" s="2"/>
      <c r="U571" t="str">
        <f t="shared" si="56"/>
        <v>No</v>
      </c>
      <c r="W5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1" t="str">
        <f t="shared" ca="1" si="57"/>
        <v>Overdue</v>
      </c>
      <c r="Y571" t="str">
        <f t="shared" si="58"/>
        <v>Open</v>
      </c>
      <c r="Z571" t="str">
        <f t="shared" si="59"/>
        <v>Apr-2026</v>
      </c>
      <c r="AA571" t="str">
        <f t="shared" si="60"/>
        <v>Q2 2026</v>
      </c>
      <c r="AB571" s="4">
        <f t="shared" ca="1" si="61"/>
        <v>86</v>
      </c>
      <c r="AC571" t="str">
        <f t="shared" si="62"/>
        <v>Low</v>
      </c>
    </row>
    <row r="572" spans="1:29">
      <c r="A572" t="s">
        <v>2357</v>
      </c>
      <c r="B572" s="2">
        <v>45749</v>
      </c>
      <c r="C572" t="s">
        <v>2358</v>
      </c>
      <c r="D572" t="s">
        <v>220</v>
      </c>
      <c r="E572" t="s">
        <v>2359</v>
      </c>
      <c r="F572" t="s">
        <v>2360</v>
      </c>
      <c r="G572" t="s">
        <v>79</v>
      </c>
      <c r="H572" t="s">
        <v>260</v>
      </c>
      <c r="I572" t="s">
        <v>98</v>
      </c>
      <c r="J572" t="s">
        <v>37</v>
      </c>
      <c r="K572" t="s">
        <v>100</v>
      </c>
      <c r="L572" t="s">
        <v>107</v>
      </c>
      <c r="M572" t="s">
        <v>90</v>
      </c>
      <c r="N572" t="s">
        <v>91</v>
      </c>
      <c r="O572" s="3">
        <v>160000</v>
      </c>
      <c r="P572" s="4">
        <v>50</v>
      </c>
      <c r="Q572" s="2">
        <v>45831</v>
      </c>
      <c r="R572" s="2">
        <v>46232</v>
      </c>
      <c r="S572" s="2">
        <v>45755</v>
      </c>
      <c r="T572" s="2"/>
      <c r="U572" t="str">
        <f t="shared" si="56"/>
        <v>No</v>
      </c>
      <c r="W5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2" t="str">
        <f t="shared" ca="1" si="57"/>
        <v>Due/Open</v>
      </c>
      <c r="Y572" t="str">
        <f t="shared" si="58"/>
        <v>Open</v>
      </c>
      <c r="Z572" t="str">
        <f t="shared" si="59"/>
        <v>Apr-2025</v>
      </c>
      <c r="AA572" t="str">
        <f t="shared" si="60"/>
        <v>Q2 2025</v>
      </c>
      <c r="AB572" s="4">
        <f t="shared" ca="1" si="61"/>
        <v>450</v>
      </c>
      <c r="AC572" t="str">
        <f t="shared" si="62"/>
        <v>Medium</v>
      </c>
    </row>
    <row r="573" spans="1:29">
      <c r="A573" t="s">
        <v>2361</v>
      </c>
      <c r="B573" s="2">
        <v>45900</v>
      </c>
      <c r="C573" t="s">
        <v>102</v>
      </c>
      <c r="D573" t="s">
        <v>522</v>
      </c>
      <c r="E573" t="s">
        <v>2362</v>
      </c>
      <c r="F573" t="s">
        <v>2363</v>
      </c>
      <c r="G573" t="s">
        <v>47</v>
      </c>
      <c r="H573" t="s">
        <v>493</v>
      </c>
      <c r="I573" t="s">
        <v>98</v>
      </c>
      <c r="J573" t="s">
        <v>62</v>
      </c>
      <c r="K573" t="s">
        <v>71</v>
      </c>
      <c r="L573" t="s">
        <v>81</v>
      </c>
      <c r="M573" t="s">
        <v>53</v>
      </c>
      <c r="N573" t="s">
        <v>54</v>
      </c>
      <c r="O573" s="3">
        <v>140000</v>
      </c>
      <c r="P573" s="4">
        <v>35</v>
      </c>
      <c r="Q573" s="2">
        <v>45939</v>
      </c>
      <c r="R573" s="2">
        <v>46168</v>
      </c>
      <c r="S573" s="2">
        <v>45923</v>
      </c>
      <c r="T573" s="2"/>
      <c r="U573" t="str">
        <f t="shared" si="56"/>
        <v>No</v>
      </c>
      <c r="W5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3" t="str">
        <f t="shared" ca="1" si="57"/>
        <v>Overdue</v>
      </c>
      <c r="Y573" t="str">
        <f t="shared" si="58"/>
        <v>Open</v>
      </c>
      <c r="Z573" t="str">
        <f t="shared" si="59"/>
        <v>Aug-2025</v>
      </c>
      <c r="AA573" t="str">
        <f t="shared" si="60"/>
        <v>Q3 2025</v>
      </c>
      <c r="AB573" s="4">
        <f t="shared" ca="1" si="61"/>
        <v>299</v>
      </c>
      <c r="AC573" t="str">
        <f t="shared" si="62"/>
        <v>Medium</v>
      </c>
    </row>
    <row r="574" spans="1:29">
      <c r="A574" t="s">
        <v>2364</v>
      </c>
      <c r="B574" s="2">
        <v>45959</v>
      </c>
      <c r="C574" t="s">
        <v>1403</v>
      </c>
      <c r="D574" t="s">
        <v>1701</v>
      </c>
      <c r="E574" t="s">
        <v>2365</v>
      </c>
      <c r="F574" t="s">
        <v>2366</v>
      </c>
      <c r="G574" t="s">
        <v>34</v>
      </c>
      <c r="H574" t="s">
        <v>160</v>
      </c>
      <c r="I574" t="s">
        <v>148</v>
      </c>
      <c r="J574" t="s">
        <v>50</v>
      </c>
      <c r="K574" t="s">
        <v>100</v>
      </c>
      <c r="L574" t="s">
        <v>63</v>
      </c>
      <c r="M574" t="s">
        <v>82</v>
      </c>
      <c r="N574" t="s">
        <v>83</v>
      </c>
      <c r="O574" s="3">
        <v>325000</v>
      </c>
      <c r="P574" s="4">
        <v>10</v>
      </c>
      <c r="Q574" s="2">
        <v>46006</v>
      </c>
      <c r="R574" s="2">
        <v>46242</v>
      </c>
      <c r="S574" s="2">
        <v>45966</v>
      </c>
      <c r="T574" s="2"/>
      <c r="U574" t="str">
        <f t="shared" si="56"/>
        <v>No</v>
      </c>
      <c r="W5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4" t="str">
        <f t="shared" ca="1" si="57"/>
        <v>Due/Open</v>
      </c>
      <c r="Y574" t="str">
        <f t="shared" si="58"/>
        <v>Open</v>
      </c>
      <c r="Z574" t="str">
        <f t="shared" si="59"/>
        <v>Oct-2025</v>
      </c>
      <c r="AA574" t="str">
        <f t="shared" si="60"/>
        <v>Q4 2025</v>
      </c>
      <c r="AB574" s="4">
        <f t="shared" ca="1" si="61"/>
        <v>240</v>
      </c>
      <c r="AC574" t="str">
        <f t="shared" si="62"/>
        <v>High</v>
      </c>
    </row>
    <row r="575" spans="1:29">
      <c r="A575" t="s">
        <v>2367</v>
      </c>
      <c r="B575" s="2">
        <v>46017</v>
      </c>
      <c r="C575" t="s">
        <v>1996</v>
      </c>
      <c r="D575" t="s">
        <v>361</v>
      </c>
      <c r="E575" t="s">
        <v>2368</v>
      </c>
      <c r="F575" t="s">
        <v>2369</v>
      </c>
      <c r="G575" t="s">
        <v>79</v>
      </c>
      <c r="H575" t="s">
        <v>260</v>
      </c>
      <c r="I575" t="s">
        <v>141</v>
      </c>
      <c r="J575" t="s">
        <v>62</v>
      </c>
      <c r="K575" t="s">
        <v>100</v>
      </c>
      <c r="L575" t="s">
        <v>81</v>
      </c>
      <c r="M575" t="s">
        <v>166</v>
      </c>
      <c r="N575" t="s">
        <v>167</v>
      </c>
      <c r="O575" s="3">
        <v>245000</v>
      </c>
      <c r="P575" s="4">
        <v>65</v>
      </c>
      <c r="Q575" s="2">
        <v>46037</v>
      </c>
      <c r="R575" s="2">
        <v>46242</v>
      </c>
      <c r="S575" s="2">
        <v>46024</v>
      </c>
      <c r="T575" s="2"/>
      <c r="U575" t="str">
        <f t="shared" si="56"/>
        <v>No</v>
      </c>
      <c r="W5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5" t="str">
        <f t="shared" ca="1" si="57"/>
        <v>Due/Open</v>
      </c>
      <c r="Y575" t="str">
        <f t="shared" si="58"/>
        <v>Open</v>
      </c>
      <c r="Z575" t="str">
        <f t="shared" si="59"/>
        <v>Dec-2025</v>
      </c>
      <c r="AA575" t="str">
        <f t="shared" si="60"/>
        <v>Q4 2025</v>
      </c>
      <c r="AB575" s="4">
        <f t="shared" ca="1" si="61"/>
        <v>182</v>
      </c>
      <c r="AC575" t="str">
        <f t="shared" si="62"/>
        <v>Medium</v>
      </c>
    </row>
    <row r="576" spans="1:29">
      <c r="A576" t="s">
        <v>2370</v>
      </c>
      <c r="B576" s="2">
        <v>46123</v>
      </c>
      <c r="C576" t="s">
        <v>602</v>
      </c>
      <c r="D576" t="s">
        <v>407</v>
      </c>
      <c r="E576" t="s">
        <v>2371</v>
      </c>
      <c r="F576" t="s">
        <v>2372</v>
      </c>
      <c r="G576" t="s">
        <v>47</v>
      </c>
      <c r="H576" t="s">
        <v>122</v>
      </c>
      <c r="I576" t="s">
        <v>36</v>
      </c>
      <c r="J576" t="s">
        <v>99</v>
      </c>
      <c r="K576" t="s">
        <v>51</v>
      </c>
      <c r="L576" t="s">
        <v>52</v>
      </c>
      <c r="M576" t="s">
        <v>90</v>
      </c>
      <c r="N576" t="s">
        <v>91</v>
      </c>
      <c r="O576" s="3">
        <v>445000</v>
      </c>
      <c r="P576" s="4">
        <v>55</v>
      </c>
      <c r="Q576" s="2">
        <v>46152</v>
      </c>
      <c r="R576" s="2">
        <v>46201</v>
      </c>
      <c r="S576" s="2">
        <v>46133</v>
      </c>
      <c r="T576" s="2"/>
      <c r="U576" t="str">
        <f t="shared" si="56"/>
        <v>No</v>
      </c>
      <c r="W5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6" t="str">
        <f t="shared" ca="1" si="57"/>
        <v>Due/Open</v>
      </c>
      <c r="Y576" t="str">
        <f t="shared" si="58"/>
        <v>Open</v>
      </c>
      <c r="Z576" t="str">
        <f t="shared" si="59"/>
        <v>Apr-2026</v>
      </c>
      <c r="AA576" t="str">
        <f t="shared" si="60"/>
        <v>Q2 2026</v>
      </c>
      <c r="AB576" s="4">
        <f t="shared" ca="1" si="61"/>
        <v>76</v>
      </c>
      <c r="AC576" t="str">
        <f t="shared" si="62"/>
        <v>High</v>
      </c>
    </row>
    <row r="577" spans="1:29">
      <c r="A577" t="s">
        <v>2373</v>
      </c>
      <c r="B577" s="2">
        <v>46160</v>
      </c>
      <c r="C577" t="s">
        <v>2374</v>
      </c>
      <c r="D577" t="s">
        <v>57</v>
      </c>
      <c r="E577" t="s">
        <v>2375</v>
      </c>
      <c r="F577" t="s">
        <v>2376</v>
      </c>
      <c r="G577" t="s">
        <v>34</v>
      </c>
      <c r="H577" t="s">
        <v>35</v>
      </c>
      <c r="I577" t="s">
        <v>49</v>
      </c>
      <c r="J577" t="s">
        <v>131</v>
      </c>
      <c r="K577" t="s">
        <v>194</v>
      </c>
      <c r="L577" t="s">
        <v>63</v>
      </c>
      <c r="M577" t="s">
        <v>40</v>
      </c>
      <c r="N577" t="s">
        <v>41</v>
      </c>
      <c r="O577" s="3">
        <v>285000</v>
      </c>
      <c r="P577" s="4">
        <v>100</v>
      </c>
      <c r="Q577" s="2">
        <v>46186</v>
      </c>
      <c r="R577" s="2"/>
      <c r="S577" s="2">
        <v>46186</v>
      </c>
      <c r="T577" s="2">
        <v>46186</v>
      </c>
      <c r="U577" t="str">
        <f t="shared" si="56"/>
        <v>Yes</v>
      </c>
      <c r="W5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26</v>
      </c>
      <c r="X577" t="str">
        <f t="shared" ca="1" si="57"/>
        <v>Closed</v>
      </c>
      <c r="Y577" t="str">
        <f t="shared" si="58"/>
        <v>Closed</v>
      </c>
      <c r="Z577" t="str">
        <f t="shared" si="59"/>
        <v>May-2026</v>
      </c>
      <c r="AA577" t="str">
        <f t="shared" si="60"/>
        <v>Q2 2026</v>
      </c>
      <c r="AB577" s="4">
        <f t="shared" ca="1" si="61"/>
        <v>39</v>
      </c>
      <c r="AC577" t="str">
        <f t="shared" si="62"/>
        <v>Medium</v>
      </c>
    </row>
    <row r="578" spans="1:29">
      <c r="A578" t="s">
        <v>2377</v>
      </c>
      <c r="B578" s="2">
        <v>45898</v>
      </c>
      <c r="C578" t="s">
        <v>2378</v>
      </c>
      <c r="D578" t="s">
        <v>715</v>
      </c>
      <c r="E578" t="s">
        <v>2379</v>
      </c>
      <c r="F578" t="s">
        <v>2380</v>
      </c>
      <c r="G578" t="s">
        <v>79</v>
      </c>
      <c r="H578" t="s">
        <v>97</v>
      </c>
      <c r="I578" t="s">
        <v>49</v>
      </c>
      <c r="J578" t="s">
        <v>99</v>
      </c>
      <c r="K578" t="s">
        <v>194</v>
      </c>
      <c r="L578" t="s">
        <v>39</v>
      </c>
      <c r="M578" t="s">
        <v>40</v>
      </c>
      <c r="N578" t="s">
        <v>41</v>
      </c>
      <c r="O578" s="3">
        <v>425000</v>
      </c>
      <c r="P578" s="4">
        <v>100</v>
      </c>
      <c r="Q578" s="2">
        <v>45928</v>
      </c>
      <c r="R578" s="2"/>
      <c r="S578" s="2">
        <v>45913</v>
      </c>
      <c r="T578" s="2">
        <v>45928</v>
      </c>
      <c r="U578" t="str">
        <f t="shared" ref="U578:U641" si="63">IF(M578="Converted","Yes","No")</f>
        <v>Yes</v>
      </c>
      <c r="W57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30</v>
      </c>
      <c r="X578" t="str">
        <f t="shared" ref="X578:X641" ca="1" si="64">IF(OR(M578="Converted",M578="Lost",M578="Not Interested"),"Closed",IF(R578&lt;TODAY(),"Overdue","Due/Open"))</f>
        <v>Closed</v>
      </c>
      <c r="Y578" t="str">
        <f t="shared" ref="Y578:Y641" si="65">IF(OR(M578="Converted",M578="Lost",M578="Not Interested"),"Closed","Open")</f>
        <v>Closed</v>
      </c>
      <c r="Z578" t="str">
        <f t="shared" ref="Z578:Z641" si="66">TEXT(B578,"mmm-yyyy")</f>
        <v>Aug-2025</v>
      </c>
      <c r="AA578" t="str">
        <f t="shared" ref="AA578:AA641" si="67">"Q"&amp;ROUNDUP(MONTH(B578)/3,0)&amp;" "&amp;YEAR(B578)</f>
        <v>Q3 2025</v>
      </c>
      <c r="AB578" s="4">
        <f t="shared" ref="AB578:AB641" ca="1" si="68">TODAY()-B578</f>
        <v>301</v>
      </c>
      <c r="AC578" t="str">
        <f t="shared" ref="AC578:AC641" si="69">IF(O578&gt;=300000,"High",IF(O578&gt;=120000,"Medium","Low"))</f>
        <v>High</v>
      </c>
    </row>
    <row r="579" spans="1:29">
      <c r="A579" t="s">
        <v>2381</v>
      </c>
      <c r="B579" s="2">
        <v>45727</v>
      </c>
      <c r="C579" t="s">
        <v>2382</v>
      </c>
      <c r="D579" t="s">
        <v>986</v>
      </c>
      <c r="E579" t="s">
        <v>2383</v>
      </c>
      <c r="F579" t="s">
        <v>2384</v>
      </c>
      <c r="G579" t="s">
        <v>79</v>
      </c>
      <c r="H579" t="s">
        <v>106</v>
      </c>
      <c r="I579" t="s">
        <v>141</v>
      </c>
      <c r="J579" t="s">
        <v>124</v>
      </c>
      <c r="K579" t="s">
        <v>71</v>
      </c>
      <c r="L579" t="s">
        <v>52</v>
      </c>
      <c r="M579" t="s">
        <v>116</v>
      </c>
      <c r="N579" t="s">
        <v>54</v>
      </c>
      <c r="O579" s="3">
        <v>260000</v>
      </c>
      <c r="P579" s="4">
        <v>20</v>
      </c>
      <c r="Q579" s="2">
        <v>45766</v>
      </c>
      <c r="R579" s="2">
        <v>46167</v>
      </c>
      <c r="S579" s="2">
        <v>45736</v>
      </c>
      <c r="T579" s="2"/>
      <c r="U579" t="str">
        <f t="shared" si="63"/>
        <v>No</v>
      </c>
      <c r="W5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79" t="str">
        <f t="shared" ca="1" si="64"/>
        <v>Overdue</v>
      </c>
      <c r="Y579" t="str">
        <f t="shared" si="65"/>
        <v>Open</v>
      </c>
      <c r="Z579" t="str">
        <f t="shared" si="66"/>
        <v>Mar-2025</v>
      </c>
      <c r="AA579" t="str">
        <f t="shared" si="67"/>
        <v>Q1 2025</v>
      </c>
      <c r="AB579" s="4">
        <f t="shared" ca="1" si="68"/>
        <v>472</v>
      </c>
      <c r="AC579" t="str">
        <f t="shared" si="69"/>
        <v>Medium</v>
      </c>
    </row>
    <row r="580" spans="1:29">
      <c r="A580" t="s">
        <v>2385</v>
      </c>
      <c r="B580" s="2">
        <v>45692</v>
      </c>
      <c r="C580" t="s">
        <v>1080</v>
      </c>
      <c r="D580" t="s">
        <v>151</v>
      </c>
      <c r="E580" t="s">
        <v>2386</v>
      </c>
      <c r="F580" t="s">
        <v>2387</v>
      </c>
      <c r="G580" t="s">
        <v>34</v>
      </c>
      <c r="H580" t="s">
        <v>35</v>
      </c>
      <c r="I580" t="s">
        <v>36</v>
      </c>
      <c r="J580" t="s">
        <v>131</v>
      </c>
      <c r="K580" t="s">
        <v>194</v>
      </c>
      <c r="L580" t="s">
        <v>125</v>
      </c>
      <c r="M580" t="s">
        <v>166</v>
      </c>
      <c r="N580" t="s">
        <v>167</v>
      </c>
      <c r="O580" s="3">
        <v>365000</v>
      </c>
      <c r="P580" s="4">
        <v>65</v>
      </c>
      <c r="Q580" s="2">
        <v>45751</v>
      </c>
      <c r="R580" s="2">
        <v>46178</v>
      </c>
      <c r="S580" s="2">
        <v>45715</v>
      </c>
      <c r="T580" s="2"/>
      <c r="U580" t="str">
        <f t="shared" si="63"/>
        <v>No</v>
      </c>
      <c r="W5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0" t="str">
        <f t="shared" ca="1" si="64"/>
        <v>Overdue</v>
      </c>
      <c r="Y580" t="str">
        <f t="shared" si="65"/>
        <v>Open</v>
      </c>
      <c r="Z580" t="str">
        <f t="shared" si="66"/>
        <v>Feb-2025</v>
      </c>
      <c r="AA580" t="str">
        <f t="shared" si="67"/>
        <v>Q1 2025</v>
      </c>
      <c r="AB580" s="4">
        <f t="shared" ca="1" si="68"/>
        <v>507</v>
      </c>
      <c r="AC580" t="str">
        <f t="shared" si="69"/>
        <v>High</v>
      </c>
    </row>
    <row r="581" spans="1:29">
      <c r="A581" t="s">
        <v>2388</v>
      </c>
      <c r="B581" s="2">
        <v>45830</v>
      </c>
      <c r="C581" t="s">
        <v>2389</v>
      </c>
      <c r="D581" t="s">
        <v>220</v>
      </c>
      <c r="E581" t="s">
        <v>2390</v>
      </c>
      <c r="F581" t="s">
        <v>2391</v>
      </c>
      <c r="G581" t="s">
        <v>34</v>
      </c>
      <c r="H581" t="s">
        <v>173</v>
      </c>
      <c r="I581" t="s">
        <v>187</v>
      </c>
      <c r="J581" t="s">
        <v>62</v>
      </c>
      <c r="K581" t="s">
        <v>114</v>
      </c>
      <c r="L581" t="s">
        <v>154</v>
      </c>
      <c r="M581" t="s">
        <v>116</v>
      </c>
      <c r="N581" t="s">
        <v>54</v>
      </c>
      <c r="O581" s="3">
        <v>145000</v>
      </c>
      <c r="P581" s="4">
        <v>15</v>
      </c>
      <c r="Q581" s="2">
        <v>45903</v>
      </c>
      <c r="R581" s="2">
        <v>46189</v>
      </c>
      <c r="S581" s="2">
        <v>45832</v>
      </c>
      <c r="T581" s="2"/>
      <c r="U581" t="str">
        <f t="shared" si="63"/>
        <v>No</v>
      </c>
      <c r="W5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1" t="str">
        <f t="shared" ca="1" si="64"/>
        <v>Overdue</v>
      </c>
      <c r="Y581" t="str">
        <f t="shared" si="65"/>
        <v>Open</v>
      </c>
      <c r="Z581" t="str">
        <f t="shared" si="66"/>
        <v>Jun-2025</v>
      </c>
      <c r="AA581" t="str">
        <f t="shared" si="67"/>
        <v>Q2 2025</v>
      </c>
      <c r="AB581" s="4">
        <f t="shared" ca="1" si="68"/>
        <v>369</v>
      </c>
      <c r="AC581" t="str">
        <f t="shared" si="69"/>
        <v>Medium</v>
      </c>
    </row>
    <row r="582" spans="1:29">
      <c r="A582" t="s">
        <v>2392</v>
      </c>
      <c r="B582" s="2">
        <v>46021</v>
      </c>
      <c r="C582" t="s">
        <v>1810</v>
      </c>
      <c r="D582" t="s">
        <v>242</v>
      </c>
      <c r="E582" t="s">
        <v>2393</v>
      </c>
      <c r="F582" t="s">
        <v>2394</v>
      </c>
      <c r="G582" t="s">
        <v>69</v>
      </c>
      <c r="H582" t="s">
        <v>193</v>
      </c>
      <c r="I582" t="s">
        <v>187</v>
      </c>
      <c r="J582" t="s">
        <v>131</v>
      </c>
      <c r="K582" t="s">
        <v>38</v>
      </c>
      <c r="L582" t="s">
        <v>81</v>
      </c>
      <c r="M582" t="s">
        <v>90</v>
      </c>
      <c r="N582" t="s">
        <v>91</v>
      </c>
      <c r="O582" s="3">
        <v>95000</v>
      </c>
      <c r="P582" s="4">
        <v>50</v>
      </c>
      <c r="Q582" s="2">
        <v>46105</v>
      </c>
      <c r="R582" s="2">
        <v>46157</v>
      </c>
      <c r="S582" s="2">
        <v>46046</v>
      </c>
      <c r="T582" s="2"/>
      <c r="U582" t="str">
        <f t="shared" si="63"/>
        <v>No</v>
      </c>
      <c r="W5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2" t="str">
        <f t="shared" ca="1" si="64"/>
        <v>Overdue</v>
      </c>
      <c r="Y582" t="str">
        <f t="shared" si="65"/>
        <v>Open</v>
      </c>
      <c r="Z582" t="str">
        <f t="shared" si="66"/>
        <v>Dec-2025</v>
      </c>
      <c r="AA582" t="str">
        <f t="shared" si="67"/>
        <v>Q4 2025</v>
      </c>
      <c r="AB582" s="4">
        <f t="shared" ca="1" si="68"/>
        <v>178</v>
      </c>
      <c r="AC582" t="str">
        <f t="shared" si="69"/>
        <v>Low</v>
      </c>
    </row>
    <row r="583" spans="1:29">
      <c r="A583" t="s">
        <v>2395</v>
      </c>
      <c r="B583" s="2">
        <v>45662</v>
      </c>
      <c r="C583" t="s">
        <v>2396</v>
      </c>
      <c r="D583" t="s">
        <v>581</v>
      </c>
      <c r="E583" t="s">
        <v>2397</v>
      </c>
      <c r="F583" t="s">
        <v>2398</v>
      </c>
      <c r="G583" t="s">
        <v>79</v>
      </c>
      <c r="H583" t="s">
        <v>228</v>
      </c>
      <c r="I583" t="s">
        <v>36</v>
      </c>
      <c r="J583" t="s">
        <v>124</v>
      </c>
      <c r="K583" t="s">
        <v>194</v>
      </c>
      <c r="L583" t="s">
        <v>81</v>
      </c>
      <c r="M583" t="s">
        <v>53</v>
      </c>
      <c r="N583" t="s">
        <v>54</v>
      </c>
      <c r="O583" s="3">
        <v>130000</v>
      </c>
      <c r="P583" s="4">
        <v>35</v>
      </c>
      <c r="Q583" s="2">
        <v>45741</v>
      </c>
      <c r="R583" s="2">
        <v>46203</v>
      </c>
      <c r="S583" s="2">
        <v>45677</v>
      </c>
      <c r="T583" s="2"/>
      <c r="U583" t="str">
        <f t="shared" si="63"/>
        <v>No</v>
      </c>
      <c r="W5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3" t="str">
        <f t="shared" ca="1" si="64"/>
        <v>Due/Open</v>
      </c>
      <c r="Y583" t="str">
        <f t="shared" si="65"/>
        <v>Open</v>
      </c>
      <c r="Z583" t="str">
        <f t="shared" si="66"/>
        <v>Jan-2025</v>
      </c>
      <c r="AA583" t="str">
        <f t="shared" si="67"/>
        <v>Q1 2025</v>
      </c>
      <c r="AB583" s="4">
        <f t="shared" ca="1" si="68"/>
        <v>537</v>
      </c>
      <c r="AC583" t="str">
        <f t="shared" si="69"/>
        <v>Medium</v>
      </c>
    </row>
    <row r="584" spans="1:29">
      <c r="A584" t="s">
        <v>2399</v>
      </c>
      <c r="B584" s="2">
        <v>45719</v>
      </c>
      <c r="C584" t="s">
        <v>2400</v>
      </c>
      <c r="D584" t="s">
        <v>552</v>
      </c>
      <c r="E584" t="s">
        <v>2401</v>
      </c>
      <c r="F584" t="s">
        <v>2402</v>
      </c>
      <c r="G584" t="s">
        <v>179</v>
      </c>
      <c r="H584" t="s">
        <v>318</v>
      </c>
      <c r="I584" t="s">
        <v>36</v>
      </c>
      <c r="J584" t="s">
        <v>131</v>
      </c>
      <c r="K584" t="s">
        <v>114</v>
      </c>
      <c r="L584" t="s">
        <v>52</v>
      </c>
      <c r="M584" t="s">
        <v>90</v>
      </c>
      <c r="N584" t="s">
        <v>91</v>
      </c>
      <c r="O584" s="3">
        <v>380000</v>
      </c>
      <c r="P584" s="4">
        <v>40</v>
      </c>
      <c r="Q584" s="2">
        <v>45804</v>
      </c>
      <c r="R584" s="2">
        <v>46209</v>
      </c>
      <c r="S584" s="2">
        <v>45745</v>
      </c>
      <c r="T584" s="2"/>
      <c r="U584" t="str">
        <f t="shared" si="63"/>
        <v>No</v>
      </c>
      <c r="W5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4" t="str">
        <f t="shared" ca="1" si="64"/>
        <v>Due/Open</v>
      </c>
      <c r="Y584" t="str">
        <f t="shared" si="65"/>
        <v>Open</v>
      </c>
      <c r="Z584" t="str">
        <f t="shared" si="66"/>
        <v>Mar-2025</v>
      </c>
      <c r="AA584" t="str">
        <f t="shared" si="67"/>
        <v>Q1 2025</v>
      </c>
      <c r="AB584" s="4">
        <f t="shared" ca="1" si="68"/>
        <v>480</v>
      </c>
      <c r="AC584" t="str">
        <f t="shared" si="69"/>
        <v>High</v>
      </c>
    </row>
    <row r="585" spans="1:29">
      <c r="A585" t="s">
        <v>2403</v>
      </c>
      <c r="B585" s="2">
        <v>45859</v>
      </c>
      <c r="C585" t="s">
        <v>660</v>
      </c>
      <c r="D585" t="s">
        <v>561</v>
      </c>
      <c r="E585" t="s">
        <v>2404</v>
      </c>
      <c r="F585" t="s">
        <v>2405</v>
      </c>
      <c r="G585" t="s">
        <v>34</v>
      </c>
      <c r="H585" t="s">
        <v>173</v>
      </c>
      <c r="I585" t="s">
        <v>98</v>
      </c>
      <c r="J585" t="s">
        <v>50</v>
      </c>
      <c r="K585" t="s">
        <v>71</v>
      </c>
      <c r="L585" t="s">
        <v>52</v>
      </c>
      <c r="M585" t="s">
        <v>53</v>
      </c>
      <c r="N585" t="s">
        <v>54</v>
      </c>
      <c r="O585" s="3">
        <v>470000</v>
      </c>
      <c r="P585" s="4">
        <v>35</v>
      </c>
      <c r="Q585" s="2">
        <v>45882</v>
      </c>
      <c r="R585" s="2">
        <v>46167</v>
      </c>
      <c r="S585" s="2">
        <v>45872</v>
      </c>
      <c r="T585" s="2"/>
      <c r="U585" t="str">
        <f t="shared" si="63"/>
        <v>No</v>
      </c>
      <c r="W5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5" t="str">
        <f t="shared" ca="1" si="64"/>
        <v>Overdue</v>
      </c>
      <c r="Y585" t="str">
        <f t="shared" si="65"/>
        <v>Open</v>
      </c>
      <c r="Z585" t="str">
        <f t="shared" si="66"/>
        <v>Jul-2025</v>
      </c>
      <c r="AA585" t="str">
        <f t="shared" si="67"/>
        <v>Q3 2025</v>
      </c>
      <c r="AB585" s="4">
        <f t="shared" ca="1" si="68"/>
        <v>340</v>
      </c>
      <c r="AC585" t="str">
        <f t="shared" si="69"/>
        <v>High</v>
      </c>
    </row>
    <row r="586" spans="1:29">
      <c r="A586" t="s">
        <v>2406</v>
      </c>
      <c r="B586" s="2">
        <v>46189</v>
      </c>
      <c r="C586" t="s">
        <v>667</v>
      </c>
      <c r="D586" t="s">
        <v>914</v>
      </c>
      <c r="E586" t="s">
        <v>2407</v>
      </c>
      <c r="F586" t="s">
        <v>2408</v>
      </c>
      <c r="G586" t="s">
        <v>34</v>
      </c>
      <c r="H586" t="s">
        <v>35</v>
      </c>
      <c r="I586" t="s">
        <v>49</v>
      </c>
      <c r="J586" t="s">
        <v>124</v>
      </c>
      <c r="K586" t="s">
        <v>114</v>
      </c>
      <c r="L586" t="s">
        <v>142</v>
      </c>
      <c r="M586" t="s">
        <v>73</v>
      </c>
      <c r="N586" t="s">
        <v>73</v>
      </c>
      <c r="O586" s="3">
        <v>100000</v>
      </c>
      <c r="P586" s="4">
        <v>85</v>
      </c>
      <c r="Q586" s="2">
        <v>46264</v>
      </c>
      <c r="R586" s="2">
        <v>46158</v>
      </c>
      <c r="S586" s="2">
        <v>46191</v>
      </c>
      <c r="T586" s="2"/>
      <c r="U586" t="str">
        <f t="shared" si="63"/>
        <v>No</v>
      </c>
      <c r="W5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6" t="str">
        <f t="shared" ca="1" si="64"/>
        <v>Overdue</v>
      </c>
      <c r="Y586" t="str">
        <f t="shared" si="65"/>
        <v>Open</v>
      </c>
      <c r="Z586" t="str">
        <f t="shared" si="66"/>
        <v>Jun-2026</v>
      </c>
      <c r="AA586" t="str">
        <f t="shared" si="67"/>
        <v>Q2 2026</v>
      </c>
      <c r="AB586" s="4">
        <f t="shared" ca="1" si="68"/>
        <v>10</v>
      </c>
      <c r="AC586" t="str">
        <f t="shared" si="69"/>
        <v>Low</v>
      </c>
    </row>
    <row r="587" spans="1:29">
      <c r="A587" t="s">
        <v>2409</v>
      </c>
      <c r="B587" s="2">
        <v>45976</v>
      </c>
      <c r="C587" t="s">
        <v>1261</v>
      </c>
      <c r="D587" t="s">
        <v>573</v>
      </c>
      <c r="E587" t="s">
        <v>2410</v>
      </c>
      <c r="F587" t="s">
        <v>2411</v>
      </c>
      <c r="G587" t="s">
        <v>179</v>
      </c>
      <c r="H587" t="s">
        <v>186</v>
      </c>
      <c r="I587" t="s">
        <v>123</v>
      </c>
      <c r="J587" t="s">
        <v>37</v>
      </c>
      <c r="K587" t="s">
        <v>38</v>
      </c>
      <c r="L587" t="s">
        <v>81</v>
      </c>
      <c r="M587" t="s">
        <v>133</v>
      </c>
      <c r="N587" t="s">
        <v>134</v>
      </c>
      <c r="O587" s="3">
        <v>120000</v>
      </c>
      <c r="P587" s="4">
        <v>0</v>
      </c>
      <c r="Q587" s="2">
        <v>46001</v>
      </c>
      <c r="R587" s="2"/>
      <c r="S587" s="2">
        <v>46004</v>
      </c>
      <c r="T587" s="2">
        <v>46001</v>
      </c>
      <c r="U587" t="str">
        <f t="shared" si="63"/>
        <v>No</v>
      </c>
      <c r="V587" t="s">
        <v>276</v>
      </c>
      <c r="W58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587" t="str">
        <f t="shared" ca="1" si="64"/>
        <v>Closed</v>
      </c>
      <c r="Y587" t="str">
        <f t="shared" si="65"/>
        <v>Closed</v>
      </c>
      <c r="Z587" t="str">
        <f t="shared" si="66"/>
        <v>Nov-2025</v>
      </c>
      <c r="AA587" t="str">
        <f t="shared" si="67"/>
        <v>Q4 2025</v>
      </c>
      <c r="AB587" s="4">
        <f t="shared" ca="1" si="68"/>
        <v>223</v>
      </c>
      <c r="AC587" t="str">
        <f t="shared" si="69"/>
        <v>Medium</v>
      </c>
    </row>
    <row r="588" spans="1:29">
      <c r="A588" t="s">
        <v>2412</v>
      </c>
      <c r="B588" s="2">
        <v>45792</v>
      </c>
      <c r="C588" t="s">
        <v>2413</v>
      </c>
      <c r="D588" t="s">
        <v>247</v>
      </c>
      <c r="E588" t="s">
        <v>2414</v>
      </c>
      <c r="F588" t="s">
        <v>2415</v>
      </c>
      <c r="G588" t="s">
        <v>79</v>
      </c>
      <c r="H588" t="s">
        <v>217</v>
      </c>
      <c r="I588" t="s">
        <v>36</v>
      </c>
      <c r="J588" t="s">
        <v>62</v>
      </c>
      <c r="K588" t="s">
        <v>100</v>
      </c>
      <c r="L588" t="s">
        <v>107</v>
      </c>
      <c r="M588" t="s">
        <v>90</v>
      </c>
      <c r="N588" t="s">
        <v>91</v>
      </c>
      <c r="O588" s="3">
        <v>180000</v>
      </c>
      <c r="P588" s="4">
        <v>55</v>
      </c>
      <c r="Q588" s="2">
        <v>45869</v>
      </c>
      <c r="R588" s="2">
        <v>46236</v>
      </c>
      <c r="S588" s="2">
        <v>45815</v>
      </c>
      <c r="T588" s="2"/>
      <c r="U588" t="str">
        <f t="shared" si="63"/>
        <v>No</v>
      </c>
      <c r="W5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88" t="str">
        <f t="shared" ca="1" si="64"/>
        <v>Due/Open</v>
      </c>
      <c r="Y588" t="str">
        <f t="shared" si="65"/>
        <v>Open</v>
      </c>
      <c r="Z588" t="str">
        <f t="shared" si="66"/>
        <v>May-2025</v>
      </c>
      <c r="AA588" t="str">
        <f t="shared" si="67"/>
        <v>Q2 2025</v>
      </c>
      <c r="AB588" s="4">
        <f t="shared" ca="1" si="68"/>
        <v>407</v>
      </c>
      <c r="AC588" t="str">
        <f t="shared" si="69"/>
        <v>Medium</v>
      </c>
    </row>
    <row r="589" spans="1:29">
      <c r="A589" t="s">
        <v>2416</v>
      </c>
      <c r="B589" s="2">
        <v>46092</v>
      </c>
      <c r="C589" t="s">
        <v>1042</v>
      </c>
      <c r="D589" t="s">
        <v>214</v>
      </c>
      <c r="E589" t="s">
        <v>2417</v>
      </c>
      <c r="F589" t="s">
        <v>2418</v>
      </c>
      <c r="G589" t="s">
        <v>179</v>
      </c>
      <c r="H589" t="s">
        <v>487</v>
      </c>
      <c r="I589" t="s">
        <v>98</v>
      </c>
      <c r="J589" t="s">
        <v>62</v>
      </c>
      <c r="K589" t="s">
        <v>100</v>
      </c>
      <c r="L589" t="s">
        <v>154</v>
      </c>
      <c r="M589" t="s">
        <v>133</v>
      </c>
      <c r="N589" t="s">
        <v>134</v>
      </c>
      <c r="O589" s="3">
        <v>305000</v>
      </c>
      <c r="P589" s="4">
        <v>0</v>
      </c>
      <c r="Q589" s="2">
        <v>46130</v>
      </c>
      <c r="R589" s="2"/>
      <c r="S589" s="2">
        <v>46107</v>
      </c>
      <c r="T589" s="2">
        <v>46130</v>
      </c>
      <c r="U589" t="str">
        <f t="shared" si="63"/>
        <v>No</v>
      </c>
      <c r="V589" t="s">
        <v>319</v>
      </c>
      <c r="W5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589" t="str">
        <f t="shared" ca="1" si="64"/>
        <v>Closed</v>
      </c>
      <c r="Y589" t="str">
        <f t="shared" si="65"/>
        <v>Closed</v>
      </c>
      <c r="Z589" t="str">
        <f t="shared" si="66"/>
        <v>Mar-2026</v>
      </c>
      <c r="AA589" t="str">
        <f t="shared" si="67"/>
        <v>Q1 2026</v>
      </c>
      <c r="AB589" s="4">
        <f t="shared" ca="1" si="68"/>
        <v>107</v>
      </c>
      <c r="AC589" t="str">
        <f t="shared" si="69"/>
        <v>High</v>
      </c>
    </row>
    <row r="590" spans="1:29">
      <c r="A590" t="s">
        <v>2419</v>
      </c>
      <c r="B590" s="2">
        <v>46085</v>
      </c>
      <c r="C590" t="s">
        <v>2420</v>
      </c>
      <c r="D590" t="s">
        <v>484</v>
      </c>
      <c r="E590" t="s">
        <v>2421</v>
      </c>
      <c r="F590" t="s">
        <v>2422</v>
      </c>
      <c r="G590" t="s">
        <v>47</v>
      </c>
      <c r="H590" t="s">
        <v>113</v>
      </c>
      <c r="I590" t="s">
        <v>36</v>
      </c>
      <c r="J590" t="s">
        <v>37</v>
      </c>
      <c r="K590" t="s">
        <v>71</v>
      </c>
      <c r="L590" t="s">
        <v>39</v>
      </c>
      <c r="M590" t="s">
        <v>90</v>
      </c>
      <c r="N590" t="s">
        <v>91</v>
      </c>
      <c r="O590" s="3">
        <v>130000</v>
      </c>
      <c r="P590" s="4">
        <v>50</v>
      </c>
      <c r="Q590" s="2">
        <v>46129</v>
      </c>
      <c r="R590" s="2">
        <v>46205</v>
      </c>
      <c r="S590" s="2">
        <v>46110</v>
      </c>
      <c r="T590" s="2"/>
      <c r="U590" t="str">
        <f t="shared" si="63"/>
        <v>No</v>
      </c>
      <c r="W5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0" t="str">
        <f t="shared" ca="1" si="64"/>
        <v>Due/Open</v>
      </c>
      <c r="Y590" t="str">
        <f t="shared" si="65"/>
        <v>Open</v>
      </c>
      <c r="Z590" t="str">
        <f t="shared" si="66"/>
        <v>Mar-2026</v>
      </c>
      <c r="AA590" t="str">
        <f t="shared" si="67"/>
        <v>Q1 2026</v>
      </c>
      <c r="AB590" s="4">
        <f t="shared" ca="1" si="68"/>
        <v>114</v>
      </c>
      <c r="AC590" t="str">
        <f t="shared" si="69"/>
        <v>Medium</v>
      </c>
    </row>
    <row r="591" spans="1:29">
      <c r="A591" t="s">
        <v>2423</v>
      </c>
      <c r="B591" s="2">
        <v>45773</v>
      </c>
      <c r="C591" t="s">
        <v>2424</v>
      </c>
      <c r="D591" t="s">
        <v>526</v>
      </c>
      <c r="E591" t="s">
        <v>2425</v>
      </c>
      <c r="F591" t="s">
        <v>2426</v>
      </c>
      <c r="G591" t="s">
        <v>69</v>
      </c>
      <c r="H591" t="s">
        <v>70</v>
      </c>
      <c r="I591" t="s">
        <v>49</v>
      </c>
      <c r="J591" t="s">
        <v>131</v>
      </c>
      <c r="K591" t="s">
        <v>194</v>
      </c>
      <c r="L591" t="s">
        <v>63</v>
      </c>
      <c r="M591" t="s">
        <v>82</v>
      </c>
      <c r="N591" t="s">
        <v>83</v>
      </c>
      <c r="O591" s="3">
        <v>155000</v>
      </c>
      <c r="P591" s="4">
        <v>5</v>
      </c>
      <c r="Q591" s="2">
        <v>45816</v>
      </c>
      <c r="R591" s="2">
        <v>46165</v>
      </c>
      <c r="S591" s="2">
        <v>45801</v>
      </c>
      <c r="T591" s="2"/>
      <c r="U591" t="str">
        <f t="shared" si="63"/>
        <v>No</v>
      </c>
      <c r="W5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1" t="str">
        <f t="shared" ca="1" si="64"/>
        <v>Overdue</v>
      </c>
      <c r="Y591" t="str">
        <f t="shared" si="65"/>
        <v>Open</v>
      </c>
      <c r="Z591" t="str">
        <f t="shared" si="66"/>
        <v>Apr-2025</v>
      </c>
      <c r="AA591" t="str">
        <f t="shared" si="67"/>
        <v>Q2 2025</v>
      </c>
      <c r="AB591" s="4">
        <f t="shared" ca="1" si="68"/>
        <v>426</v>
      </c>
      <c r="AC591" t="str">
        <f t="shared" si="69"/>
        <v>Medium</v>
      </c>
    </row>
    <row r="592" spans="1:29">
      <c r="A592" t="s">
        <v>2427</v>
      </c>
      <c r="B592" s="2">
        <v>46028</v>
      </c>
      <c r="C592" t="s">
        <v>2428</v>
      </c>
      <c r="D592" t="s">
        <v>389</v>
      </c>
      <c r="E592" t="s">
        <v>2429</v>
      </c>
      <c r="F592" t="s">
        <v>2430</v>
      </c>
      <c r="G592" t="s">
        <v>47</v>
      </c>
      <c r="H592" t="s">
        <v>418</v>
      </c>
      <c r="I592" t="s">
        <v>36</v>
      </c>
      <c r="J592" t="s">
        <v>99</v>
      </c>
      <c r="K592" t="s">
        <v>114</v>
      </c>
      <c r="L592" t="s">
        <v>63</v>
      </c>
      <c r="M592" t="s">
        <v>40</v>
      </c>
      <c r="N592" t="s">
        <v>41</v>
      </c>
      <c r="O592" s="3">
        <v>240000</v>
      </c>
      <c r="P592" s="4">
        <v>100</v>
      </c>
      <c r="Q592" s="2">
        <v>46103</v>
      </c>
      <c r="R592" s="2"/>
      <c r="S592" s="2">
        <v>46051</v>
      </c>
      <c r="T592" s="2">
        <v>46103</v>
      </c>
      <c r="U592" t="str">
        <f t="shared" si="63"/>
        <v>Yes</v>
      </c>
      <c r="W59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592" t="str">
        <f t="shared" ca="1" si="64"/>
        <v>Closed</v>
      </c>
      <c r="Y592" t="str">
        <f t="shared" si="65"/>
        <v>Closed</v>
      </c>
      <c r="Z592" t="str">
        <f t="shared" si="66"/>
        <v>Jan-2026</v>
      </c>
      <c r="AA592" t="str">
        <f t="shared" si="67"/>
        <v>Q1 2026</v>
      </c>
      <c r="AB592" s="4">
        <f t="shared" ca="1" si="68"/>
        <v>171</v>
      </c>
      <c r="AC592" t="str">
        <f t="shared" si="69"/>
        <v>Medium</v>
      </c>
    </row>
    <row r="593" spans="1:29">
      <c r="A593" t="s">
        <v>2431</v>
      </c>
      <c r="B593" s="2">
        <v>46178</v>
      </c>
      <c r="C593" t="s">
        <v>2147</v>
      </c>
      <c r="D593" t="s">
        <v>76</v>
      </c>
      <c r="E593" t="s">
        <v>2432</v>
      </c>
      <c r="F593" t="s">
        <v>2433</v>
      </c>
      <c r="G593" t="s">
        <v>69</v>
      </c>
      <c r="H593" t="s">
        <v>270</v>
      </c>
      <c r="I593" t="s">
        <v>148</v>
      </c>
      <c r="J593" t="s">
        <v>50</v>
      </c>
      <c r="K593" t="s">
        <v>114</v>
      </c>
      <c r="L593" t="s">
        <v>154</v>
      </c>
      <c r="M593" t="s">
        <v>53</v>
      </c>
      <c r="N593" t="s">
        <v>54</v>
      </c>
      <c r="O593" s="3">
        <v>245000</v>
      </c>
      <c r="P593" s="4">
        <v>30</v>
      </c>
      <c r="Q593" s="2">
        <v>46238</v>
      </c>
      <c r="R593" s="2">
        <v>46202</v>
      </c>
      <c r="S593" s="2">
        <v>46185</v>
      </c>
      <c r="T593" s="2"/>
      <c r="U593" t="str">
        <f t="shared" si="63"/>
        <v>No</v>
      </c>
      <c r="W5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3" t="str">
        <f t="shared" ca="1" si="64"/>
        <v>Due/Open</v>
      </c>
      <c r="Y593" t="str">
        <f t="shared" si="65"/>
        <v>Open</v>
      </c>
      <c r="Z593" t="str">
        <f t="shared" si="66"/>
        <v>Jun-2026</v>
      </c>
      <c r="AA593" t="str">
        <f t="shared" si="67"/>
        <v>Q2 2026</v>
      </c>
      <c r="AB593" s="4">
        <f t="shared" ca="1" si="68"/>
        <v>21</v>
      </c>
      <c r="AC593" t="str">
        <f t="shared" si="69"/>
        <v>Medium</v>
      </c>
    </row>
    <row r="594" spans="1:29">
      <c r="A594" t="s">
        <v>2434</v>
      </c>
      <c r="B594" s="2">
        <v>45906</v>
      </c>
      <c r="C594" t="s">
        <v>2435</v>
      </c>
      <c r="D594" t="s">
        <v>1701</v>
      </c>
      <c r="E594" t="s">
        <v>2436</v>
      </c>
      <c r="F594" t="s">
        <v>2437</v>
      </c>
      <c r="G594" t="s">
        <v>179</v>
      </c>
      <c r="H594" t="s">
        <v>487</v>
      </c>
      <c r="I594" t="s">
        <v>36</v>
      </c>
      <c r="J594" t="s">
        <v>99</v>
      </c>
      <c r="K594" t="s">
        <v>38</v>
      </c>
      <c r="L594" t="s">
        <v>39</v>
      </c>
      <c r="M594" t="s">
        <v>210</v>
      </c>
      <c r="N594" t="s">
        <v>134</v>
      </c>
      <c r="O594" s="3">
        <v>510000</v>
      </c>
      <c r="P594" s="4">
        <v>0</v>
      </c>
      <c r="Q594" s="2">
        <v>45953</v>
      </c>
      <c r="R594" s="2"/>
      <c r="S594" s="2">
        <v>45907</v>
      </c>
      <c r="T594" s="2">
        <v>45953</v>
      </c>
      <c r="U594" t="str">
        <f t="shared" si="63"/>
        <v>No</v>
      </c>
      <c r="V594" t="s">
        <v>319</v>
      </c>
      <c r="W5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594" t="str">
        <f t="shared" ca="1" si="64"/>
        <v>Closed</v>
      </c>
      <c r="Y594" t="str">
        <f t="shared" si="65"/>
        <v>Closed</v>
      </c>
      <c r="Z594" t="str">
        <f t="shared" si="66"/>
        <v>Sep-2025</v>
      </c>
      <c r="AA594" t="str">
        <f t="shared" si="67"/>
        <v>Q3 2025</v>
      </c>
      <c r="AB594" s="4">
        <f t="shared" ca="1" si="68"/>
        <v>293</v>
      </c>
      <c r="AC594" t="str">
        <f t="shared" si="69"/>
        <v>High</v>
      </c>
    </row>
    <row r="595" spans="1:29">
      <c r="A595" t="s">
        <v>2438</v>
      </c>
      <c r="B595" s="2">
        <v>45938</v>
      </c>
      <c r="C595" t="s">
        <v>644</v>
      </c>
      <c r="D595" t="s">
        <v>1118</v>
      </c>
      <c r="E595" t="s">
        <v>2439</v>
      </c>
      <c r="F595" t="s">
        <v>2440</v>
      </c>
      <c r="G595" t="s">
        <v>79</v>
      </c>
      <c r="H595" t="s">
        <v>228</v>
      </c>
      <c r="I595" t="s">
        <v>187</v>
      </c>
      <c r="J595" t="s">
        <v>131</v>
      </c>
      <c r="K595" t="s">
        <v>71</v>
      </c>
      <c r="L595" t="s">
        <v>125</v>
      </c>
      <c r="M595" t="s">
        <v>116</v>
      </c>
      <c r="N595" t="s">
        <v>54</v>
      </c>
      <c r="O595" s="3">
        <v>330000</v>
      </c>
      <c r="P595" s="4">
        <v>20</v>
      </c>
      <c r="Q595" s="2">
        <v>45983</v>
      </c>
      <c r="R595" s="2">
        <v>46224</v>
      </c>
      <c r="S595" s="2">
        <v>45956</v>
      </c>
      <c r="T595" s="2"/>
      <c r="U595" t="str">
        <f t="shared" si="63"/>
        <v>No</v>
      </c>
      <c r="W5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5" t="str">
        <f t="shared" ca="1" si="64"/>
        <v>Due/Open</v>
      </c>
      <c r="Y595" t="str">
        <f t="shared" si="65"/>
        <v>Open</v>
      </c>
      <c r="Z595" t="str">
        <f t="shared" si="66"/>
        <v>Oct-2025</v>
      </c>
      <c r="AA595" t="str">
        <f t="shared" si="67"/>
        <v>Q4 2025</v>
      </c>
      <c r="AB595" s="4">
        <f t="shared" ca="1" si="68"/>
        <v>261</v>
      </c>
      <c r="AC595" t="str">
        <f t="shared" si="69"/>
        <v>High</v>
      </c>
    </row>
    <row r="596" spans="1:29">
      <c r="A596" t="s">
        <v>2441</v>
      </c>
      <c r="B596" s="2">
        <v>45798</v>
      </c>
      <c r="C596" t="s">
        <v>93</v>
      </c>
      <c r="D596" t="s">
        <v>86</v>
      </c>
      <c r="E596" t="s">
        <v>2442</v>
      </c>
      <c r="F596" t="s">
        <v>2443</v>
      </c>
      <c r="G596" t="s">
        <v>79</v>
      </c>
      <c r="H596" t="s">
        <v>97</v>
      </c>
      <c r="I596" t="s">
        <v>36</v>
      </c>
      <c r="J596" t="s">
        <v>37</v>
      </c>
      <c r="K596" t="s">
        <v>100</v>
      </c>
      <c r="L596" t="s">
        <v>52</v>
      </c>
      <c r="M596" t="s">
        <v>166</v>
      </c>
      <c r="N596" t="s">
        <v>167</v>
      </c>
      <c r="O596" s="3">
        <v>50000</v>
      </c>
      <c r="P596" s="4">
        <v>70</v>
      </c>
      <c r="Q596" s="2">
        <v>45859</v>
      </c>
      <c r="R596" s="2">
        <v>46183</v>
      </c>
      <c r="S596" s="2">
        <v>45802</v>
      </c>
      <c r="T596" s="2"/>
      <c r="U596" t="str">
        <f t="shared" si="63"/>
        <v>No</v>
      </c>
      <c r="W5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6" t="str">
        <f t="shared" ca="1" si="64"/>
        <v>Overdue</v>
      </c>
      <c r="Y596" t="str">
        <f t="shared" si="65"/>
        <v>Open</v>
      </c>
      <c r="Z596" t="str">
        <f t="shared" si="66"/>
        <v>May-2025</v>
      </c>
      <c r="AA596" t="str">
        <f t="shared" si="67"/>
        <v>Q2 2025</v>
      </c>
      <c r="AB596" s="4">
        <f t="shared" ca="1" si="68"/>
        <v>401</v>
      </c>
      <c r="AC596" t="str">
        <f t="shared" si="69"/>
        <v>Low</v>
      </c>
    </row>
    <row r="597" spans="1:29">
      <c r="A597" t="s">
        <v>2444</v>
      </c>
      <c r="B597" s="2">
        <v>46109</v>
      </c>
      <c r="C597" t="s">
        <v>899</v>
      </c>
      <c r="D597" t="s">
        <v>1335</v>
      </c>
      <c r="E597" t="s">
        <v>2445</v>
      </c>
      <c r="F597" t="s">
        <v>2446</v>
      </c>
      <c r="G597" t="s">
        <v>69</v>
      </c>
      <c r="H597" t="s">
        <v>285</v>
      </c>
      <c r="I597" t="s">
        <v>61</v>
      </c>
      <c r="J597" t="s">
        <v>37</v>
      </c>
      <c r="K597" t="s">
        <v>71</v>
      </c>
      <c r="L597" t="s">
        <v>81</v>
      </c>
      <c r="M597" t="s">
        <v>166</v>
      </c>
      <c r="N597" t="s">
        <v>167</v>
      </c>
      <c r="O597" s="3">
        <v>105000</v>
      </c>
      <c r="P597" s="4">
        <v>65</v>
      </c>
      <c r="Q597" s="2">
        <v>46183</v>
      </c>
      <c r="R597" s="2">
        <v>46164</v>
      </c>
      <c r="S597" s="2">
        <v>46120</v>
      </c>
      <c r="T597" s="2"/>
      <c r="U597" t="str">
        <f t="shared" si="63"/>
        <v>No</v>
      </c>
      <c r="W5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7" t="str">
        <f t="shared" ca="1" si="64"/>
        <v>Overdue</v>
      </c>
      <c r="Y597" t="str">
        <f t="shared" si="65"/>
        <v>Open</v>
      </c>
      <c r="Z597" t="str">
        <f t="shared" si="66"/>
        <v>Mar-2026</v>
      </c>
      <c r="AA597" t="str">
        <f t="shared" si="67"/>
        <v>Q1 2026</v>
      </c>
      <c r="AB597" s="4">
        <f t="shared" ca="1" si="68"/>
        <v>90</v>
      </c>
      <c r="AC597" t="str">
        <f t="shared" si="69"/>
        <v>Low</v>
      </c>
    </row>
    <row r="598" spans="1:29">
      <c r="A598" t="s">
        <v>2447</v>
      </c>
      <c r="B598" s="2">
        <v>45945</v>
      </c>
      <c r="C598" t="s">
        <v>1330</v>
      </c>
      <c r="D598" t="s">
        <v>775</v>
      </c>
      <c r="E598" t="s">
        <v>2448</v>
      </c>
      <c r="F598" t="s">
        <v>2449</v>
      </c>
      <c r="G598" t="s">
        <v>179</v>
      </c>
      <c r="H598" t="s">
        <v>186</v>
      </c>
      <c r="I598" t="s">
        <v>148</v>
      </c>
      <c r="J598" t="s">
        <v>99</v>
      </c>
      <c r="K598" t="s">
        <v>38</v>
      </c>
      <c r="L598" t="s">
        <v>81</v>
      </c>
      <c r="M598" t="s">
        <v>82</v>
      </c>
      <c r="N598" t="s">
        <v>83</v>
      </c>
      <c r="O598" s="3">
        <v>160000</v>
      </c>
      <c r="P598" s="4">
        <v>10</v>
      </c>
      <c r="Q598" s="2">
        <v>45975</v>
      </c>
      <c r="R598" s="2">
        <v>46208</v>
      </c>
      <c r="S598" s="2">
        <v>45970</v>
      </c>
      <c r="T598" s="2"/>
      <c r="U598" t="str">
        <f t="shared" si="63"/>
        <v>No</v>
      </c>
      <c r="W5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8" t="str">
        <f t="shared" ca="1" si="64"/>
        <v>Due/Open</v>
      </c>
      <c r="Y598" t="str">
        <f t="shared" si="65"/>
        <v>Open</v>
      </c>
      <c r="Z598" t="str">
        <f t="shared" si="66"/>
        <v>Oct-2025</v>
      </c>
      <c r="AA598" t="str">
        <f t="shared" si="67"/>
        <v>Q4 2025</v>
      </c>
      <c r="AB598" s="4">
        <f t="shared" ca="1" si="68"/>
        <v>254</v>
      </c>
      <c r="AC598" t="str">
        <f t="shared" si="69"/>
        <v>Medium</v>
      </c>
    </row>
    <row r="599" spans="1:29">
      <c r="A599" t="s">
        <v>2450</v>
      </c>
      <c r="B599" s="2">
        <v>46075</v>
      </c>
      <c r="C599" t="s">
        <v>379</v>
      </c>
      <c r="D599" t="s">
        <v>263</v>
      </c>
      <c r="E599" t="s">
        <v>2451</v>
      </c>
      <c r="F599" t="s">
        <v>2452</v>
      </c>
      <c r="G599" t="s">
        <v>34</v>
      </c>
      <c r="H599" t="s">
        <v>238</v>
      </c>
      <c r="I599" t="s">
        <v>187</v>
      </c>
      <c r="J599" t="s">
        <v>50</v>
      </c>
      <c r="K599" t="s">
        <v>100</v>
      </c>
      <c r="L599" t="s">
        <v>72</v>
      </c>
      <c r="M599" t="s">
        <v>73</v>
      </c>
      <c r="N599" t="s">
        <v>73</v>
      </c>
      <c r="O599" s="3">
        <v>220000</v>
      </c>
      <c r="P599" s="4">
        <v>85</v>
      </c>
      <c r="Q599" s="2">
        <v>46129</v>
      </c>
      <c r="R599" s="2">
        <v>46172</v>
      </c>
      <c r="S599" s="2">
        <v>46089</v>
      </c>
      <c r="T599" s="2"/>
      <c r="U599" t="str">
        <f t="shared" si="63"/>
        <v>No</v>
      </c>
      <c r="W5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599" t="str">
        <f t="shared" ca="1" si="64"/>
        <v>Overdue</v>
      </c>
      <c r="Y599" t="str">
        <f t="shared" si="65"/>
        <v>Open</v>
      </c>
      <c r="Z599" t="str">
        <f t="shared" si="66"/>
        <v>Feb-2026</v>
      </c>
      <c r="AA599" t="str">
        <f t="shared" si="67"/>
        <v>Q1 2026</v>
      </c>
      <c r="AB599" s="4">
        <f t="shared" ca="1" si="68"/>
        <v>124</v>
      </c>
      <c r="AC599" t="str">
        <f t="shared" si="69"/>
        <v>Medium</v>
      </c>
    </row>
    <row r="600" spans="1:29">
      <c r="A600" t="s">
        <v>2453</v>
      </c>
      <c r="B600" s="2">
        <v>45946</v>
      </c>
      <c r="C600" t="s">
        <v>980</v>
      </c>
      <c r="D600" t="s">
        <v>1815</v>
      </c>
      <c r="E600" t="s">
        <v>2454</v>
      </c>
      <c r="F600" t="s">
        <v>2455</v>
      </c>
      <c r="G600" t="s">
        <v>69</v>
      </c>
      <c r="H600" t="s">
        <v>285</v>
      </c>
      <c r="I600" t="s">
        <v>187</v>
      </c>
      <c r="J600" t="s">
        <v>37</v>
      </c>
      <c r="K600" t="s">
        <v>194</v>
      </c>
      <c r="L600" t="s">
        <v>142</v>
      </c>
      <c r="M600" t="s">
        <v>40</v>
      </c>
      <c r="N600" t="s">
        <v>41</v>
      </c>
      <c r="O600" s="3">
        <v>165000</v>
      </c>
      <c r="P600" s="4">
        <v>100</v>
      </c>
      <c r="Q600" s="2">
        <v>45973</v>
      </c>
      <c r="R600" s="2"/>
      <c r="S600" s="2">
        <v>45958</v>
      </c>
      <c r="T600" s="2">
        <v>45973</v>
      </c>
      <c r="U600" t="str">
        <f t="shared" si="63"/>
        <v>Yes</v>
      </c>
      <c r="W60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600" t="str">
        <f t="shared" ca="1" si="64"/>
        <v>Closed</v>
      </c>
      <c r="Y600" t="str">
        <f t="shared" si="65"/>
        <v>Closed</v>
      </c>
      <c r="Z600" t="str">
        <f t="shared" si="66"/>
        <v>Oct-2025</v>
      </c>
      <c r="AA600" t="str">
        <f t="shared" si="67"/>
        <v>Q4 2025</v>
      </c>
      <c r="AB600" s="4">
        <f t="shared" ca="1" si="68"/>
        <v>253</v>
      </c>
      <c r="AC600" t="str">
        <f t="shared" si="69"/>
        <v>Medium</v>
      </c>
    </row>
    <row r="601" spans="1:29">
      <c r="A601" t="s">
        <v>2456</v>
      </c>
      <c r="B601" s="2">
        <v>45663</v>
      </c>
      <c r="C601" t="s">
        <v>2457</v>
      </c>
      <c r="D601" t="s">
        <v>293</v>
      </c>
      <c r="E601" t="s">
        <v>2458</v>
      </c>
      <c r="F601" t="s">
        <v>2459</v>
      </c>
      <c r="G601" t="s">
        <v>69</v>
      </c>
      <c r="H601" t="s">
        <v>70</v>
      </c>
      <c r="I601" t="s">
        <v>141</v>
      </c>
      <c r="J601" t="s">
        <v>131</v>
      </c>
      <c r="K601" t="s">
        <v>114</v>
      </c>
      <c r="L601" t="s">
        <v>107</v>
      </c>
      <c r="M601" t="s">
        <v>90</v>
      </c>
      <c r="N601" t="s">
        <v>91</v>
      </c>
      <c r="O601" s="3">
        <v>210000</v>
      </c>
      <c r="P601" s="4">
        <v>50</v>
      </c>
      <c r="Q601" s="2">
        <v>45747</v>
      </c>
      <c r="R601" s="2">
        <v>46220</v>
      </c>
      <c r="S601" s="2">
        <v>45678</v>
      </c>
      <c r="T601" s="2"/>
      <c r="U601" t="str">
        <f t="shared" si="63"/>
        <v>No</v>
      </c>
      <c r="W6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1" t="str">
        <f t="shared" ca="1" si="64"/>
        <v>Due/Open</v>
      </c>
      <c r="Y601" t="str">
        <f t="shared" si="65"/>
        <v>Open</v>
      </c>
      <c r="Z601" t="str">
        <f t="shared" si="66"/>
        <v>Jan-2025</v>
      </c>
      <c r="AA601" t="str">
        <f t="shared" si="67"/>
        <v>Q1 2025</v>
      </c>
      <c r="AB601" s="4">
        <f t="shared" ca="1" si="68"/>
        <v>536</v>
      </c>
      <c r="AC601" t="str">
        <f t="shared" si="69"/>
        <v>Medium</v>
      </c>
    </row>
    <row r="602" spans="1:29">
      <c r="A602" t="s">
        <v>2460</v>
      </c>
      <c r="B602" s="2">
        <v>45882</v>
      </c>
      <c r="C602" t="s">
        <v>2461</v>
      </c>
      <c r="D602" t="s">
        <v>1933</v>
      </c>
      <c r="E602" t="s">
        <v>2462</v>
      </c>
      <c r="F602" t="s">
        <v>2463</v>
      </c>
      <c r="G602" t="s">
        <v>47</v>
      </c>
      <c r="H602" t="s">
        <v>48</v>
      </c>
      <c r="I602" t="s">
        <v>98</v>
      </c>
      <c r="J602" t="s">
        <v>50</v>
      </c>
      <c r="K602" t="s">
        <v>114</v>
      </c>
      <c r="L602" t="s">
        <v>39</v>
      </c>
      <c r="M602" t="s">
        <v>90</v>
      </c>
      <c r="N602" t="s">
        <v>91</v>
      </c>
      <c r="O602" s="3">
        <v>365000</v>
      </c>
      <c r="P602" s="4">
        <v>50</v>
      </c>
      <c r="Q602" s="2">
        <v>45950</v>
      </c>
      <c r="R602" s="2">
        <v>46242</v>
      </c>
      <c r="S602" s="2">
        <v>45904</v>
      </c>
      <c r="T602" s="2"/>
      <c r="U602" t="str">
        <f t="shared" si="63"/>
        <v>No</v>
      </c>
      <c r="W6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2" t="str">
        <f t="shared" ca="1" si="64"/>
        <v>Due/Open</v>
      </c>
      <c r="Y602" t="str">
        <f t="shared" si="65"/>
        <v>Open</v>
      </c>
      <c r="Z602" t="str">
        <f t="shared" si="66"/>
        <v>Aug-2025</v>
      </c>
      <c r="AA602" t="str">
        <f t="shared" si="67"/>
        <v>Q3 2025</v>
      </c>
      <c r="AB602" s="4">
        <f t="shared" ca="1" si="68"/>
        <v>317</v>
      </c>
      <c r="AC602" t="str">
        <f t="shared" si="69"/>
        <v>High</v>
      </c>
    </row>
    <row r="603" spans="1:29">
      <c r="A603" t="s">
        <v>2464</v>
      </c>
      <c r="B603" s="2">
        <v>46127</v>
      </c>
      <c r="C603" t="s">
        <v>489</v>
      </c>
      <c r="D603" t="s">
        <v>1183</v>
      </c>
      <c r="E603" t="s">
        <v>2465</v>
      </c>
      <c r="F603" t="s">
        <v>2466</v>
      </c>
      <c r="G603" t="s">
        <v>69</v>
      </c>
      <c r="H603" t="s">
        <v>70</v>
      </c>
      <c r="I603" t="s">
        <v>49</v>
      </c>
      <c r="J603" t="s">
        <v>37</v>
      </c>
      <c r="K603" t="s">
        <v>100</v>
      </c>
      <c r="L603" t="s">
        <v>125</v>
      </c>
      <c r="M603" t="s">
        <v>53</v>
      </c>
      <c r="N603" t="s">
        <v>54</v>
      </c>
      <c r="O603" s="3">
        <v>120000</v>
      </c>
      <c r="P603" s="4">
        <v>25</v>
      </c>
      <c r="Q603" s="2">
        <v>46158</v>
      </c>
      <c r="R603" s="2">
        <v>46184</v>
      </c>
      <c r="S603" s="2">
        <v>46149</v>
      </c>
      <c r="T603" s="2"/>
      <c r="U603" t="str">
        <f t="shared" si="63"/>
        <v>No</v>
      </c>
      <c r="W6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3" t="str">
        <f t="shared" ca="1" si="64"/>
        <v>Overdue</v>
      </c>
      <c r="Y603" t="str">
        <f t="shared" si="65"/>
        <v>Open</v>
      </c>
      <c r="Z603" t="str">
        <f t="shared" si="66"/>
        <v>Apr-2026</v>
      </c>
      <c r="AA603" t="str">
        <f t="shared" si="67"/>
        <v>Q2 2026</v>
      </c>
      <c r="AB603" s="4">
        <f t="shared" ca="1" si="68"/>
        <v>72</v>
      </c>
      <c r="AC603" t="str">
        <f t="shared" si="69"/>
        <v>Medium</v>
      </c>
    </row>
    <row r="604" spans="1:29">
      <c r="A604" t="s">
        <v>2467</v>
      </c>
      <c r="B604" s="2">
        <v>45781</v>
      </c>
      <c r="C604" t="s">
        <v>2468</v>
      </c>
      <c r="D604" t="s">
        <v>119</v>
      </c>
      <c r="E604" t="s">
        <v>2469</v>
      </c>
      <c r="F604" t="s">
        <v>2470</v>
      </c>
      <c r="G604" t="s">
        <v>79</v>
      </c>
      <c r="H604" t="s">
        <v>260</v>
      </c>
      <c r="I604" t="s">
        <v>36</v>
      </c>
      <c r="J604" t="s">
        <v>62</v>
      </c>
      <c r="K604" t="s">
        <v>114</v>
      </c>
      <c r="L604" t="s">
        <v>239</v>
      </c>
      <c r="M604" t="s">
        <v>53</v>
      </c>
      <c r="N604" t="s">
        <v>54</v>
      </c>
      <c r="O604" s="3">
        <v>330000</v>
      </c>
      <c r="P604" s="4">
        <v>30</v>
      </c>
      <c r="Q604" s="2">
        <v>45840</v>
      </c>
      <c r="R604" s="2">
        <v>46202</v>
      </c>
      <c r="S604" s="2">
        <v>45786</v>
      </c>
      <c r="T604" s="2"/>
      <c r="U604" t="str">
        <f t="shared" si="63"/>
        <v>No</v>
      </c>
      <c r="W6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4" t="str">
        <f t="shared" ca="1" si="64"/>
        <v>Due/Open</v>
      </c>
      <c r="Y604" t="str">
        <f t="shared" si="65"/>
        <v>Open</v>
      </c>
      <c r="Z604" t="str">
        <f t="shared" si="66"/>
        <v>May-2025</v>
      </c>
      <c r="AA604" t="str">
        <f t="shared" si="67"/>
        <v>Q2 2025</v>
      </c>
      <c r="AB604" s="4">
        <f t="shared" ca="1" si="68"/>
        <v>418</v>
      </c>
      <c r="AC604" t="str">
        <f t="shared" si="69"/>
        <v>High</v>
      </c>
    </row>
    <row r="605" spans="1:29">
      <c r="A605" t="s">
        <v>2471</v>
      </c>
      <c r="B605" s="2">
        <v>46045</v>
      </c>
      <c r="C605" t="s">
        <v>1323</v>
      </c>
      <c r="D605" t="s">
        <v>715</v>
      </c>
      <c r="E605" t="s">
        <v>2472</v>
      </c>
      <c r="F605" t="s">
        <v>2473</v>
      </c>
      <c r="G605" t="s">
        <v>79</v>
      </c>
      <c r="H605" t="s">
        <v>260</v>
      </c>
      <c r="I605" t="s">
        <v>123</v>
      </c>
      <c r="J605" t="s">
        <v>124</v>
      </c>
      <c r="K605" t="s">
        <v>71</v>
      </c>
      <c r="L605" t="s">
        <v>132</v>
      </c>
      <c r="M605" t="s">
        <v>53</v>
      </c>
      <c r="N605" t="s">
        <v>54</v>
      </c>
      <c r="O605" s="3">
        <v>115000</v>
      </c>
      <c r="P605" s="4">
        <v>25</v>
      </c>
      <c r="Q605" s="2">
        <v>46085</v>
      </c>
      <c r="R605" s="2">
        <v>46232</v>
      </c>
      <c r="S605" s="2">
        <v>46046</v>
      </c>
      <c r="T605" s="2"/>
      <c r="U605" t="str">
        <f t="shared" si="63"/>
        <v>No</v>
      </c>
      <c r="W6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5" t="str">
        <f t="shared" ca="1" si="64"/>
        <v>Due/Open</v>
      </c>
      <c r="Y605" t="str">
        <f t="shared" si="65"/>
        <v>Open</v>
      </c>
      <c r="Z605" t="str">
        <f t="shared" si="66"/>
        <v>Jan-2026</v>
      </c>
      <c r="AA605" t="str">
        <f t="shared" si="67"/>
        <v>Q1 2026</v>
      </c>
      <c r="AB605" s="4">
        <f t="shared" ca="1" si="68"/>
        <v>154</v>
      </c>
      <c r="AC605" t="str">
        <f t="shared" si="69"/>
        <v>Low</v>
      </c>
    </row>
    <row r="606" spans="1:29">
      <c r="A606" t="s">
        <v>2474</v>
      </c>
      <c r="B606" s="2">
        <v>46058</v>
      </c>
      <c r="C606" t="s">
        <v>2428</v>
      </c>
      <c r="D606" t="s">
        <v>775</v>
      </c>
      <c r="E606" t="s">
        <v>2475</v>
      </c>
      <c r="F606" t="s">
        <v>2476</v>
      </c>
      <c r="G606" t="s">
        <v>34</v>
      </c>
      <c r="H606" t="s">
        <v>446</v>
      </c>
      <c r="I606" t="s">
        <v>98</v>
      </c>
      <c r="J606" t="s">
        <v>37</v>
      </c>
      <c r="K606" t="s">
        <v>38</v>
      </c>
      <c r="L606" t="s">
        <v>154</v>
      </c>
      <c r="M606" t="s">
        <v>90</v>
      </c>
      <c r="N606" t="s">
        <v>91</v>
      </c>
      <c r="O606" s="3">
        <v>65000</v>
      </c>
      <c r="P606" s="4">
        <v>55</v>
      </c>
      <c r="Q606" s="2">
        <v>46083</v>
      </c>
      <c r="R606" s="2">
        <v>46160</v>
      </c>
      <c r="S606" s="2">
        <v>46061</v>
      </c>
      <c r="T606" s="2"/>
      <c r="U606" t="str">
        <f t="shared" si="63"/>
        <v>No</v>
      </c>
      <c r="W6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6" t="str">
        <f t="shared" ca="1" si="64"/>
        <v>Overdue</v>
      </c>
      <c r="Y606" t="str">
        <f t="shared" si="65"/>
        <v>Open</v>
      </c>
      <c r="Z606" t="str">
        <f t="shared" si="66"/>
        <v>Feb-2026</v>
      </c>
      <c r="AA606" t="str">
        <f t="shared" si="67"/>
        <v>Q1 2026</v>
      </c>
      <c r="AB606" s="4">
        <f t="shared" ca="1" si="68"/>
        <v>141</v>
      </c>
      <c r="AC606" t="str">
        <f t="shared" si="69"/>
        <v>Low</v>
      </c>
    </row>
    <row r="607" spans="1:29">
      <c r="A607" t="s">
        <v>2477</v>
      </c>
      <c r="B607" s="2">
        <v>46171</v>
      </c>
      <c r="C607" t="s">
        <v>1399</v>
      </c>
      <c r="D607" t="s">
        <v>755</v>
      </c>
      <c r="E607" t="s">
        <v>2478</v>
      </c>
      <c r="F607" t="s">
        <v>2479</v>
      </c>
      <c r="G607" t="s">
        <v>69</v>
      </c>
      <c r="H607" t="s">
        <v>200</v>
      </c>
      <c r="I607" t="s">
        <v>36</v>
      </c>
      <c r="J607" t="s">
        <v>50</v>
      </c>
      <c r="K607" t="s">
        <v>194</v>
      </c>
      <c r="L607" t="s">
        <v>63</v>
      </c>
      <c r="M607" t="s">
        <v>53</v>
      </c>
      <c r="N607" t="s">
        <v>54</v>
      </c>
      <c r="O607" s="3">
        <v>495000</v>
      </c>
      <c r="P607" s="4">
        <v>35</v>
      </c>
      <c r="Q607" s="2">
        <v>46207</v>
      </c>
      <c r="R607" s="2">
        <v>46240</v>
      </c>
      <c r="S607" s="2">
        <v>46189</v>
      </c>
      <c r="T607" s="2"/>
      <c r="U607" t="str">
        <f t="shared" si="63"/>
        <v>No</v>
      </c>
      <c r="W6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7" t="str">
        <f t="shared" ca="1" si="64"/>
        <v>Due/Open</v>
      </c>
      <c r="Y607" t="str">
        <f t="shared" si="65"/>
        <v>Open</v>
      </c>
      <c r="Z607" t="str">
        <f t="shared" si="66"/>
        <v>May-2026</v>
      </c>
      <c r="AA607" t="str">
        <f t="shared" si="67"/>
        <v>Q2 2026</v>
      </c>
      <c r="AB607" s="4">
        <f t="shared" ca="1" si="68"/>
        <v>28</v>
      </c>
      <c r="AC607" t="str">
        <f t="shared" si="69"/>
        <v>High</v>
      </c>
    </row>
    <row r="608" spans="1:29">
      <c r="A608" t="s">
        <v>2480</v>
      </c>
      <c r="B608" s="2">
        <v>45891</v>
      </c>
      <c r="C608" t="s">
        <v>2400</v>
      </c>
      <c r="D608" t="s">
        <v>710</v>
      </c>
      <c r="E608" t="s">
        <v>2481</v>
      </c>
      <c r="F608" t="s">
        <v>2482</v>
      </c>
      <c r="G608" t="s">
        <v>179</v>
      </c>
      <c r="H608" t="s">
        <v>180</v>
      </c>
      <c r="I608" t="s">
        <v>36</v>
      </c>
      <c r="J608" t="s">
        <v>62</v>
      </c>
      <c r="K608" t="s">
        <v>71</v>
      </c>
      <c r="L608" t="s">
        <v>107</v>
      </c>
      <c r="M608" t="s">
        <v>82</v>
      </c>
      <c r="N608" t="s">
        <v>83</v>
      </c>
      <c r="O608" s="3">
        <v>345000</v>
      </c>
      <c r="P608" s="4">
        <v>5</v>
      </c>
      <c r="Q608" s="2">
        <v>45912</v>
      </c>
      <c r="R608" s="2">
        <v>46223</v>
      </c>
      <c r="S608" s="2">
        <v>45921</v>
      </c>
      <c r="T608" s="2"/>
      <c r="U608" t="str">
        <f t="shared" si="63"/>
        <v>No</v>
      </c>
      <c r="W6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8" t="str">
        <f t="shared" ca="1" si="64"/>
        <v>Due/Open</v>
      </c>
      <c r="Y608" t="str">
        <f t="shared" si="65"/>
        <v>Open</v>
      </c>
      <c r="Z608" t="str">
        <f t="shared" si="66"/>
        <v>Aug-2025</v>
      </c>
      <c r="AA608" t="str">
        <f t="shared" si="67"/>
        <v>Q3 2025</v>
      </c>
      <c r="AB608" s="4">
        <f t="shared" ca="1" si="68"/>
        <v>308</v>
      </c>
      <c r="AC608" t="str">
        <f t="shared" si="69"/>
        <v>High</v>
      </c>
    </row>
    <row r="609" spans="1:29">
      <c r="A609" t="s">
        <v>2483</v>
      </c>
      <c r="B609" s="2">
        <v>45705</v>
      </c>
      <c r="C609" t="s">
        <v>2374</v>
      </c>
      <c r="D609" t="s">
        <v>1012</v>
      </c>
      <c r="E609" t="s">
        <v>2484</v>
      </c>
      <c r="F609" t="s">
        <v>2485</v>
      </c>
      <c r="G609" t="s">
        <v>34</v>
      </c>
      <c r="H609" t="s">
        <v>238</v>
      </c>
      <c r="I609" t="s">
        <v>36</v>
      </c>
      <c r="J609" t="s">
        <v>37</v>
      </c>
      <c r="K609" t="s">
        <v>71</v>
      </c>
      <c r="L609" t="s">
        <v>154</v>
      </c>
      <c r="M609" t="s">
        <v>116</v>
      </c>
      <c r="N609" t="s">
        <v>54</v>
      </c>
      <c r="O609" s="3">
        <v>35000</v>
      </c>
      <c r="P609" s="4">
        <v>20</v>
      </c>
      <c r="Q609" s="2">
        <v>45736</v>
      </c>
      <c r="R609" s="2">
        <v>46223</v>
      </c>
      <c r="S609" s="2">
        <v>45720</v>
      </c>
      <c r="T609" s="2"/>
      <c r="U609" t="str">
        <f t="shared" si="63"/>
        <v>No</v>
      </c>
      <c r="W6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09" t="str">
        <f t="shared" ca="1" si="64"/>
        <v>Due/Open</v>
      </c>
      <c r="Y609" t="str">
        <f t="shared" si="65"/>
        <v>Open</v>
      </c>
      <c r="Z609" t="str">
        <f t="shared" si="66"/>
        <v>Feb-2025</v>
      </c>
      <c r="AA609" t="str">
        <f t="shared" si="67"/>
        <v>Q1 2025</v>
      </c>
      <c r="AB609" s="4">
        <f t="shared" ca="1" si="68"/>
        <v>494</v>
      </c>
      <c r="AC609" t="str">
        <f t="shared" si="69"/>
        <v>Low</v>
      </c>
    </row>
    <row r="610" spans="1:29">
      <c r="A610" t="s">
        <v>2486</v>
      </c>
      <c r="B610" s="2">
        <v>46164</v>
      </c>
      <c r="C610" t="s">
        <v>1399</v>
      </c>
      <c r="D610" t="s">
        <v>926</v>
      </c>
      <c r="E610" t="s">
        <v>2487</v>
      </c>
      <c r="F610" t="s">
        <v>2488</v>
      </c>
      <c r="G610" t="s">
        <v>179</v>
      </c>
      <c r="H610" t="s">
        <v>186</v>
      </c>
      <c r="I610" t="s">
        <v>49</v>
      </c>
      <c r="J610" t="s">
        <v>131</v>
      </c>
      <c r="K610" t="s">
        <v>38</v>
      </c>
      <c r="L610" t="s">
        <v>107</v>
      </c>
      <c r="M610" t="s">
        <v>210</v>
      </c>
      <c r="N610" t="s">
        <v>134</v>
      </c>
      <c r="O610" s="3">
        <v>160000</v>
      </c>
      <c r="P610" s="4">
        <v>0</v>
      </c>
      <c r="Q610" s="2">
        <v>46186</v>
      </c>
      <c r="R610" s="2"/>
      <c r="S610" s="2">
        <v>46170</v>
      </c>
      <c r="T610" s="2">
        <v>46186</v>
      </c>
      <c r="U610" t="str">
        <f t="shared" si="63"/>
        <v>No</v>
      </c>
      <c r="V610" t="s">
        <v>135</v>
      </c>
      <c r="W61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22</v>
      </c>
      <c r="X610" t="str">
        <f t="shared" ca="1" si="64"/>
        <v>Closed</v>
      </c>
      <c r="Y610" t="str">
        <f t="shared" si="65"/>
        <v>Closed</v>
      </c>
      <c r="Z610" t="str">
        <f t="shared" si="66"/>
        <v>May-2026</v>
      </c>
      <c r="AA610" t="str">
        <f t="shared" si="67"/>
        <v>Q2 2026</v>
      </c>
      <c r="AB610" s="4">
        <f t="shared" ca="1" si="68"/>
        <v>35</v>
      </c>
      <c r="AC610" t="str">
        <f t="shared" si="69"/>
        <v>Medium</v>
      </c>
    </row>
    <row r="611" spans="1:29">
      <c r="A611" t="s">
        <v>2489</v>
      </c>
      <c r="B611" s="2">
        <v>45890</v>
      </c>
      <c r="C611" t="s">
        <v>709</v>
      </c>
      <c r="D611" t="s">
        <v>103</v>
      </c>
      <c r="E611" t="s">
        <v>2490</v>
      </c>
      <c r="F611" t="s">
        <v>2491</v>
      </c>
      <c r="G611" t="s">
        <v>79</v>
      </c>
      <c r="H611" t="s">
        <v>217</v>
      </c>
      <c r="I611" t="s">
        <v>141</v>
      </c>
      <c r="J611" t="s">
        <v>124</v>
      </c>
      <c r="K611" t="s">
        <v>114</v>
      </c>
      <c r="L611" t="s">
        <v>125</v>
      </c>
      <c r="M611" t="s">
        <v>40</v>
      </c>
      <c r="N611" t="s">
        <v>41</v>
      </c>
      <c r="O611" s="3">
        <v>150000</v>
      </c>
      <c r="P611" s="4">
        <v>100</v>
      </c>
      <c r="Q611" s="2">
        <v>45924</v>
      </c>
      <c r="R611" s="2"/>
      <c r="S611" s="2">
        <v>45899</v>
      </c>
      <c r="T611" s="2">
        <v>45924</v>
      </c>
      <c r="U611" t="str">
        <f t="shared" si="63"/>
        <v>Yes</v>
      </c>
      <c r="W6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34</v>
      </c>
      <c r="X611" t="str">
        <f t="shared" ca="1" si="64"/>
        <v>Closed</v>
      </c>
      <c r="Y611" t="str">
        <f t="shared" si="65"/>
        <v>Closed</v>
      </c>
      <c r="Z611" t="str">
        <f t="shared" si="66"/>
        <v>Aug-2025</v>
      </c>
      <c r="AA611" t="str">
        <f t="shared" si="67"/>
        <v>Q3 2025</v>
      </c>
      <c r="AB611" s="4">
        <f t="shared" ca="1" si="68"/>
        <v>309</v>
      </c>
      <c r="AC611" t="str">
        <f t="shared" si="69"/>
        <v>Medium</v>
      </c>
    </row>
    <row r="612" spans="1:29">
      <c r="A612" t="s">
        <v>2492</v>
      </c>
      <c r="B612" s="2">
        <v>45770</v>
      </c>
      <c r="C612" t="s">
        <v>938</v>
      </c>
      <c r="D612" t="s">
        <v>2493</v>
      </c>
      <c r="E612" t="s">
        <v>2494</v>
      </c>
      <c r="F612" t="s">
        <v>2495</v>
      </c>
      <c r="G612" t="s">
        <v>179</v>
      </c>
      <c r="H612" t="s">
        <v>318</v>
      </c>
      <c r="I612" t="s">
        <v>141</v>
      </c>
      <c r="J612" t="s">
        <v>37</v>
      </c>
      <c r="K612" t="s">
        <v>194</v>
      </c>
      <c r="L612" t="s">
        <v>52</v>
      </c>
      <c r="M612" t="s">
        <v>90</v>
      </c>
      <c r="N612" t="s">
        <v>91</v>
      </c>
      <c r="O612" s="3">
        <v>115000</v>
      </c>
      <c r="P612" s="4">
        <v>50</v>
      </c>
      <c r="Q612" s="2">
        <v>45850</v>
      </c>
      <c r="R612" s="2">
        <v>46195</v>
      </c>
      <c r="S612" s="2">
        <v>45787</v>
      </c>
      <c r="T612" s="2"/>
      <c r="U612" t="str">
        <f t="shared" si="63"/>
        <v>No</v>
      </c>
      <c r="W6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2" t="str">
        <f t="shared" ca="1" si="64"/>
        <v>Overdue</v>
      </c>
      <c r="Y612" t="str">
        <f t="shared" si="65"/>
        <v>Open</v>
      </c>
      <c r="Z612" t="str">
        <f t="shared" si="66"/>
        <v>Apr-2025</v>
      </c>
      <c r="AA612" t="str">
        <f t="shared" si="67"/>
        <v>Q2 2025</v>
      </c>
      <c r="AB612" s="4">
        <f t="shared" ca="1" si="68"/>
        <v>429</v>
      </c>
      <c r="AC612" t="str">
        <f t="shared" si="69"/>
        <v>Low</v>
      </c>
    </row>
    <row r="613" spans="1:29">
      <c r="A613" t="s">
        <v>2496</v>
      </c>
      <c r="B613" s="2">
        <v>45659</v>
      </c>
      <c r="C613" t="s">
        <v>383</v>
      </c>
      <c r="D613" t="s">
        <v>490</v>
      </c>
      <c r="E613" t="s">
        <v>2497</v>
      </c>
      <c r="F613" t="s">
        <v>2498</v>
      </c>
      <c r="G613" t="s">
        <v>47</v>
      </c>
      <c r="H613" t="s">
        <v>113</v>
      </c>
      <c r="I613" t="s">
        <v>98</v>
      </c>
      <c r="J613" t="s">
        <v>99</v>
      </c>
      <c r="K613" t="s">
        <v>100</v>
      </c>
      <c r="L613" t="s">
        <v>125</v>
      </c>
      <c r="M613" t="s">
        <v>82</v>
      </c>
      <c r="N613" t="s">
        <v>83</v>
      </c>
      <c r="O613" s="3">
        <v>310000</v>
      </c>
      <c r="P613" s="4">
        <v>10</v>
      </c>
      <c r="Q613" s="2">
        <v>45739</v>
      </c>
      <c r="R613" s="2">
        <v>46227</v>
      </c>
      <c r="S613" s="2">
        <v>45675</v>
      </c>
      <c r="T613" s="2"/>
      <c r="U613" t="str">
        <f t="shared" si="63"/>
        <v>No</v>
      </c>
      <c r="W6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3" t="str">
        <f t="shared" ca="1" si="64"/>
        <v>Due/Open</v>
      </c>
      <c r="Y613" t="str">
        <f t="shared" si="65"/>
        <v>Open</v>
      </c>
      <c r="Z613" t="str">
        <f t="shared" si="66"/>
        <v>Jan-2025</v>
      </c>
      <c r="AA613" t="str">
        <f t="shared" si="67"/>
        <v>Q1 2025</v>
      </c>
      <c r="AB613" s="4">
        <f t="shared" ca="1" si="68"/>
        <v>540</v>
      </c>
      <c r="AC613" t="str">
        <f t="shared" si="69"/>
        <v>High</v>
      </c>
    </row>
    <row r="614" spans="1:29">
      <c r="A614" t="s">
        <v>2499</v>
      </c>
      <c r="B614" s="2">
        <v>46068</v>
      </c>
      <c r="C614" t="s">
        <v>1143</v>
      </c>
      <c r="D614" t="s">
        <v>552</v>
      </c>
      <c r="E614" t="s">
        <v>2500</v>
      </c>
      <c r="F614" t="s">
        <v>2501</v>
      </c>
      <c r="G614" t="s">
        <v>47</v>
      </c>
      <c r="H614" t="s">
        <v>113</v>
      </c>
      <c r="I614" t="s">
        <v>36</v>
      </c>
      <c r="J614" t="s">
        <v>50</v>
      </c>
      <c r="K614" t="s">
        <v>114</v>
      </c>
      <c r="L614" t="s">
        <v>81</v>
      </c>
      <c r="M614" t="s">
        <v>90</v>
      </c>
      <c r="N614" t="s">
        <v>91</v>
      </c>
      <c r="O614" s="3">
        <v>290000</v>
      </c>
      <c r="P614" s="4">
        <v>40</v>
      </c>
      <c r="Q614" s="2">
        <v>46119</v>
      </c>
      <c r="R614" s="2">
        <v>46203</v>
      </c>
      <c r="S614" s="2">
        <v>46081</v>
      </c>
      <c r="T614" s="2"/>
      <c r="U614" t="str">
        <f t="shared" si="63"/>
        <v>No</v>
      </c>
      <c r="W6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4" t="str">
        <f t="shared" ca="1" si="64"/>
        <v>Due/Open</v>
      </c>
      <c r="Y614" t="str">
        <f t="shared" si="65"/>
        <v>Open</v>
      </c>
      <c r="Z614" t="str">
        <f t="shared" si="66"/>
        <v>Feb-2026</v>
      </c>
      <c r="AA614" t="str">
        <f t="shared" si="67"/>
        <v>Q1 2026</v>
      </c>
      <c r="AB614" s="4">
        <f t="shared" ca="1" si="68"/>
        <v>131</v>
      </c>
      <c r="AC614" t="str">
        <f t="shared" si="69"/>
        <v>Medium</v>
      </c>
    </row>
    <row r="615" spans="1:29">
      <c r="A615" t="s">
        <v>2502</v>
      </c>
      <c r="B615" s="2">
        <v>45731</v>
      </c>
      <c r="C615" t="s">
        <v>1551</v>
      </c>
      <c r="D615" t="s">
        <v>263</v>
      </c>
      <c r="E615" t="s">
        <v>2503</v>
      </c>
      <c r="F615" t="s">
        <v>2504</v>
      </c>
      <c r="G615" t="s">
        <v>34</v>
      </c>
      <c r="H615" t="s">
        <v>446</v>
      </c>
      <c r="I615" t="s">
        <v>187</v>
      </c>
      <c r="J615" t="s">
        <v>131</v>
      </c>
      <c r="K615" t="s">
        <v>114</v>
      </c>
      <c r="L615" t="s">
        <v>154</v>
      </c>
      <c r="M615" t="s">
        <v>53</v>
      </c>
      <c r="N615" t="s">
        <v>54</v>
      </c>
      <c r="O615" s="3">
        <v>360000</v>
      </c>
      <c r="P615" s="4">
        <v>35</v>
      </c>
      <c r="Q615" s="2">
        <v>45796</v>
      </c>
      <c r="R615" s="2">
        <v>46234</v>
      </c>
      <c r="S615" s="2">
        <v>45741</v>
      </c>
      <c r="T615" s="2"/>
      <c r="U615" t="str">
        <f t="shared" si="63"/>
        <v>No</v>
      </c>
      <c r="W6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5" t="str">
        <f t="shared" ca="1" si="64"/>
        <v>Due/Open</v>
      </c>
      <c r="Y615" t="str">
        <f t="shared" si="65"/>
        <v>Open</v>
      </c>
      <c r="Z615" t="str">
        <f t="shared" si="66"/>
        <v>Mar-2025</v>
      </c>
      <c r="AA615" t="str">
        <f t="shared" si="67"/>
        <v>Q1 2025</v>
      </c>
      <c r="AB615" s="4">
        <f t="shared" ca="1" si="68"/>
        <v>468</v>
      </c>
      <c r="AC615" t="str">
        <f t="shared" si="69"/>
        <v>High</v>
      </c>
    </row>
    <row r="616" spans="1:29">
      <c r="A616" t="s">
        <v>2505</v>
      </c>
      <c r="B616" s="2">
        <v>45660</v>
      </c>
      <c r="C616" t="s">
        <v>1016</v>
      </c>
      <c r="D616" t="s">
        <v>1662</v>
      </c>
      <c r="E616" t="s">
        <v>2506</v>
      </c>
      <c r="F616" t="s">
        <v>2507</v>
      </c>
      <c r="G616" t="s">
        <v>79</v>
      </c>
      <c r="H616" t="s">
        <v>97</v>
      </c>
      <c r="I616" t="s">
        <v>61</v>
      </c>
      <c r="J616" t="s">
        <v>62</v>
      </c>
      <c r="K616" t="s">
        <v>51</v>
      </c>
      <c r="L616" t="s">
        <v>115</v>
      </c>
      <c r="M616" t="s">
        <v>73</v>
      </c>
      <c r="N616" t="s">
        <v>73</v>
      </c>
      <c r="O616" s="3">
        <v>370000</v>
      </c>
      <c r="P616" s="4">
        <v>75</v>
      </c>
      <c r="Q616" s="2">
        <v>45710</v>
      </c>
      <c r="R616" s="2">
        <v>46218</v>
      </c>
      <c r="S616" s="2">
        <v>45667</v>
      </c>
      <c r="T616" s="2"/>
      <c r="U616" t="str">
        <f t="shared" si="63"/>
        <v>No</v>
      </c>
      <c r="W6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6" t="str">
        <f t="shared" ca="1" si="64"/>
        <v>Due/Open</v>
      </c>
      <c r="Y616" t="str">
        <f t="shared" si="65"/>
        <v>Open</v>
      </c>
      <c r="Z616" t="str">
        <f t="shared" si="66"/>
        <v>Jan-2025</v>
      </c>
      <c r="AA616" t="str">
        <f t="shared" si="67"/>
        <v>Q1 2025</v>
      </c>
      <c r="AB616" s="4">
        <f t="shared" ca="1" si="68"/>
        <v>539</v>
      </c>
      <c r="AC616" t="str">
        <f t="shared" si="69"/>
        <v>High</v>
      </c>
    </row>
    <row r="617" spans="1:29">
      <c r="A617" t="s">
        <v>2508</v>
      </c>
      <c r="B617" s="2">
        <v>45797</v>
      </c>
      <c r="C617" t="s">
        <v>331</v>
      </c>
      <c r="D617" t="s">
        <v>512</v>
      </c>
      <c r="E617" t="s">
        <v>2509</v>
      </c>
      <c r="F617" t="s">
        <v>2510</v>
      </c>
      <c r="G617" t="s">
        <v>179</v>
      </c>
      <c r="H617" t="s">
        <v>186</v>
      </c>
      <c r="I617" t="s">
        <v>148</v>
      </c>
      <c r="J617" t="s">
        <v>37</v>
      </c>
      <c r="K617" t="s">
        <v>100</v>
      </c>
      <c r="L617" t="s">
        <v>125</v>
      </c>
      <c r="M617" t="s">
        <v>53</v>
      </c>
      <c r="N617" t="s">
        <v>54</v>
      </c>
      <c r="O617" s="3">
        <v>90000</v>
      </c>
      <c r="P617" s="4">
        <v>35</v>
      </c>
      <c r="Q617" s="2">
        <v>45877</v>
      </c>
      <c r="R617" s="2">
        <v>46235</v>
      </c>
      <c r="S617" s="2">
        <v>45818</v>
      </c>
      <c r="T617" s="2"/>
      <c r="U617" t="str">
        <f t="shared" si="63"/>
        <v>No</v>
      </c>
      <c r="W6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7" t="str">
        <f t="shared" ca="1" si="64"/>
        <v>Due/Open</v>
      </c>
      <c r="Y617" t="str">
        <f t="shared" si="65"/>
        <v>Open</v>
      </c>
      <c r="Z617" t="str">
        <f t="shared" si="66"/>
        <v>May-2025</v>
      </c>
      <c r="AA617" t="str">
        <f t="shared" si="67"/>
        <v>Q2 2025</v>
      </c>
      <c r="AB617" s="4">
        <f t="shared" ca="1" si="68"/>
        <v>402</v>
      </c>
      <c r="AC617" t="str">
        <f t="shared" si="69"/>
        <v>Low</v>
      </c>
    </row>
    <row r="618" spans="1:29">
      <c r="A618" t="s">
        <v>2511</v>
      </c>
      <c r="B618" s="2">
        <v>45878</v>
      </c>
      <c r="C618" t="s">
        <v>1486</v>
      </c>
      <c r="D618" t="s">
        <v>779</v>
      </c>
      <c r="E618" t="s">
        <v>2512</v>
      </c>
      <c r="F618" t="s">
        <v>2513</v>
      </c>
      <c r="G618" t="s">
        <v>69</v>
      </c>
      <c r="H618" t="s">
        <v>70</v>
      </c>
      <c r="I618" t="s">
        <v>49</v>
      </c>
      <c r="J618" t="s">
        <v>62</v>
      </c>
      <c r="K618" t="s">
        <v>38</v>
      </c>
      <c r="L618" t="s">
        <v>239</v>
      </c>
      <c r="M618" t="s">
        <v>166</v>
      </c>
      <c r="N618" t="s">
        <v>167</v>
      </c>
      <c r="O618" s="3">
        <v>250000</v>
      </c>
      <c r="P618" s="4">
        <v>65</v>
      </c>
      <c r="Q618" s="2">
        <v>45950</v>
      </c>
      <c r="R618" s="2">
        <v>46172</v>
      </c>
      <c r="S618" s="2">
        <v>45888</v>
      </c>
      <c r="T618" s="2"/>
      <c r="U618" t="str">
        <f t="shared" si="63"/>
        <v>No</v>
      </c>
      <c r="W6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18" t="str">
        <f t="shared" ca="1" si="64"/>
        <v>Overdue</v>
      </c>
      <c r="Y618" t="str">
        <f t="shared" si="65"/>
        <v>Open</v>
      </c>
      <c r="Z618" t="str">
        <f t="shared" si="66"/>
        <v>Aug-2025</v>
      </c>
      <c r="AA618" t="str">
        <f t="shared" si="67"/>
        <v>Q3 2025</v>
      </c>
      <c r="AB618" s="4">
        <f t="shared" ca="1" si="68"/>
        <v>321</v>
      </c>
      <c r="AC618" t="str">
        <f t="shared" si="69"/>
        <v>Medium</v>
      </c>
    </row>
    <row r="619" spans="1:29">
      <c r="A619" t="s">
        <v>2514</v>
      </c>
      <c r="B619" s="2">
        <v>45846</v>
      </c>
      <c r="C619" t="s">
        <v>169</v>
      </c>
      <c r="D619" t="s">
        <v>1127</v>
      </c>
      <c r="E619" t="s">
        <v>2515</v>
      </c>
      <c r="F619" t="s">
        <v>2516</v>
      </c>
      <c r="G619" t="s">
        <v>79</v>
      </c>
      <c r="H619" t="s">
        <v>228</v>
      </c>
      <c r="I619" t="s">
        <v>123</v>
      </c>
      <c r="J619" t="s">
        <v>99</v>
      </c>
      <c r="K619" t="s">
        <v>38</v>
      </c>
      <c r="L619" t="s">
        <v>142</v>
      </c>
      <c r="M619" t="s">
        <v>40</v>
      </c>
      <c r="N619" t="s">
        <v>41</v>
      </c>
      <c r="O619" s="3">
        <v>510000</v>
      </c>
      <c r="P619" s="4">
        <v>100</v>
      </c>
      <c r="Q619" s="2">
        <v>45892</v>
      </c>
      <c r="R619" s="2"/>
      <c r="S619" s="2">
        <v>45865</v>
      </c>
      <c r="T619" s="2">
        <v>45892</v>
      </c>
      <c r="U619" t="str">
        <f t="shared" si="63"/>
        <v>Yes</v>
      </c>
      <c r="W61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619" t="str">
        <f t="shared" ca="1" si="64"/>
        <v>Closed</v>
      </c>
      <c r="Y619" t="str">
        <f t="shared" si="65"/>
        <v>Closed</v>
      </c>
      <c r="Z619" t="str">
        <f t="shared" si="66"/>
        <v>Jul-2025</v>
      </c>
      <c r="AA619" t="str">
        <f t="shared" si="67"/>
        <v>Q3 2025</v>
      </c>
      <c r="AB619" s="4">
        <f t="shared" ca="1" si="68"/>
        <v>353</v>
      </c>
      <c r="AC619" t="str">
        <f t="shared" si="69"/>
        <v>High</v>
      </c>
    </row>
    <row r="620" spans="1:29">
      <c r="A620" t="s">
        <v>2517</v>
      </c>
      <c r="B620" s="2">
        <v>45802</v>
      </c>
      <c r="C620" t="s">
        <v>2518</v>
      </c>
      <c r="D620" t="s">
        <v>315</v>
      </c>
      <c r="E620" t="s">
        <v>2519</v>
      </c>
      <c r="F620" t="s">
        <v>2520</v>
      </c>
      <c r="G620" t="s">
        <v>179</v>
      </c>
      <c r="H620" t="s">
        <v>180</v>
      </c>
      <c r="I620" t="s">
        <v>49</v>
      </c>
      <c r="J620" t="s">
        <v>131</v>
      </c>
      <c r="K620" t="s">
        <v>38</v>
      </c>
      <c r="L620" t="s">
        <v>52</v>
      </c>
      <c r="M620" t="s">
        <v>90</v>
      </c>
      <c r="N620" t="s">
        <v>91</v>
      </c>
      <c r="O620" s="3">
        <v>380000</v>
      </c>
      <c r="P620" s="4">
        <v>55</v>
      </c>
      <c r="Q620" s="2">
        <v>45858</v>
      </c>
      <c r="R620" s="2">
        <v>46206</v>
      </c>
      <c r="S620" s="2">
        <v>45803</v>
      </c>
      <c r="T620" s="2"/>
      <c r="U620" t="str">
        <f t="shared" si="63"/>
        <v>No</v>
      </c>
      <c r="W6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0" t="str">
        <f t="shared" ca="1" si="64"/>
        <v>Due/Open</v>
      </c>
      <c r="Y620" t="str">
        <f t="shared" si="65"/>
        <v>Open</v>
      </c>
      <c r="Z620" t="str">
        <f t="shared" si="66"/>
        <v>May-2025</v>
      </c>
      <c r="AA620" t="str">
        <f t="shared" si="67"/>
        <v>Q2 2025</v>
      </c>
      <c r="AB620" s="4">
        <f t="shared" ca="1" si="68"/>
        <v>397</v>
      </c>
      <c r="AC620" t="str">
        <f t="shared" si="69"/>
        <v>High</v>
      </c>
    </row>
    <row r="621" spans="1:29">
      <c r="A621" t="s">
        <v>2521</v>
      </c>
      <c r="B621" s="2">
        <v>45875</v>
      </c>
      <c r="C621" t="s">
        <v>1893</v>
      </c>
      <c r="D621" t="s">
        <v>304</v>
      </c>
      <c r="E621" t="s">
        <v>2522</v>
      </c>
      <c r="F621" t="s">
        <v>2523</v>
      </c>
      <c r="G621" t="s">
        <v>69</v>
      </c>
      <c r="H621" t="s">
        <v>193</v>
      </c>
      <c r="I621" t="s">
        <v>49</v>
      </c>
      <c r="J621" t="s">
        <v>50</v>
      </c>
      <c r="K621" t="s">
        <v>194</v>
      </c>
      <c r="L621" t="s">
        <v>115</v>
      </c>
      <c r="M621" t="s">
        <v>133</v>
      </c>
      <c r="N621" t="s">
        <v>134</v>
      </c>
      <c r="O621" s="3">
        <v>190000</v>
      </c>
      <c r="P621" s="4">
        <v>0</v>
      </c>
      <c r="Q621" s="2">
        <v>45891</v>
      </c>
      <c r="R621" s="2"/>
      <c r="S621" s="2">
        <v>45903</v>
      </c>
      <c r="T621" s="2">
        <v>45891</v>
      </c>
      <c r="U621" t="str">
        <f t="shared" si="63"/>
        <v>No</v>
      </c>
      <c r="V621" t="s">
        <v>211</v>
      </c>
      <c r="W62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621" t="str">
        <f t="shared" ca="1" si="64"/>
        <v>Closed</v>
      </c>
      <c r="Y621" t="str">
        <f t="shared" si="65"/>
        <v>Closed</v>
      </c>
      <c r="Z621" t="str">
        <f t="shared" si="66"/>
        <v>Aug-2025</v>
      </c>
      <c r="AA621" t="str">
        <f t="shared" si="67"/>
        <v>Q3 2025</v>
      </c>
      <c r="AB621" s="4">
        <f t="shared" ca="1" si="68"/>
        <v>324</v>
      </c>
      <c r="AC621" t="str">
        <f t="shared" si="69"/>
        <v>Medium</v>
      </c>
    </row>
    <row r="622" spans="1:29">
      <c r="A622" t="s">
        <v>2524</v>
      </c>
      <c r="B622" s="2">
        <v>45935</v>
      </c>
      <c r="C622" t="s">
        <v>2525</v>
      </c>
      <c r="D622" t="s">
        <v>767</v>
      </c>
      <c r="E622" t="s">
        <v>2526</v>
      </c>
      <c r="F622" t="s">
        <v>2527</v>
      </c>
      <c r="G622" t="s">
        <v>47</v>
      </c>
      <c r="H622" t="s">
        <v>89</v>
      </c>
      <c r="I622" t="s">
        <v>98</v>
      </c>
      <c r="J622" t="s">
        <v>37</v>
      </c>
      <c r="K622" t="s">
        <v>51</v>
      </c>
      <c r="L622" t="s">
        <v>39</v>
      </c>
      <c r="M622" t="s">
        <v>210</v>
      </c>
      <c r="N622" t="s">
        <v>134</v>
      </c>
      <c r="O622" s="3">
        <v>170000</v>
      </c>
      <c r="P622" s="4">
        <v>0</v>
      </c>
      <c r="Q622" s="2">
        <v>45975</v>
      </c>
      <c r="R622" s="2"/>
      <c r="S622" s="2">
        <v>45960</v>
      </c>
      <c r="T622" s="2">
        <v>45975</v>
      </c>
      <c r="U622" t="str">
        <f t="shared" si="63"/>
        <v>No</v>
      </c>
      <c r="V622" t="s">
        <v>452</v>
      </c>
      <c r="W6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622" t="str">
        <f t="shared" ca="1" si="64"/>
        <v>Closed</v>
      </c>
      <c r="Y622" t="str">
        <f t="shared" si="65"/>
        <v>Closed</v>
      </c>
      <c r="Z622" t="str">
        <f t="shared" si="66"/>
        <v>Oct-2025</v>
      </c>
      <c r="AA622" t="str">
        <f t="shared" si="67"/>
        <v>Q4 2025</v>
      </c>
      <c r="AB622" s="4">
        <f t="shared" ca="1" si="68"/>
        <v>264</v>
      </c>
      <c r="AC622" t="str">
        <f t="shared" si="69"/>
        <v>Medium</v>
      </c>
    </row>
    <row r="623" spans="1:29">
      <c r="A623" t="s">
        <v>2528</v>
      </c>
      <c r="B623" s="2">
        <v>46023</v>
      </c>
      <c r="C623" t="s">
        <v>2529</v>
      </c>
      <c r="D623" t="s">
        <v>586</v>
      </c>
      <c r="E623" t="s">
        <v>2530</v>
      </c>
      <c r="F623" t="s">
        <v>2531</v>
      </c>
      <c r="G623" t="s">
        <v>34</v>
      </c>
      <c r="H623" t="s">
        <v>446</v>
      </c>
      <c r="I623" t="s">
        <v>123</v>
      </c>
      <c r="J623" t="s">
        <v>62</v>
      </c>
      <c r="K623" t="s">
        <v>51</v>
      </c>
      <c r="L623" t="s">
        <v>115</v>
      </c>
      <c r="M623" t="s">
        <v>90</v>
      </c>
      <c r="N623" t="s">
        <v>91</v>
      </c>
      <c r="O623" s="3">
        <v>135000</v>
      </c>
      <c r="P623" s="4">
        <v>55</v>
      </c>
      <c r="Q623" s="2">
        <v>46096</v>
      </c>
      <c r="R623" s="2">
        <v>46206</v>
      </c>
      <c r="S623" s="2">
        <v>46046</v>
      </c>
      <c r="T623" s="2"/>
      <c r="U623" t="str">
        <f t="shared" si="63"/>
        <v>No</v>
      </c>
      <c r="W6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3" t="str">
        <f t="shared" ca="1" si="64"/>
        <v>Due/Open</v>
      </c>
      <c r="Y623" t="str">
        <f t="shared" si="65"/>
        <v>Open</v>
      </c>
      <c r="Z623" t="str">
        <f t="shared" si="66"/>
        <v>Jan-2026</v>
      </c>
      <c r="AA623" t="str">
        <f t="shared" si="67"/>
        <v>Q1 2026</v>
      </c>
      <c r="AB623" s="4">
        <f t="shared" ca="1" si="68"/>
        <v>176</v>
      </c>
      <c r="AC623" t="str">
        <f t="shared" si="69"/>
        <v>Medium</v>
      </c>
    </row>
    <row r="624" spans="1:29">
      <c r="A624" t="s">
        <v>2532</v>
      </c>
      <c r="B624" s="2">
        <v>45780</v>
      </c>
      <c r="C624" t="s">
        <v>1555</v>
      </c>
      <c r="D624" t="s">
        <v>914</v>
      </c>
      <c r="E624" t="s">
        <v>2533</v>
      </c>
      <c r="F624" t="s">
        <v>2534</v>
      </c>
      <c r="G624" t="s">
        <v>79</v>
      </c>
      <c r="H624" t="s">
        <v>97</v>
      </c>
      <c r="I624" t="s">
        <v>141</v>
      </c>
      <c r="J624" t="s">
        <v>62</v>
      </c>
      <c r="K624" t="s">
        <v>51</v>
      </c>
      <c r="L624" t="s">
        <v>63</v>
      </c>
      <c r="M624" t="s">
        <v>82</v>
      </c>
      <c r="N624" t="s">
        <v>83</v>
      </c>
      <c r="O624" s="3">
        <v>150000</v>
      </c>
      <c r="P624" s="4">
        <v>5</v>
      </c>
      <c r="Q624" s="2">
        <v>45835</v>
      </c>
      <c r="R624" s="2">
        <v>46222</v>
      </c>
      <c r="S624" s="2">
        <v>45792</v>
      </c>
      <c r="T624" s="2"/>
      <c r="U624" t="str">
        <f t="shared" si="63"/>
        <v>No</v>
      </c>
      <c r="W6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4" t="str">
        <f t="shared" ca="1" si="64"/>
        <v>Due/Open</v>
      </c>
      <c r="Y624" t="str">
        <f t="shared" si="65"/>
        <v>Open</v>
      </c>
      <c r="Z624" t="str">
        <f t="shared" si="66"/>
        <v>May-2025</v>
      </c>
      <c r="AA624" t="str">
        <f t="shared" si="67"/>
        <v>Q2 2025</v>
      </c>
      <c r="AB624" s="4">
        <f t="shared" ca="1" si="68"/>
        <v>419</v>
      </c>
      <c r="AC624" t="str">
        <f t="shared" si="69"/>
        <v>Medium</v>
      </c>
    </row>
    <row r="625" spans="1:29">
      <c r="A625" t="s">
        <v>2535</v>
      </c>
      <c r="B625" s="2">
        <v>46020</v>
      </c>
      <c r="C625" t="s">
        <v>733</v>
      </c>
      <c r="D625" t="s">
        <v>242</v>
      </c>
      <c r="E625" t="s">
        <v>2536</v>
      </c>
      <c r="F625" t="s">
        <v>2537</v>
      </c>
      <c r="G625" t="s">
        <v>79</v>
      </c>
      <c r="H625" t="s">
        <v>260</v>
      </c>
      <c r="I625" t="s">
        <v>123</v>
      </c>
      <c r="J625" t="s">
        <v>124</v>
      </c>
      <c r="K625" t="s">
        <v>194</v>
      </c>
      <c r="L625" t="s">
        <v>72</v>
      </c>
      <c r="M625" t="s">
        <v>53</v>
      </c>
      <c r="N625" t="s">
        <v>54</v>
      </c>
      <c r="O625" s="3">
        <v>235000</v>
      </c>
      <c r="P625" s="4">
        <v>35</v>
      </c>
      <c r="Q625" s="2">
        <v>46056</v>
      </c>
      <c r="R625" s="2">
        <v>46202</v>
      </c>
      <c r="S625" s="2">
        <v>46021</v>
      </c>
      <c r="T625" s="2"/>
      <c r="U625" t="str">
        <f t="shared" si="63"/>
        <v>No</v>
      </c>
      <c r="W6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5" t="str">
        <f t="shared" ca="1" si="64"/>
        <v>Due/Open</v>
      </c>
      <c r="Y625" t="str">
        <f t="shared" si="65"/>
        <v>Open</v>
      </c>
      <c r="Z625" t="str">
        <f t="shared" si="66"/>
        <v>Dec-2025</v>
      </c>
      <c r="AA625" t="str">
        <f t="shared" si="67"/>
        <v>Q4 2025</v>
      </c>
      <c r="AB625" s="4">
        <f t="shared" ca="1" si="68"/>
        <v>179</v>
      </c>
      <c r="AC625" t="str">
        <f t="shared" si="69"/>
        <v>Medium</v>
      </c>
    </row>
    <row r="626" spans="1:29">
      <c r="A626" t="s">
        <v>2538</v>
      </c>
      <c r="B626" s="2">
        <v>46012</v>
      </c>
      <c r="C626" t="s">
        <v>1226</v>
      </c>
      <c r="D626" t="s">
        <v>676</v>
      </c>
      <c r="E626" t="s">
        <v>2539</v>
      </c>
      <c r="F626" t="s">
        <v>2540</v>
      </c>
      <c r="G626" t="s">
        <v>179</v>
      </c>
      <c r="H626" t="s">
        <v>296</v>
      </c>
      <c r="I626" t="s">
        <v>36</v>
      </c>
      <c r="J626" t="s">
        <v>124</v>
      </c>
      <c r="K626" t="s">
        <v>71</v>
      </c>
      <c r="L626" t="s">
        <v>81</v>
      </c>
      <c r="M626" t="s">
        <v>53</v>
      </c>
      <c r="N626" t="s">
        <v>54</v>
      </c>
      <c r="O626" s="3">
        <v>280000</v>
      </c>
      <c r="P626" s="4">
        <v>30</v>
      </c>
      <c r="Q626" s="2">
        <v>46063</v>
      </c>
      <c r="R626" s="2">
        <v>46218</v>
      </c>
      <c r="S626" s="2">
        <v>46017</v>
      </c>
      <c r="T626" s="2"/>
      <c r="U626" t="str">
        <f t="shared" si="63"/>
        <v>No</v>
      </c>
      <c r="W6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6" t="str">
        <f t="shared" ca="1" si="64"/>
        <v>Due/Open</v>
      </c>
      <c r="Y626" t="str">
        <f t="shared" si="65"/>
        <v>Open</v>
      </c>
      <c r="Z626" t="str">
        <f t="shared" si="66"/>
        <v>Dec-2025</v>
      </c>
      <c r="AA626" t="str">
        <f t="shared" si="67"/>
        <v>Q4 2025</v>
      </c>
      <c r="AB626" s="4">
        <f t="shared" ca="1" si="68"/>
        <v>187</v>
      </c>
      <c r="AC626" t="str">
        <f t="shared" si="69"/>
        <v>Medium</v>
      </c>
    </row>
    <row r="627" spans="1:29">
      <c r="A627" t="s">
        <v>2541</v>
      </c>
      <c r="B627" s="2">
        <v>46018</v>
      </c>
      <c r="C627" t="s">
        <v>2542</v>
      </c>
      <c r="D627" t="s">
        <v>547</v>
      </c>
      <c r="E627" t="s">
        <v>2543</v>
      </c>
      <c r="F627" t="s">
        <v>2544</v>
      </c>
      <c r="G627" t="s">
        <v>47</v>
      </c>
      <c r="H627" t="s">
        <v>113</v>
      </c>
      <c r="I627" t="s">
        <v>187</v>
      </c>
      <c r="J627" t="s">
        <v>124</v>
      </c>
      <c r="K627" t="s">
        <v>71</v>
      </c>
      <c r="L627" t="s">
        <v>154</v>
      </c>
      <c r="M627" t="s">
        <v>53</v>
      </c>
      <c r="N627" t="s">
        <v>54</v>
      </c>
      <c r="O627" s="3">
        <v>100000</v>
      </c>
      <c r="P627" s="4">
        <v>30</v>
      </c>
      <c r="Q627" s="2">
        <v>46052</v>
      </c>
      <c r="R627" s="2">
        <v>46240</v>
      </c>
      <c r="S627" s="2">
        <v>46048</v>
      </c>
      <c r="T627" s="2"/>
      <c r="U627" t="str">
        <f t="shared" si="63"/>
        <v>No</v>
      </c>
      <c r="W6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7" t="str">
        <f t="shared" ca="1" si="64"/>
        <v>Due/Open</v>
      </c>
      <c r="Y627" t="str">
        <f t="shared" si="65"/>
        <v>Open</v>
      </c>
      <c r="Z627" t="str">
        <f t="shared" si="66"/>
        <v>Dec-2025</v>
      </c>
      <c r="AA627" t="str">
        <f t="shared" si="67"/>
        <v>Q4 2025</v>
      </c>
      <c r="AB627" s="4">
        <f t="shared" ca="1" si="68"/>
        <v>181</v>
      </c>
      <c r="AC627" t="str">
        <f t="shared" si="69"/>
        <v>Low</v>
      </c>
    </row>
    <row r="628" spans="1:29">
      <c r="A628" t="s">
        <v>2545</v>
      </c>
      <c r="B628" s="2">
        <v>45950</v>
      </c>
      <c r="C628" t="s">
        <v>2546</v>
      </c>
      <c r="D628" t="s">
        <v>1815</v>
      </c>
      <c r="E628" t="s">
        <v>2547</v>
      </c>
      <c r="F628" t="s">
        <v>2548</v>
      </c>
      <c r="G628" t="s">
        <v>69</v>
      </c>
      <c r="H628" t="s">
        <v>200</v>
      </c>
      <c r="I628" t="s">
        <v>61</v>
      </c>
      <c r="J628" t="s">
        <v>124</v>
      </c>
      <c r="K628" t="s">
        <v>114</v>
      </c>
      <c r="L628" t="s">
        <v>132</v>
      </c>
      <c r="M628" t="s">
        <v>53</v>
      </c>
      <c r="N628" t="s">
        <v>54</v>
      </c>
      <c r="O628" s="3">
        <v>270000</v>
      </c>
      <c r="P628" s="4">
        <v>25</v>
      </c>
      <c r="Q628" s="2">
        <v>45976</v>
      </c>
      <c r="R628" s="2">
        <v>46190</v>
      </c>
      <c r="S628" s="2">
        <v>45953</v>
      </c>
      <c r="T628" s="2"/>
      <c r="U628" t="str">
        <f t="shared" si="63"/>
        <v>No</v>
      </c>
      <c r="W6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8" t="str">
        <f t="shared" ca="1" si="64"/>
        <v>Overdue</v>
      </c>
      <c r="Y628" t="str">
        <f t="shared" si="65"/>
        <v>Open</v>
      </c>
      <c r="Z628" t="str">
        <f t="shared" si="66"/>
        <v>Oct-2025</v>
      </c>
      <c r="AA628" t="str">
        <f t="shared" si="67"/>
        <v>Q4 2025</v>
      </c>
      <c r="AB628" s="4">
        <f t="shared" ca="1" si="68"/>
        <v>249</v>
      </c>
      <c r="AC628" t="str">
        <f t="shared" si="69"/>
        <v>Medium</v>
      </c>
    </row>
    <row r="629" spans="1:29">
      <c r="A629" t="s">
        <v>2549</v>
      </c>
      <c r="B629" s="2">
        <v>46124</v>
      </c>
      <c r="C629" t="s">
        <v>1782</v>
      </c>
      <c r="D629" t="s">
        <v>2143</v>
      </c>
      <c r="E629" t="s">
        <v>2550</v>
      </c>
      <c r="F629" t="s">
        <v>2551</v>
      </c>
      <c r="G629" t="s">
        <v>47</v>
      </c>
      <c r="H629" t="s">
        <v>113</v>
      </c>
      <c r="I629" t="s">
        <v>98</v>
      </c>
      <c r="J629" t="s">
        <v>62</v>
      </c>
      <c r="K629" t="s">
        <v>194</v>
      </c>
      <c r="L629" t="s">
        <v>52</v>
      </c>
      <c r="M629" t="s">
        <v>90</v>
      </c>
      <c r="N629" t="s">
        <v>91</v>
      </c>
      <c r="O629" s="3">
        <v>170000</v>
      </c>
      <c r="P629" s="4">
        <v>55</v>
      </c>
      <c r="Q629" s="2">
        <v>46192</v>
      </c>
      <c r="R629" s="2">
        <v>46225</v>
      </c>
      <c r="S629" s="2">
        <v>46150</v>
      </c>
      <c r="T629" s="2"/>
      <c r="U629" t="str">
        <f t="shared" si="63"/>
        <v>No</v>
      </c>
      <c r="W6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29" t="str">
        <f t="shared" ca="1" si="64"/>
        <v>Due/Open</v>
      </c>
      <c r="Y629" t="str">
        <f t="shared" si="65"/>
        <v>Open</v>
      </c>
      <c r="Z629" t="str">
        <f t="shared" si="66"/>
        <v>Apr-2026</v>
      </c>
      <c r="AA629" t="str">
        <f t="shared" si="67"/>
        <v>Q2 2026</v>
      </c>
      <c r="AB629" s="4">
        <f t="shared" ca="1" si="68"/>
        <v>75</v>
      </c>
      <c r="AC629" t="str">
        <f t="shared" si="69"/>
        <v>Medium</v>
      </c>
    </row>
    <row r="630" spans="1:29">
      <c r="A630" t="s">
        <v>2552</v>
      </c>
      <c r="B630" s="2">
        <v>46146</v>
      </c>
      <c r="C630" t="s">
        <v>2354</v>
      </c>
      <c r="D630" t="s">
        <v>1404</v>
      </c>
      <c r="E630" t="s">
        <v>2553</v>
      </c>
      <c r="F630" t="s">
        <v>2554</v>
      </c>
      <c r="G630" t="s">
        <v>69</v>
      </c>
      <c r="H630" t="s">
        <v>193</v>
      </c>
      <c r="I630" t="s">
        <v>187</v>
      </c>
      <c r="J630" t="s">
        <v>124</v>
      </c>
      <c r="K630" t="s">
        <v>114</v>
      </c>
      <c r="L630" t="s">
        <v>132</v>
      </c>
      <c r="M630" t="s">
        <v>90</v>
      </c>
      <c r="N630" t="s">
        <v>91</v>
      </c>
      <c r="O630" s="3">
        <v>125000</v>
      </c>
      <c r="P630" s="4">
        <v>50</v>
      </c>
      <c r="Q630" s="2">
        <v>46209</v>
      </c>
      <c r="R630" s="2">
        <v>46225</v>
      </c>
      <c r="S630" s="2">
        <v>46157</v>
      </c>
      <c r="T630" s="2"/>
      <c r="U630" t="str">
        <f t="shared" si="63"/>
        <v>No</v>
      </c>
      <c r="W6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0" t="str">
        <f t="shared" ca="1" si="64"/>
        <v>Due/Open</v>
      </c>
      <c r="Y630" t="str">
        <f t="shared" si="65"/>
        <v>Open</v>
      </c>
      <c r="Z630" t="str">
        <f t="shared" si="66"/>
        <v>May-2026</v>
      </c>
      <c r="AA630" t="str">
        <f t="shared" si="67"/>
        <v>Q2 2026</v>
      </c>
      <c r="AB630" s="4">
        <f t="shared" ca="1" si="68"/>
        <v>53</v>
      </c>
      <c r="AC630" t="str">
        <f t="shared" si="69"/>
        <v>Medium</v>
      </c>
    </row>
    <row r="631" spans="1:29">
      <c r="A631" t="s">
        <v>2555</v>
      </c>
      <c r="B631" s="2">
        <v>46032</v>
      </c>
      <c r="C631" t="s">
        <v>1237</v>
      </c>
      <c r="D631" t="s">
        <v>522</v>
      </c>
      <c r="E631" t="s">
        <v>2556</v>
      </c>
      <c r="F631" t="s">
        <v>2557</v>
      </c>
      <c r="G631" t="s">
        <v>69</v>
      </c>
      <c r="H631" t="s">
        <v>312</v>
      </c>
      <c r="I631" t="s">
        <v>148</v>
      </c>
      <c r="J631" t="s">
        <v>37</v>
      </c>
      <c r="K631" t="s">
        <v>38</v>
      </c>
      <c r="L631" t="s">
        <v>39</v>
      </c>
      <c r="M631" t="s">
        <v>40</v>
      </c>
      <c r="N631" t="s">
        <v>41</v>
      </c>
      <c r="O631" s="3">
        <v>135000</v>
      </c>
      <c r="P631" s="4">
        <v>100</v>
      </c>
      <c r="Q631" s="2">
        <v>46064</v>
      </c>
      <c r="R631" s="2"/>
      <c r="S631" s="2">
        <v>46051</v>
      </c>
      <c r="T631" s="2">
        <v>46064</v>
      </c>
      <c r="U631" t="str">
        <f t="shared" si="63"/>
        <v>Yes</v>
      </c>
      <c r="W63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631" t="str">
        <f t="shared" ca="1" si="64"/>
        <v>Closed</v>
      </c>
      <c r="Y631" t="str">
        <f t="shared" si="65"/>
        <v>Closed</v>
      </c>
      <c r="Z631" t="str">
        <f t="shared" si="66"/>
        <v>Jan-2026</v>
      </c>
      <c r="AA631" t="str">
        <f t="shared" si="67"/>
        <v>Q1 2026</v>
      </c>
      <c r="AB631" s="4">
        <f t="shared" ca="1" si="68"/>
        <v>167</v>
      </c>
      <c r="AC631" t="str">
        <f t="shared" si="69"/>
        <v>Medium</v>
      </c>
    </row>
    <row r="632" spans="1:29">
      <c r="A632" t="s">
        <v>2558</v>
      </c>
      <c r="B632" s="2">
        <v>45748</v>
      </c>
      <c r="C632" t="s">
        <v>2559</v>
      </c>
      <c r="D632" t="s">
        <v>337</v>
      </c>
      <c r="E632" t="s">
        <v>2560</v>
      </c>
      <c r="F632" t="s">
        <v>2561</v>
      </c>
      <c r="G632" t="s">
        <v>47</v>
      </c>
      <c r="H632" t="s">
        <v>89</v>
      </c>
      <c r="I632" t="s">
        <v>148</v>
      </c>
      <c r="J632" t="s">
        <v>62</v>
      </c>
      <c r="K632" t="s">
        <v>114</v>
      </c>
      <c r="L632" t="s">
        <v>142</v>
      </c>
      <c r="M632" t="s">
        <v>73</v>
      </c>
      <c r="N632" t="s">
        <v>73</v>
      </c>
      <c r="O632" s="3">
        <v>165000</v>
      </c>
      <c r="P632" s="4">
        <v>85</v>
      </c>
      <c r="Q632" s="2">
        <v>45825</v>
      </c>
      <c r="R632" s="2">
        <v>46235</v>
      </c>
      <c r="S632" s="2">
        <v>45759</v>
      </c>
      <c r="T632" s="2"/>
      <c r="U632" t="str">
        <f t="shared" si="63"/>
        <v>No</v>
      </c>
      <c r="W6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2" t="str">
        <f t="shared" ca="1" si="64"/>
        <v>Due/Open</v>
      </c>
      <c r="Y632" t="str">
        <f t="shared" si="65"/>
        <v>Open</v>
      </c>
      <c r="Z632" t="str">
        <f t="shared" si="66"/>
        <v>Apr-2025</v>
      </c>
      <c r="AA632" t="str">
        <f t="shared" si="67"/>
        <v>Q2 2025</v>
      </c>
      <c r="AB632" s="4">
        <f t="shared" ca="1" si="68"/>
        <v>451</v>
      </c>
      <c r="AC632" t="str">
        <f t="shared" si="69"/>
        <v>Medium</v>
      </c>
    </row>
    <row r="633" spans="1:29">
      <c r="A633" t="s">
        <v>2562</v>
      </c>
      <c r="B633" s="2">
        <v>45711</v>
      </c>
      <c r="C633" t="s">
        <v>1700</v>
      </c>
      <c r="D633" t="s">
        <v>357</v>
      </c>
      <c r="E633" t="s">
        <v>2563</v>
      </c>
      <c r="F633" t="s">
        <v>2564</v>
      </c>
      <c r="G633" t="s">
        <v>79</v>
      </c>
      <c r="H633" t="s">
        <v>106</v>
      </c>
      <c r="I633" t="s">
        <v>98</v>
      </c>
      <c r="J633" t="s">
        <v>62</v>
      </c>
      <c r="K633" t="s">
        <v>100</v>
      </c>
      <c r="L633" t="s">
        <v>142</v>
      </c>
      <c r="M633" t="s">
        <v>82</v>
      </c>
      <c r="N633" t="s">
        <v>83</v>
      </c>
      <c r="O633" s="3">
        <v>140000</v>
      </c>
      <c r="P633" s="4">
        <v>10</v>
      </c>
      <c r="Q633" s="2">
        <v>45749</v>
      </c>
      <c r="R633" s="2">
        <v>46157</v>
      </c>
      <c r="S633" s="2">
        <v>45725</v>
      </c>
      <c r="T633" s="2"/>
      <c r="U633" t="str">
        <f t="shared" si="63"/>
        <v>No</v>
      </c>
      <c r="W6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3" t="str">
        <f t="shared" ca="1" si="64"/>
        <v>Overdue</v>
      </c>
      <c r="Y633" t="str">
        <f t="shared" si="65"/>
        <v>Open</v>
      </c>
      <c r="Z633" t="str">
        <f t="shared" si="66"/>
        <v>Feb-2025</v>
      </c>
      <c r="AA633" t="str">
        <f t="shared" si="67"/>
        <v>Q1 2025</v>
      </c>
      <c r="AB633" s="4">
        <f t="shared" ca="1" si="68"/>
        <v>488</v>
      </c>
      <c r="AC633" t="str">
        <f t="shared" si="69"/>
        <v>Medium</v>
      </c>
    </row>
    <row r="634" spans="1:29">
      <c r="A634" t="s">
        <v>2565</v>
      </c>
      <c r="B634" s="2">
        <v>45818</v>
      </c>
      <c r="C634" t="s">
        <v>1117</v>
      </c>
      <c r="D634" t="s">
        <v>119</v>
      </c>
      <c r="E634" t="s">
        <v>2566</v>
      </c>
      <c r="F634" t="s">
        <v>2567</v>
      </c>
      <c r="G634" t="s">
        <v>79</v>
      </c>
      <c r="H634" t="s">
        <v>80</v>
      </c>
      <c r="I634" t="s">
        <v>141</v>
      </c>
      <c r="J634" t="s">
        <v>131</v>
      </c>
      <c r="K634" t="s">
        <v>194</v>
      </c>
      <c r="L634" t="s">
        <v>72</v>
      </c>
      <c r="M634" t="s">
        <v>90</v>
      </c>
      <c r="N634" t="s">
        <v>91</v>
      </c>
      <c r="O634" s="3">
        <v>95000</v>
      </c>
      <c r="P634" s="4">
        <v>50</v>
      </c>
      <c r="Q634" s="2">
        <v>45912</v>
      </c>
      <c r="R634" s="2">
        <v>46207</v>
      </c>
      <c r="S634" s="2">
        <v>45820</v>
      </c>
      <c r="T634" s="2"/>
      <c r="U634" t="str">
        <f t="shared" si="63"/>
        <v>No</v>
      </c>
      <c r="W6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4" t="str">
        <f t="shared" ca="1" si="64"/>
        <v>Due/Open</v>
      </c>
      <c r="Y634" t="str">
        <f t="shared" si="65"/>
        <v>Open</v>
      </c>
      <c r="Z634" t="str">
        <f t="shared" si="66"/>
        <v>Jun-2025</v>
      </c>
      <c r="AA634" t="str">
        <f t="shared" si="67"/>
        <v>Q2 2025</v>
      </c>
      <c r="AB634" s="4">
        <f t="shared" ca="1" si="68"/>
        <v>381</v>
      </c>
      <c r="AC634" t="str">
        <f t="shared" si="69"/>
        <v>Low</v>
      </c>
    </row>
    <row r="635" spans="1:29">
      <c r="A635" t="s">
        <v>2568</v>
      </c>
      <c r="B635" s="2">
        <v>46161</v>
      </c>
      <c r="C635" t="s">
        <v>2052</v>
      </c>
      <c r="D635" t="s">
        <v>645</v>
      </c>
      <c r="E635" t="s">
        <v>2569</v>
      </c>
      <c r="F635" t="s">
        <v>2570</v>
      </c>
      <c r="G635" t="s">
        <v>47</v>
      </c>
      <c r="H635" t="s">
        <v>113</v>
      </c>
      <c r="I635" t="s">
        <v>49</v>
      </c>
      <c r="J635" t="s">
        <v>62</v>
      </c>
      <c r="K635" t="s">
        <v>38</v>
      </c>
      <c r="L635" t="s">
        <v>63</v>
      </c>
      <c r="M635" t="s">
        <v>210</v>
      </c>
      <c r="N635" t="s">
        <v>134</v>
      </c>
      <c r="O635" s="3">
        <v>140000</v>
      </c>
      <c r="P635" s="4">
        <v>0</v>
      </c>
      <c r="Q635" s="2">
        <v>46197</v>
      </c>
      <c r="R635" s="2"/>
      <c r="S635" s="2">
        <v>46169</v>
      </c>
      <c r="T635" s="2">
        <v>46197</v>
      </c>
      <c r="U635" t="str">
        <f t="shared" si="63"/>
        <v>No</v>
      </c>
      <c r="V635" t="s">
        <v>211</v>
      </c>
      <c r="W63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635" t="str">
        <f t="shared" ca="1" si="64"/>
        <v>Closed</v>
      </c>
      <c r="Y635" t="str">
        <f t="shared" si="65"/>
        <v>Closed</v>
      </c>
      <c r="Z635" t="str">
        <f t="shared" si="66"/>
        <v>May-2026</v>
      </c>
      <c r="AA635" t="str">
        <f t="shared" si="67"/>
        <v>Q2 2026</v>
      </c>
      <c r="AB635" s="4">
        <f t="shared" ca="1" si="68"/>
        <v>38</v>
      </c>
      <c r="AC635" t="str">
        <f t="shared" si="69"/>
        <v>Medium</v>
      </c>
    </row>
    <row r="636" spans="1:29">
      <c r="A636" t="s">
        <v>2571</v>
      </c>
      <c r="B636" s="2">
        <v>45776</v>
      </c>
      <c r="C636" t="s">
        <v>2052</v>
      </c>
      <c r="D636" t="s">
        <v>512</v>
      </c>
      <c r="E636" t="s">
        <v>2572</v>
      </c>
      <c r="F636" t="s">
        <v>2573</v>
      </c>
      <c r="G636" t="s">
        <v>179</v>
      </c>
      <c r="H636" t="s">
        <v>318</v>
      </c>
      <c r="I636" t="s">
        <v>187</v>
      </c>
      <c r="J636" t="s">
        <v>124</v>
      </c>
      <c r="K636" t="s">
        <v>194</v>
      </c>
      <c r="L636" t="s">
        <v>107</v>
      </c>
      <c r="M636" t="s">
        <v>116</v>
      </c>
      <c r="N636" t="s">
        <v>54</v>
      </c>
      <c r="O636" s="3">
        <v>195000</v>
      </c>
      <c r="P636" s="4">
        <v>25</v>
      </c>
      <c r="Q636" s="2">
        <v>45838</v>
      </c>
      <c r="R636" s="2">
        <v>46229</v>
      </c>
      <c r="S636" s="2">
        <v>45787</v>
      </c>
      <c r="T636" s="2"/>
      <c r="U636" t="str">
        <f t="shared" si="63"/>
        <v>No</v>
      </c>
      <c r="W6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6" t="str">
        <f t="shared" ca="1" si="64"/>
        <v>Due/Open</v>
      </c>
      <c r="Y636" t="str">
        <f t="shared" si="65"/>
        <v>Open</v>
      </c>
      <c r="Z636" t="str">
        <f t="shared" si="66"/>
        <v>Apr-2025</v>
      </c>
      <c r="AA636" t="str">
        <f t="shared" si="67"/>
        <v>Q2 2025</v>
      </c>
      <c r="AB636" s="4">
        <f t="shared" ca="1" si="68"/>
        <v>423</v>
      </c>
      <c r="AC636" t="str">
        <f t="shared" si="69"/>
        <v>Medium</v>
      </c>
    </row>
    <row r="637" spans="1:29">
      <c r="A637" t="s">
        <v>2574</v>
      </c>
      <c r="B637" s="2">
        <v>45785</v>
      </c>
      <c r="C637" t="s">
        <v>1637</v>
      </c>
      <c r="D637" t="s">
        <v>547</v>
      </c>
      <c r="E637" t="s">
        <v>2575</v>
      </c>
      <c r="F637" t="s">
        <v>2576</v>
      </c>
      <c r="G637" t="s">
        <v>69</v>
      </c>
      <c r="H637" t="s">
        <v>312</v>
      </c>
      <c r="I637" t="s">
        <v>36</v>
      </c>
      <c r="J637" t="s">
        <v>124</v>
      </c>
      <c r="K637" t="s">
        <v>194</v>
      </c>
      <c r="L637" t="s">
        <v>115</v>
      </c>
      <c r="M637" t="s">
        <v>116</v>
      </c>
      <c r="N637" t="s">
        <v>54</v>
      </c>
      <c r="O637" s="3">
        <v>270000</v>
      </c>
      <c r="P637" s="4">
        <v>25</v>
      </c>
      <c r="Q637" s="2">
        <v>45850</v>
      </c>
      <c r="R637" s="2">
        <v>46162</v>
      </c>
      <c r="S637" s="2">
        <v>45799</v>
      </c>
      <c r="T637" s="2"/>
      <c r="U637" t="str">
        <f t="shared" si="63"/>
        <v>No</v>
      </c>
      <c r="W6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7" t="str">
        <f t="shared" ca="1" si="64"/>
        <v>Overdue</v>
      </c>
      <c r="Y637" t="str">
        <f t="shared" si="65"/>
        <v>Open</v>
      </c>
      <c r="Z637" t="str">
        <f t="shared" si="66"/>
        <v>May-2025</v>
      </c>
      <c r="AA637" t="str">
        <f t="shared" si="67"/>
        <v>Q2 2025</v>
      </c>
      <c r="AB637" s="4">
        <f t="shared" ca="1" si="68"/>
        <v>414</v>
      </c>
      <c r="AC637" t="str">
        <f t="shared" si="69"/>
        <v>Medium</v>
      </c>
    </row>
    <row r="638" spans="1:29">
      <c r="A638" t="s">
        <v>2577</v>
      </c>
      <c r="B638" s="2">
        <v>45695</v>
      </c>
      <c r="C638" t="s">
        <v>1857</v>
      </c>
      <c r="D638" t="s">
        <v>1876</v>
      </c>
      <c r="E638" t="s">
        <v>2578</v>
      </c>
      <c r="F638" t="s">
        <v>2579</v>
      </c>
      <c r="G638" t="s">
        <v>79</v>
      </c>
      <c r="H638" t="s">
        <v>97</v>
      </c>
      <c r="I638" t="s">
        <v>36</v>
      </c>
      <c r="J638" t="s">
        <v>124</v>
      </c>
      <c r="K638" t="s">
        <v>114</v>
      </c>
      <c r="L638" t="s">
        <v>142</v>
      </c>
      <c r="M638" t="s">
        <v>40</v>
      </c>
      <c r="N638" t="s">
        <v>41</v>
      </c>
      <c r="O638" s="3">
        <v>230000</v>
      </c>
      <c r="P638" s="4">
        <v>100</v>
      </c>
      <c r="Q638" s="2">
        <v>45719</v>
      </c>
      <c r="R638" s="2"/>
      <c r="S638" s="2">
        <v>45710</v>
      </c>
      <c r="T638" s="2">
        <v>45719</v>
      </c>
      <c r="U638" t="str">
        <f t="shared" si="63"/>
        <v>Yes</v>
      </c>
      <c r="W63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24</v>
      </c>
      <c r="X638" t="str">
        <f t="shared" ca="1" si="64"/>
        <v>Closed</v>
      </c>
      <c r="Y638" t="str">
        <f t="shared" si="65"/>
        <v>Closed</v>
      </c>
      <c r="Z638" t="str">
        <f t="shared" si="66"/>
        <v>Feb-2025</v>
      </c>
      <c r="AA638" t="str">
        <f t="shared" si="67"/>
        <v>Q1 2025</v>
      </c>
      <c r="AB638" s="4">
        <f t="shared" ca="1" si="68"/>
        <v>504</v>
      </c>
      <c r="AC638" t="str">
        <f t="shared" si="69"/>
        <v>Medium</v>
      </c>
    </row>
    <row r="639" spans="1:29">
      <c r="A639" t="s">
        <v>2580</v>
      </c>
      <c r="B639" s="2">
        <v>46114</v>
      </c>
      <c r="C639" t="s">
        <v>2581</v>
      </c>
      <c r="D639" t="s">
        <v>170</v>
      </c>
      <c r="E639" t="s">
        <v>2582</v>
      </c>
      <c r="F639" t="s">
        <v>2583</v>
      </c>
      <c r="G639" t="s">
        <v>47</v>
      </c>
      <c r="H639" t="s">
        <v>113</v>
      </c>
      <c r="I639" t="s">
        <v>141</v>
      </c>
      <c r="J639" t="s">
        <v>124</v>
      </c>
      <c r="K639" t="s">
        <v>114</v>
      </c>
      <c r="L639" t="s">
        <v>239</v>
      </c>
      <c r="M639" t="s">
        <v>73</v>
      </c>
      <c r="N639" t="s">
        <v>73</v>
      </c>
      <c r="O639" s="3">
        <v>275000</v>
      </c>
      <c r="P639" s="4">
        <v>80</v>
      </c>
      <c r="Q639" s="2">
        <v>46195</v>
      </c>
      <c r="R639" s="2">
        <v>46219</v>
      </c>
      <c r="S639" s="2">
        <v>46140</v>
      </c>
      <c r="T639" s="2"/>
      <c r="U639" t="str">
        <f t="shared" si="63"/>
        <v>No</v>
      </c>
      <c r="W6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39" t="str">
        <f t="shared" ca="1" si="64"/>
        <v>Due/Open</v>
      </c>
      <c r="Y639" t="str">
        <f t="shared" si="65"/>
        <v>Open</v>
      </c>
      <c r="Z639" t="str">
        <f t="shared" si="66"/>
        <v>Apr-2026</v>
      </c>
      <c r="AA639" t="str">
        <f t="shared" si="67"/>
        <v>Q2 2026</v>
      </c>
      <c r="AB639" s="4">
        <f t="shared" ca="1" si="68"/>
        <v>85</v>
      </c>
      <c r="AC639" t="str">
        <f t="shared" si="69"/>
        <v>Medium</v>
      </c>
    </row>
    <row r="640" spans="1:29">
      <c r="A640" t="s">
        <v>2584</v>
      </c>
      <c r="B640" s="2">
        <v>46076</v>
      </c>
      <c r="C640" t="s">
        <v>2585</v>
      </c>
      <c r="D640" t="s">
        <v>242</v>
      </c>
      <c r="E640" t="s">
        <v>2586</v>
      </c>
      <c r="F640" t="s">
        <v>2587</v>
      </c>
      <c r="G640" t="s">
        <v>179</v>
      </c>
      <c r="H640" t="s">
        <v>487</v>
      </c>
      <c r="I640" t="s">
        <v>61</v>
      </c>
      <c r="J640" t="s">
        <v>131</v>
      </c>
      <c r="K640" t="s">
        <v>194</v>
      </c>
      <c r="L640" t="s">
        <v>132</v>
      </c>
      <c r="M640" t="s">
        <v>116</v>
      </c>
      <c r="N640" t="s">
        <v>54</v>
      </c>
      <c r="O640" s="3">
        <v>255000</v>
      </c>
      <c r="P640" s="4">
        <v>20</v>
      </c>
      <c r="Q640" s="2">
        <v>46112</v>
      </c>
      <c r="R640" s="2">
        <v>46205</v>
      </c>
      <c r="S640" s="2">
        <v>46090</v>
      </c>
      <c r="T640" s="2"/>
      <c r="U640" t="str">
        <f t="shared" si="63"/>
        <v>No</v>
      </c>
      <c r="W6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0" t="str">
        <f t="shared" ca="1" si="64"/>
        <v>Due/Open</v>
      </c>
      <c r="Y640" t="str">
        <f t="shared" si="65"/>
        <v>Open</v>
      </c>
      <c r="Z640" t="str">
        <f t="shared" si="66"/>
        <v>Feb-2026</v>
      </c>
      <c r="AA640" t="str">
        <f t="shared" si="67"/>
        <v>Q1 2026</v>
      </c>
      <c r="AB640" s="4">
        <f t="shared" ca="1" si="68"/>
        <v>123</v>
      </c>
      <c r="AC640" t="str">
        <f t="shared" si="69"/>
        <v>Medium</v>
      </c>
    </row>
    <row r="641" spans="1:29">
      <c r="A641" t="s">
        <v>2588</v>
      </c>
      <c r="B641" s="2">
        <v>45911</v>
      </c>
      <c r="C641" t="s">
        <v>594</v>
      </c>
      <c r="D641" t="s">
        <v>31</v>
      </c>
      <c r="E641" t="s">
        <v>2589</v>
      </c>
      <c r="F641" t="s">
        <v>2590</v>
      </c>
      <c r="G641" t="s">
        <v>179</v>
      </c>
      <c r="H641" t="s">
        <v>296</v>
      </c>
      <c r="I641" t="s">
        <v>98</v>
      </c>
      <c r="J641" t="s">
        <v>37</v>
      </c>
      <c r="K641" t="s">
        <v>114</v>
      </c>
      <c r="L641" t="s">
        <v>72</v>
      </c>
      <c r="M641" t="s">
        <v>166</v>
      </c>
      <c r="N641" t="s">
        <v>167</v>
      </c>
      <c r="O641" s="3">
        <v>150000</v>
      </c>
      <c r="P641" s="4">
        <v>70</v>
      </c>
      <c r="Q641" s="2">
        <v>45938</v>
      </c>
      <c r="R641" s="2">
        <v>46197</v>
      </c>
      <c r="S641" s="2">
        <v>45925</v>
      </c>
      <c r="T641" s="2"/>
      <c r="U641" t="str">
        <f t="shared" si="63"/>
        <v>No</v>
      </c>
      <c r="W6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1" t="str">
        <f t="shared" ca="1" si="64"/>
        <v>Overdue</v>
      </c>
      <c r="Y641" t="str">
        <f t="shared" si="65"/>
        <v>Open</v>
      </c>
      <c r="Z641" t="str">
        <f t="shared" si="66"/>
        <v>Sep-2025</v>
      </c>
      <c r="AA641" t="str">
        <f t="shared" si="67"/>
        <v>Q3 2025</v>
      </c>
      <c r="AB641" s="4">
        <f t="shared" ca="1" si="68"/>
        <v>288</v>
      </c>
      <c r="AC641" t="str">
        <f t="shared" si="69"/>
        <v>Medium</v>
      </c>
    </row>
    <row r="642" spans="1:29">
      <c r="A642" t="s">
        <v>2591</v>
      </c>
      <c r="B642" s="2">
        <v>45667</v>
      </c>
      <c r="C642" t="s">
        <v>2585</v>
      </c>
      <c r="D642" t="s">
        <v>1183</v>
      </c>
      <c r="E642" t="s">
        <v>2592</v>
      </c>
      <c r="F642" t="s">
        <v>2593</v>
      </c>
      <c r="G642" t="s">
        <v>69</v>
      </c>
      <c r="H642" t="s">
        <v>312</v>
      </c>
      <c r="I642" t="s">
        <v>123</v>
      </c>
      <c r="J642" t="s">
        <v>50</v>
      </c>
      <c r="K642" t="s">
        <v>114</v>
      </c>
      <c r="L642" t="s">
        <v>72</v>
      </c>
      <c r="M642" t="s">
        <v>82</v>
      </c>
      <c r="N642" t="s">
        <v>83</v>
      </c>
      <c r="O642" s="3">
        <v>275000</v>
      </c>
      <c r="P642" s="4">
        <v>5</v>
      </c>
      <c r="Q642" s="2">
        <v>45693</v>
      </c>
      <c r="R642" s="2">
        <v>46213</v>
      </c>
      <c r="S642" s="2">
        <v>45687</v>
      </c>
      <c r="T642" s="2"/>
      <c r="U642" t="str">
        <f t="shared" ref="U642:U705" si="70">IF(M642="Converted","Yes","No")</f>
        <v>No</v>
      </c>
      <c r="W6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2" t="str">
        <f t="shared" ref="X642:X705" ca="1" si="71">IF(OR(M642="Converted",M642="Lost",M642="Not Interested"),"Closed",IF(R642&lt;TODAY(),"Overdue","Due/Open"))</f>
        <v>Due/Open</v>
      </c>
      <c r="Y642" t="str">
        <f t="shared" ref="Y642:Y705" si="72">IF(OR(M642="Converted",M642="Lost",M642="Not Interested"),"Closed","Open")</f>
        <v>Open</v>
      </c>
      <c r="Z642" t="str">
        <f t="shared" ref="Z642:Z705" si="73">TEXT(B642,"mmm-yyyy")</f>
        <v>Jan-2025</v>
      </c>
      <c r="AA642" t="str">
        <f t="shared" ref="AA642:AA705" si="74">"Q"&amp;ROUNDUP(MONTH(B642)/3,0)&amp;" "&amp;YEAR(B642)</f>
        <v>Q1 2025</v>
      </c>
      <c r="AB642" s="4">
        <f t="shared" ref="AB642:AB705" ca="1" si="75">TODAY()-B642</f>
        <v>532</v>
      </c>
      <c r="AC642" t="str">
        <f t="shared" ref="AC642:AC705" si="76">IF(O642&gt;=300000,"High",IF(O642&gt;=120000,"Medium","Low"))</f>
        <v>Medium</v>
      </c>
    </row>
    <row r="643" spans="1:29">
      <c r="A643" t="s">
        <v>2594</v>
      </c>
      <c r="B643" s="2">
        <v>46147</v>
      </c>
      <c r="C643" t="s">
        <v>1136</v>
      </c>
      <c r="D643" t="s">
        <v>1118</v>
      </c>
      <c r="E643" t="s">
        <v>2595</v>
      </c>
      <c r="F643" t="s">
        <v>2596</v>
      </c>
      <c r="G643" t="s">
        <v>47</v>
      </c>
      <c r="H643" t="s">
        <v>89</v>
      </c>
      <c r="I643" t="s">
        <v>98</v>
      </c>
      <c r="J643" t="s">
        <v>124</v>
      </c>
      <c r="K643" t="s">
        <v>51</v>
      </c>
      <c r="L643" t="s">
        <v>239</v>
      </c>
      <c r="M643" t="s">
        <v>53</v>
      </c>
      <c r="N643" t="s">
        <v>54</v>
      </c>
      <c r="O643" s="3">
        <v>210000</v>
      </c>
      <c r="P643" s="4">
        <v>30</v>
      </c>
      <c r="Q643" s="2">
        <v>46210</v>
      </c>
      <c r="R643" s="2">
        <v>46204</v>
      </c>
      <c r="S643" s="2">
        <v>46163</v>
      </c>
      <c r="T643" s="2"/>
      <c r="U643" t="str">
        <f t="shared" si="70"/>
        <v>No</v>
      </c>
      <c r="W6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3" t="str">
        <f t="shared" ca="1" si="71"/>
        <v>Due/Open</v>
      </c>
      <c r="Y643" t="str">
        <f t="shared" si="72"/>
        <v>Open</v>
      </c>
      <c r="Z643" t="str">
        <f t="shared" si="73"/>
        <v>May-2026</v>
      </c>
      <c r="AA643" t="str">
        <f t="shared" si="74"/>
        <v>Q2 2026</v>
      </c>
      <c r="AB643" s="4">
        <f t="shared" ca="1" si="75"/>
        <v>52</v>
      </c>
      <c r="AC643" t="str">
        <f t="shared" si="76"/>
        <v>Medium</v>
      </c>
    </row>
    <row r="644" spans="1:29">
      <c r="A644" t="s">
        <v>2597</v>
      </c>
      <c r="B644" s="2">
        <v>45873</v>
      </c>
      <c r="C644" t="s">
        <v>398</v>
      </c>
      <c r="D644" t="s">
        <v>586</v>
      </c>
      <c r="E644" t="s">
        <v>2598</v>
      </c>
      <c r="F644" t="s">
        <v>2599</v>
      </c>
      <c r="G644" t="s">
        <v>79</v>
      </c>
      <c r="H644" t="s">
        <v>260</v>
      </c>
      <c r="I644" t="s">
        <v>61</v>
      </c>
      <c r="J644" t="s">
        <v>99</v>
      </c>
      <c r="K644" t="s">
        <v>100</v>
      </c>
      <c r="L644" t="s">
        <v>115</v>
      </c>
      <c r="M644" t="s">
        <v>73</v>
      </c>
      <c r="N644" t="s">
        <v>73</v>
      </c>
      <c r="O644" s="3">
        <v>170000</v>
      </c>
      <c r="P644" s="4">
        <v>80</v>
      </c>
      <c r="Q644" s="2">
        <v>45941</v>
      </c>
      <c r="R644" s="2">
        <v>46190</v>
      </c>
      <c r="S644" s="2">
        <v>45876</v>
      </c>
      <c r="T644" s="2"/>
      <c r="U644" t="str">
        <f t="shared" si="70"/>
        <v>No</v>
      </c>
      <c r="W6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4" t="str">
        <f t="shared" ca="1" si="71"/>
        <v>Overdue</v>
      </c>
      <c r="Y644" t="str">
        <f t="shared" si="72"/>
        <v>Open</v>
      </c>
      <c r="Z644" t="str">
        <f t="shared" si="73"/>
        <v>Aug-2025</v>
      </c>
      <c r="AA644" t="str">
        <f t="shared" si="74"/>
        <v>Q3 2025</v>
      </c>
      <c r="AB644" s="4">
        <f t="shared" ca="1" si="75"/>
        <v>326</v>
      </c>
      <c r="AC644" t="str">
        <f t="shared" si="76"/>
        <v>Medium</v>
      </c>
    </row>
    <row r="645" spans="1:29">
      <c r="A645" t="s">
        <v>2600</v>
      </c>
      <c r="B645" s="2">
        <v>45833</v>
      </c>
      <c r="C645" t="s">
        <v>1042</v>
      </c>
      <c r="D645" t="s">
        <v>225</v>
      </c>
      <c r="E645" t="s">
        <v>2601</v>
      </c>
      <c r="F645" t="s">
        <v>2602</v>
      </c>
      <c r="G645" t="s">
        <v>34</v>
      </c>
      <c r="H645" t="s">
        <v>60</v>
      </c>
      <c r="I645" t="s">
        <v>148</v>
      </c>
      <c r="J645" t="s">
        <v>124</v>
      </c>
      <c r="K645" t="s">
        <v>51</v>
      </c>
      <c r="L645" t="s">
        <v>125</v>
      </c>
      <c r="M645" t="s">
        <v>40</v>
      </c>
      <c r="N645" t="s">
        <v>41</v>
      </c>
      <c r="O645" s="3">
        <v>315000</v>
      </c>
      <c r="P645" s="4">
        <v>100</v>
      </c>
      <c r="Q645" s="2">
        <v>45873</v>
      </c>
      <c r="R645" s="2"/>
      <c r="S645" s="2">
        <v>45837</v>
      </c>
      <c r="T645" s="2">
        <v>45873</v>
      </c>
      <c r="U645" t="str">
        <f t="shared" si="70"/>
        <v>Yes</v>
      </c>
      <c r="W64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645" t="str">
        <f t="shared" ca="1" si="71"/>
        <v>Closed</v>
      </c>
      <c r="Y645" t="str">
        <f t="shared" si="72"/>
        <v>Closed</v>
      </c>
      <c r="Z645" t="str">
        <f t="shared" si="73"/>
        <v>Jun-2025</v>
      </c>
      <c r="AA645" t="str">
        <f t="shared" si="74"/>
        <v>Q2 2025</v>
      </c>
      <c r="AB645" s="4">
        <f t="shared" ca="1" si="75"/>
        <v>366</v>
      </c>
      <c r="AC645" t="str">
        <f t="shared" si="76"/>
        <v>High</v>
      </c>
    </row>
    <row r="646" spans="1:29">
      <c r="A646" t="s">
        <v>2603</v>
      </c>
      <c r="B646" s="2">
        <v>45877</v>
      </c>
      <c r="C646" t="s">
        <v>2604</v>
      </c>
      <c r="D646" t="s">
        <v>423</v>
      </c>
      <c r="E646" t="s">
        <v>2605</v>
      </c>
      <c r="F646" t="s">
        <v>2606</v>
      </c>
      <c r="G646" t="s">
        <v>79</v>
      </c>
      <c r="H646" t="s">
        <v>106</v>
      </c>
      <c r="I646" t="s">
        <v>187</v>
      </c>
      <c r="J646" t="s">
        <v>50</v>
      </c>
      <c r="K646" t="s">
        <v>71</v>
      </c>
      <c r="L646" t="s">
        <v>125</v>
      </c>
      <c r="M646" t="s">
        <v>53</v>
      </c>
      <c r="N646" t="s">
        <v>54</v>
      </c>
      <c r="O646" s="3">
        <v>150000</v>
      </c>
      <c r="P646" s="4">
        <v>35</v>
      </c>
      <c r="Q646" s="2">
        <v>45914</v>
      </c>
      <c r="R646" s="2">
        <v>46194</v>
      </c>
      <c r="S646" s="2">
        <v>45903</v>
      </c>
      <c r="T646" s="2"/>
      <c r="U646" t="str">
        <f t="shared" si="70"/>
        <v>No</v>
      </c>
      <c r="W6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6" t="str">
        <f t="shared" ca="1" si="71"/>
        <v>Overdue</v>
      </c>
      <c r="Y646" t="str">
        <f t="shared" si="72"/>
        <v>Open</v>
      </c>
      <c r="Z646" t="str">
        <f t="shared" si="73"/>
        <v>Aug-2025</v>
      </c>
      <c r="AA646" t="str">
        <f t="shared" si="74"/>
        <v>Q3 2025</v>
      </c>
      <c r="AB646" s="4">
        <f t="shared" ca="1" si="75"/>
        <v>322</v>
      </c>
      <c r="AC646" t="str">
        <f t="shared" si="76"/>
        <v>Medium</v>
      </c>
    </row>
    <row r="647" spans="1:29">
      <c r="A647" t="s">
        <v>2607</v>
      </c>
      <c r="B647" s="2">
        <v>45769</v>
      </c>
      <c r="C647" t="s">
        <v>379</v>
      </c>
      <c r="D647" t="s">
        <v>926</v>
      </c>
      <c r="E647" t="s">
        <v>2608</v>
      </c>
      <c r="F647" t="s">
        <v>2609</v>
      </c>
      <c r="G647" t="s">
        <v>34</v>
      </c>
      <c r="H647" t="s">
        <v>60</v>
      </c>
      <c r="I647" t="s">
        <v>36</v>
      </c>
      <c r="J647" t="s">
        <v>37</v>
      </c>
      <c r="K647" t="s">
        <v>194</v>
      </c>
      <c r="L647" t="s">
        <v>107</v>
      </c>
      <c r="M647" t="s">
        <v>53</v>
      </c>
      <c r="N647" t="s">
        <v>54</v>
      </c>
      <c r="O647" s="3">
        <v>80000</v>
      </c>
      <c r="P647" s="4">
        <v>25</v>
      </c>
      <c r="Q647" s="2">
        <v>45830</v>
      </c>
      <c r="R647" s="2">
        <v>46171</v>
      </c>
      <c r="S647" s="2">
        <v>45770</v>
      </c>
      <c r="T647" s="2"/>
      <c r="U647" t="str">
        <f t="shared" si="70"/>
        <v>No</v>
      </c>
      <c r="W6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7" t="str">
        <f t="shared" ca="1" si="71"/>
        <v>Overdue</v>
      </c>
      <c r="Y647" t="str">
        <f t="shared" si="72"/>
        <v>Open</v>
      </c>
      <c r="Z647" t="str">
        <f t="shared" si="73"/>
        <v>Apr-2025</v>
      </c>
      <c r="AA647" t="str">
        <f t="shared" si="74"/>
        <v>Q2 2025</v>
      </c>
      <c r="AB647" s="4">
        <f t="shared" ca="1" si="75"/>
        <v>430</v>
      </c>
      <c r="AC647" t="str">
        <f t="shared" si="76"/>
        <v>Low</v>
      </c>
    </row>
    <row r="648" spans="1:29">
      <c r="A648" t="s">
        <v>2610</v>
      </c>
      <c r="B648" s="2">
        <v>46171</v>
      </c>
      <c r="C648" t="s">
        <v>2142</v>
      </c>
      <c r="D648" t="s">
        <v>705</v>
      </c>
      <c r="E648" t="s">
        <v>2611</v>
      </c>
      <c r="F648" t="s">
        <v>2612</v>
      </c>
      <c r="G648" t="s">
        <v>179</v>
      </c>
      <c r="H648" t="s">
        <v>436</v>
      </c>
      <c r="I648" t="s">
        <v>148</v>
      </c>
      <c r="J648" t="s">
        <v>131</v>
      </c>
      <c r="K648" t="s">
        <v>194</v>
      </c>
      <c r="L648" t="s">
        <v>107</v>
      </c>
      <c r="M648" t="s">
        <v>53</v>
      </c>
      <c r="N648" t="s">
        <v>54</v>
      </c>
      <c r="O648" s="3">
        <v>255000</v>
      </c>
      <c r="P648" s="4">
        <v>25</v>
      </c>
      <c r="Q648" s="2">
        <v>46266</v>
      </c>
      <c r="R648" s="2">
        <v>46196</v>
      </c>
      <c r="S648" s="2">
        <v>46176</v>
      </c>
      <c r="T648" s="2"/>
      <c r="U648" t="str">
        <f t="shared" si="70"/>
        <v>No</v>
      </c>
      <c r="W6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8" t="str">
        <f t="shared" ca="1" si="71"/>
        <v>Overdue</v>
      </c>
      <c r="Y648" t="str">
        <f t="shared" si="72"/>
        <v>Open</v>
      </c>
      <c r="Z648" t="str">
        <f t="shared" si="73"/>
        <v>May-2026</v>
      </c>
      <c r="AA648" t="str">
        <f t="shared" si="74"/>
        <v>Q2 2026</v>
      </c>
      <c r="AB648" s="4">
        <f t="shared" ca="1" si="75"/>
        <v>28</v>
      </c>
      <c r="AC648" t="str">
        <f t="shared" si="76"/>
        <v>Medium</v>
      </c>
    </row>
    <row r="649" spans="1:29">
      <c r="A649" t="s">
        <v>2613</v>
      </c>
      <c r="B649" s="2">
        <v>45808</v>
      </c>
      <c r="C649" t="s">
        <v>656</v>
      </c>
      <c r="D649" t="s">
        <v>138</v>
      </c>
      <c r="E649" t="s">
        <v>2614</v>
      </c>
      <c r="F649" t="s">
        <v>2615</v>
      </c>
      <c r="G649" t="s">
        <v>69</v>
      </c>
      <c r="H649" t="s">
        <v>285</v>
      </c>
      <c r="I649" t="s">
        <v>141</v>
      </c>
      <c r="J649" t="s">
        <v>131</v>
      </c>
      <c r="K649" t="s">
        <v>51</v>
      </c>
      <c r="L649" t="s">
        <v>39</v>
      </c>
      <c r="M649" t="s">
        <v>90</v>
      </c>
      <c r="N649" t="s">
        <v>91</v>
      </c>
      <c r="O649" s="3">
        <v>235000</v>
      </c>
      <c r="P649" s="4">
        <v>50</v>
      </c>
      <c r="Q649" s="2">
        <v>45852</v>
      </c>
      <c r="R649" s="2">
        <v>46193</v>
      </c>
      <c r="S649" s="2">
        <v>45820</v>
      </c>
      <c r="T649" s="2"/>
      <c r="U649" t="str">
        <f t="shared" si="70"/>
        <v>No</v>
      </c>
      <c r="W6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49" t="str">
        <f t="shared" ca="1" si="71"/>
        <v>Overdue</v>
      </c>
      <c r="Y649" t="str">
        <f t="shared" si="72"/>
        <v>Open</v>
      </c>
      <c r="Z649" t="str">
        <f t="shared" si="73"/>
        <v>May-2025</v>
      </c>
      <c r="AA649" t="str">
        <f t="shared" si="74"/>
        <v>Q2 2025</v>
      </c>
      <c r="AB649" s="4">
        <f t="shared" ca="1" si="75"/>
        <v>391</v>
      </c>
      <c r="AC649" t="str">
        <f t="shared" si="76"/>
        <v>Medium</v>
      </c>
    </row>
    <row r="650" spans="1:29">
      <c r="A650" t="s">
        <v>2616</v>
      </c>
      <c r="B650" s="2">
        <v>46154</v>
      </c>
      <c r="C650" t="s">
        <v>521</v>
      </c>
      <c r="D650" t="s">
        <v>779</v>
      </c>
      <c r="E650" t="s">
        <v>2617</v>
      </c>
      <c r="F650" t="s">
        <v>2618</v>
      </c>
      <c r="G650" t="s">
        <v>179</v>
      </c>
      <c r="H650" t="s">
        <v>487</v>
      </c>
      <c r="I650" t="s">
        <v>36</v>
      </c>
      <c r="J650" t="s">
        <v>50</v>
      </c>
      <c r="K650" t="s">
        <v>100</v>
      </c>
      <c r="L650" t="s">
        <v>154</v>
      </c>
      <c r="M650" t="s">
        <v>116</v>
      </c>
      <c r="N650" t="s">
        <v>54</v>
      </c>
      <c r="O650" s="3">
        <v>225000</v>
      </c>
      <c r="P650" s="4">
        <v>25</v>
      </c>
      <c r="Q650" s="2">
        <v>46218</v>
      </c>
      <c r="R650" s="2">
        <v>46207</v>
      </c>
      <c r="S650" s="2">
        <v>46166</v>
      </c>
      <c r="T650" s="2"/>
      <c r="U650" t="str">
        <f t="shared" si="70"/>
        <v>No</v>
      </c>
      <c r="W6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0" t="str">
        <f t="shared" ca="1" si="71"/>
        <v>Due/Open</v>
      </c>
      <c r="Y650" t="str">
        <f t="shared" si="72"/>
        <v>Open</v>
      </c>
      <c r="Z650" t="str">
        <f t="shared" si="73"/>
        <v>May-2026</v>
      </c>
      <c r="AA650" t="str">
        <f t="shared" si="74"/>
        <v>Q2 2026</v>
      </c>
      <c r="AB650" s="4">
        <f t="shared" ca="1" si="75"/>
        <v>45</v>
      </c>
      <c r="AC650" t="str">
        <f t="shared" si="76"/>
        <v>Medium</v>
      </c>
    </row>
    <row r="651" spans="1:29">
      <c r="A651" t="s">
        <v>2619</v>
      </c>
      <c r="B651" s="2">
        <v>45862</v>
      </c>
      <c r="C651" t="s">
        <v>899</v>
      </c>
      <c r="D651" t="s">
        <v>1183</v>
      </c>
      <c r="E651" t="s">
        <v>2620</v>
      </c>
      <c r="F651" t="s">
        <v>2621</v>
      </c>
      <c r="G651" t="s">
        <v>47</v>
      </c>
      <c r="H651" t="s">
        <v>48</v>
      </c>
      <c r="I651" t="s">
        <v>98</v>
      </c>
      <c r="J651" t="s">
        <v>124</v>
      </c>
      <c r="K651" t="s">
        <v>194</v>
      </c>
      <c r="L651" t="s">
        <v>107</v>
      </c>
      <c r="M651" t="s">
        <v>133</v>
      </c>
      <c r="N651" t="s">
        <v>134</v>
      </c>
      <c r="O651" s="3">
        <v>305000</v>
      </c>
      <c r="P651" s="4">
        <v>0</v>
      </c>
      <c r="Q651" s="2">
        <v>45894</v>
      </c>
      <c r="R651" s="2"/>
      <c r="S651" s="2">
        <v>45866</v>
      </c>
      <c r="T651" s="2">
        <v>45894</v>
      </c>
      <c r="U651" t="str">
        <f t="shared" si="70"/>
        <v>No</v>
      </c>
      <c r="V651" t="s">
        <v>1105</v>
      </c>
      <c r="W65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651" t="str">
        <f t="shared" ca="1" si="71"/>
        <v>Closed</v>
      </c>
      <c r="Y651" t="str">
        <f t="shared" si="72"/>
        <v>Closed</v>
      </c>
      <c r="Z651" t="str">
        <f t="shared" si="73"/>
        <v>Jul-2025</v>
      </c>
      <c r="AA651" t="str">
        <f t="shared" si="74"/>
        <v>Q3 2025</v>
      </c>
      <c r="AB651" s="4">
        <f t="shared" ca="1" si="75"/>
        <v>337</v>
      </c>
      <c r="AC651" t="str">
        <f t="shared" si="76"/>
        <v>High</v>
      </c>
    </row>
    <row r="652" spans="1:29">
      <c r="A652" t="s">
        <v>2622</v>
      </c>
      <c r="B652" s="2">
        <v>45925</v>
      </c>
      <c r="C652" t="s">
        <v>1802</v>
      </c>
      <c r="D652" t="s">
        <v>586</v>
      </c>
      <c r="E652" t="s">
        <v>2623</v>
      </c>
      <c r="F652" t="s">
        <v>2624</v>
      </c>
      <c r="G652" t="s">
        <v>69</v>
      </c>
      <c r="H652" t="s">
        <v>70</v>
      </c>
      <c r="I652" t="s">
        <v>148</v>
      </c>
      <c r="J652" t="s">
        <v>62</v>
      </c>
      <c r="K652" t="s">
        <v>51</v>
      </c>
      <c r="L652" t="s">
        <v>125</v>
      </c>
      <c r="M652" t="s">
        <v>73</v>
      </c>
      <c r="N652" t="s">
        <v>73</v>
      </c>
      <c r="O652" s="3">
        <v>350000</v>
      </c>
      <c r="P652" s="4">
        <v>80</v>
      </c>
      <c r="Q652" s="2">
        <v>45989</v>
      </c>
      <c r="R652" s="2">
        <v>46235</v>
      </c>
      <c r="S652" s="2">
        <v>45950</v>
      </c>
      <c r="T652" s="2"/>
      <c r="U652" t="str">
        <f t="shared" si="70"/>
        <v>No</v>
      </c>
      <c r="W6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2" t="str">
        <f t="shared" ca="1" si="71"/>
        <v>Due/Open</v>
      </c>
      <c r="Y652" t="str">
        <f t="shared" si="72"/>
        <v>Open</v>
      </c>
      <c r="Z652" t="str">
        <f t="shared" si="73"/>
        <v>Sep-2025</v>
      </c>
      <c r="AA652" t="str">
        <f t="shared" si="74"/>
        <v>Q3 2025</v>
      </c>
      <c r="AB652" s="4">
        <f t="shared" ca="1" si="75"/>
        <v>274</v>
      </c>
      <c r="AC652" t="str">
        <f t="shared" si="76"/>
        <v>High</v>
      </c>
    </row>
    <row r="653" spans="1:29">
      <c r="A653" t="s">
        <v>2625</v>
      </c>
      <c r="B653" s="2">
        <v>45860</v>
      </c>
      <c r="C653" t="s">
        <v>2626</v>
      </c>
      <c r="D653" t="s">
        <v>1366</v>
      </c>
      <c r="E653" t="s">
        <v>2627</v>
      </c>
      <c r="F653" t="s">
        <v>2628</v>
      </c>
      <c r="G653" t="s">
        <v>34</v>
      </c>
      <c r="H653" t="s">
        <v>173</v>
      </c>
      <c r="I653" t="s">
        <v>148</v>
      </c>
      <c r="J653" t="s">
        <v>131</v>
      </c>
      <c r="K653" t="s">
        <v>100</v>
      </c>
      <c r="L653" t="s">
        <v>239</v>
      </c>
      <c r="M653" t="s">
        <v>82</v>
      </c>
      <c r="N653" t="s">
        <v>83</v>
      </c>
      <c r="O653" s="3">
        <v>250000</v>
      </c>
      <c r="P653" s="4">
        <v>10</v>
      </c>
      <c r="Q653" s="2">
        <v>45891</v>
      </c>
      <c r="R653" s="2">
        <v>46185</v>
      </c>
      <c r="S653" s="2">
        <v>45885</v>
      </c>
      <c r="T653" s="2"/>
      <c r="U653" t="str">
        <f t="shared" si="70"/>
        <v>No</v>
      </c>
      <c r="W6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3" t="str">
        <f t="shared" ca="1" si="71"/>
        <v>Overdue</v>
      </c>
      <c r="Y653" t="str">
        <f t="shared" si="72"/>
        <v>Open</v>
      </c>
      <c r="Z653" t="str">
        <f t="shared" si="73"/>
        <v>Jul-2025</v>
      </c>
      <c r="AA653" t="str">
        <f t="shared" si="74"/>
        <v>Q3 2025</v>
      </c>
      <c r="AB653" s="4">
        <f t="shared" ca="1" si="75"/>
        <v>339</v>
      </c>
      <c r="AC653" t="str">
        <f t="shared" si="76"/>
        <v>Medium</v>
      </c>
    </row>
    <row r="654" spans="1:29">
      <c r="A654" t="s">
        <v>2629</v>
      </c>
      <c r="B654" s="2">
        <v>45748</v>
      </c>
      <c r="C654" t="s">
        <v>1034</v>
      </c>
      <c r="D654" t="s">
        <v>573</v>
      </c>
      <c r="E654" t="s">
        <v>2630</v>
      </c>
      <c r="F654" t="s">
        <v>2631</v>
      </c>
      <c r="G654" t="s">
        <v>34</v>
      </c>
      <c r="H654" t="s">
        <v>60</v>
      </c>
      <c r="I654" t="s">
        <v>49</v>
      </c>
      <c r="J654" t="s">
        <v>99</v>
      </c>
      <c r="K654" t="s">
        <v>194</v>
      </c>
      <c r="L654" t="s">
        <v>72</v>
      </c>
      <c r="M654" t="s">
        <v>53</v>
      </c>
      <c r="N654" t="s">
        <v>54</v>
      </c>
      <c r="O654" s="3">
        <v>520000</v>
      </c>
      <c r="P654" s="4">
        <v>35</v>
      </c>
      <c r="Q654" s="2">
        <v>45816</v>
      </c>
      <c r="R654" s="2">
        <v>46209</v>
      </c>
      <c r="S654" s="2">
        <v>45751</v>
      </c>
      <c r="T654" s="2"/>
      <c r="U654" t="str">
        <f t="shared" si="70"/>
        <v>No</v>
      </c>
      <c r="W6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4" t="str">
        <f t="shared" ca="1" si="71"/>
        <v>Due/Open</v>
      </c>
      <c r="Y654" t="str">
        <f t="shared" si="72"/>
        <v>Open</v>
      </c>
      <c r="Z654" t="str">
        <f t="shared" si="73"/>
        <v>Apr-2025</v>
      </c>
      <c r="AA654" t="str">
        <f t="shared" si="74"/>
        <v>Q2 2025</v>
      </c>
      <c r="AB654" s="4">
        <f t="shared" ca="1" si="75"/>
        <v>451</v>
      </c>
      <c r="AC654" t="str">
        <f t="shared" si="76"/>
        <v>High</v>
      </c>
    </row>
    <row r="655" spans="1:29">
      <c r="A655" t="s">
        <v>2632</v>
      </c>
      <c r="B655" s="2">
        <v>45889</v>
      </c>
      <c r="C655" t="s">
        <v>1261</v>
      </c>
      <c r="D655" t="s">
        <v>231</v>
      </c>
      <c r="E655" t="s">
        <v>2633</v>
      </c>
      <c r="F655" t="s">
        <v>2634</v>
      </c>
      <c r="G655" t="s">
        <v>79</v>
      </c>
      <c r="H655" t="s">
        <v>97</v>
      </c>
      <c r="I655" t="s">
        <v>141</v>
      </c>
      <c r="J655" t="s">
        <v>37</v>
      </c>
      <c r="K655" t="s">
        <v>38</v>
      </c>
      <c r="L655" t="s">
        <v>52</v>
      </c>
      <c r="M655" t="s">
        <v>90</v>
      </c>
      <c r="N655" t="s">
        <v>91</v>
      </c>
      <c r="O655" s="3">
        <v>50000</v>
      </c>
      <c r="P655" s="4">
        <v>40</v>
      </c>
      <c r="Q655" s="2">
        <v>45936</v>
      </c>
      <c r="R655" s="2">
        <v>46181</v>
      </c>
      <c r="S655" s="2">
        <v>45890</v>
      </c>
      <c r="T655" s="2"/>
      <c r="U655" t="str">
        <f t="shared" si="70"/>
        <v>No</v>
      </c>
      <c r="W6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5" t="str">
        <f t="shared" ca="1" si="71"/>
        <v>Overdue</v>
      </c>
      <c r="Y655" t="str">
        <f t="shared" si="72"/>
        <v>Open</v>
      </c>
      <c r="Z655" t="str">
        <f t="shared" si="73"/>
        <v>Aug-2025</v>
      </c>
      <c r="AA655" t="str">
        <f t="shared" si="74"/>
        <v>Q3 2025</v>
      </c>
      <c r="AB655" s="4">
        <f t="shared" ca="1" si="75"/>
        <v>310</v>
      </c>
      <c r="AC655" t="str">
        <f t="shared" si="76"/>
        <v>Low</v>
      </c>
    </row>
    <row r="656" spans="1:29">
      <c r="A656" t="s">
        <v>2635</v>
      </c>
      <c r="B656" s="2">
        <v>45865</v>
      </c>
      <c r="C656" t="s">
        <v>2048</v>
      </c>
      <c r="D656" t="s">
        <v>282</v>
      </c>
      <c r="E656" t="s">
        <v>2636</v>
      </c>
      <c r="F656" t="s">
        <v>2637</v>
      </c>
      <c r="G656" t="s">
        <v>179</v>
      </c>
      <c r="H656" t="s">
        <v>487</v>
      </c>
      <c r="I656" t="s">
        <v>49</v>
      </c>
      <c r="J656" t="s">
        <v>124</v>
      </c>
      <c r="K656" t="s">
        <v>100</v>
      </c>
      <c r="L656" t="s">
        <v>239</v>
      </c>
      <c r="M656" t="s">
        <v>116</v>
      </c>
      <c r="N656" t="s">
        <v>54</v>
      </c>
      <c r="O656" s="3">
        <v>230000</v>
      </c>
      <c r="P656" s="4">
        <v>15</v>
      </c>
      <c r="Q656" s="2">
        <v>45912</v>
      </c>
      <c r="R656" s="2">
        <v>46225</v>
      </c>
      <c r="S656" s="2">
        <v>45876</v>
      </c>
      <c r="T656" s="2"/>
      <c r="U656" t="str">
        <f t="shared" si="70"/>
        <v>No</v>
      </c>
      <c r="W6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6" t="str">
        <f t="shared" ca="1" si="71"/>
        <v>Due/Open</v>
      </c>
      <c r="Y656" t="str">
        <f t="shared" si="72"/>
        <v>Open</v>
      </c>
      <c r="Z656" t="str">
        <f t="shared" si="73"/>
        <v>Jul-2025</v>
      </c>
      <c r="AA656" t="str">
        <f t="shared" si="74"/>
        <v>Q3 2025</v>
      </c>
      <c r="AB656" s="4">
        <f t="shared" ca="1" si="75"/>
        <v>334</v>
      </c>
      <c r="AC656" t="str">
        <f t="shared" si="76"/>
        <v>Medium</v>
      </c>
    </row>
    <row r="657" spans="1:29">
      <c r="A657" t="s">
        <v>2638</v>
      </c>
      <c r="B657" s="2">
        <v>46076</v>
      </c>
      <c r="C657" t="s">
        <v>2604</v>
      </c>
      <c r="D657" t="s">
        <v>1600</v>
      </c>
      <c r="E657" t="s">
        <v>2639</v>
      </c>
      <c r="F657" t="s">
        <v>2640</v>
      </c>
      <c r="G657" t="s">
        <v>69</v>
      </c>
      <c r="H657" t="s">
        <v>193</v>
      </c>
      <c r="I657" t="s">
        <v>187</v>
      </c>
      <c r="J657" t="s">
        <v>124</v>
      </c>
      <c r="K657" t="s">
        <v>51</v>
      </c>
      <c r="L657" t="s">
        <v>39</v>
      </c>
      <c r="M657" t="s">
        <v>133</v>
      </c>
      <c r="N657" t="s">
        <v>134</v>
      </c>
      <c r="O657" s="3">
        <v>80000</v>
      </c>
      <c r="P657" s="4">
        <v>0</v>
      </c>
      <c r="Q657" s="2">
        <v>46148</v>
      </c>
      <c r="R657" s="2"/>
      <c r="S657" s="2">
        <v>46095</v>
      </c>
      <c r="T657" s="2">
        <v>46148</v>
      </c>
      <c r="U657" t="str">
        <f t="shared" si="70"/>
        <v>No</v>
      </c>
      <c r="V657" t="s">
        <v>452</v>
      </c>
      <c r="W65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657" t="str">
        <f t="shared" ca="1" si="71"/>
        <v>Closed</v>
      </c>
      <c r="Y657" t="str">
        <f t="shared" si="72"/>
        <v>Closed</v>
      </c>
      <c r="Z657" t="str">
        <f t="shared" si="73"/>
        <v>Feb-2026</v>
      </c>
      <c r="AA657" t="str">
        <f t="shared" si="74"/>
        <v>Q1 2026</v>
      </c>
      <c r="AB657" s="4">
        <f t="shared" ca="1" si="75"/>
        <v>123</v>
      </c>
      <c r="AC657" t="str">
        <f t="shared" si="76"/>
        <v>Low</v>
      </c>
    </row>
    <row r="658" spans="1:29">
      <c r="A658" t="s">
        <v>2641</v>
      </c>
      <c r="B658" s="2">
        <v>45744</v>
      </c>
      <c r="C658" t="s">
        <v>1952</v>
      </c>
      <c r="D658" t="s">
        <v>1093</v>
      </c>
      <c r="E658" t="s">
        <v>2642</v>
      </c>
      <c r="F658" t="s">
        <v>2643</v>
      </c>
      <c r="G658" t="s">
        <v>179</v>
      </c>
      <c r="H658" t="s">
        <v>180</v>
      </c>
      <c r="I658" t="s">
        <v>141</v>
      </c>
      <c r="J658" t="s">
        <v>37</v>
      </c>
      <c r="K658" t="s">
        <v>51</v>
      </c>
      <c r="L658" t="s">
        <v>154</v>
      </c>
      <c r="M658" t="s">
        <v>40</v>
      </c>
      <c r="N658" t="s">
        <v>41</v>
      </c>
      <c r="O658" s="3">
        <v>145000</v>
      </c>
      <c r="P658" s="4">
        <v>100</v>
      </c>
      <c r="Q658" s="2">
        <v>45788</v>
      </c>
      <c r="R658" s="2"/>
      <c r="S658" s="2">
        <v>45755</v>
      </c>
      <c r="T658" s="2">
        <v>45788</v>
      </c>
      <c r="U658" t="str">
        <f t="shared" si="70"/>
        <v>Yes</v>
      </c>
      <c r="W65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44</v>
      </c>
      <c r="X658" t="str">
        <f t="shared" ca="1" si="71"/>
        <v>Closed</v>
      </c>
      <c r="Y658" t="str">
        <f t="shared" si="72"/>
        <v>Closed</v>
      </c>
      <c r="Z658" t="str">
        <f t="shared" si="73"/>
        <v>Mar-2025</v>
      </c>
      <c r="AA658" t="str">
        <f t="shared" si="74"/>
        <v>Q1 2025</v>
      </c>
      <c r="AB658" s="4">
        <f t="shared" ca="1" si="75"/>
        <v>455</v>
      </c>
      <c r="AC658" t="str">
        <f t="shared" si="76"/>
        <v>Medium</v>
      </c>
    </row>
    <row r="659" spans="1:29">
      <c r="A659" t="s">
        <v>2644</v>
      </c>
      <c r="B659" s="2">
        <v>46075</v>
      </c>
      <c r="C659" t="s">
        <v>933</v>
      </c>
      <c r="D659" t="s">
        <v>775</v>
      </c>
      <c r="E659" t="s">
        <v>2645</v>
      </c>
      <c r="F659" t="s">
        <v>2646</v>
      </c>
      <c r="G659" t="s">
        <v>47</v>
      </c>
      <c r="H659" t="s">
        <v>113</v>
      </c>
      <c r="I659" t="s">
        <v>141</v>
      </c>
      <c r="J659" t="s">
        <v>99</v>
      </c>
      <c r="K659" t="s">
        <v>71</v>
      </c>
      <c r="L659" t="s">
        <v>239</v>
      </c>
      <c r="M659" t="s">
        <v>53</v>
      </c>
      <c r="N659" t="s">
        <v>54</v>
      </c>
      <c r="O659" s="3">
        <v>150000</v>
      </c>
      <c r="P659" s="4">
        <v>25</v>
      </c>
      <c r="Q659" s="2">
        <v>46123</v>
      </c>
      <c r="R659" s="2">
        <v>46177</v>
      </c>
      <c r="S659" s="2">
        <v>46080</v>
      </c>
      <c r="T659" s="2"/>
      <c r="U659" t="str">
        <f t="shared" si="70"/>
        <v>No</v>
      </c>
      <c r="W6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59" t="str">
        <f t="shared" ca="1" si="71"/>
        <v>Overdue</v>
      </c>
      <c r="Y659" t="str">
        <f t="shared" si="72"/>
        <v>Open</v>
      </c>
      <c r="Z659" t="str">
        <f t="shared" si="73"/>
        <v>Feb-2026</v>
      </c>
      <c r="AA659" t="str">
        <f t="shared" si="74"/>
        <v>Q1 2026</v>
      </c>
      <c r="AB659" s="4">
        <f t="shared" ca="1" si="75"/>
        <v>124</v>
      </c>
      <c r="AC659" t="str">
        <f t="shared" si="76"/>
        <v>Medium</v>
      </c>
    </row>
    <row r="660" spans="1:29">
      <c r="A660" t="s">
        <v>2647</v>
      </c>
      <c r="B660" s="2">
        <v>45687</v>
      </c>
      <c r="C660" t="s">
        <v>2648</v>
      </c>
      <c r="D660" t="s">
        <v>128</v>
      </c>
      <c r="E660" t="s">
        <v>2649</v>
      </c>
      <c r="F660" t="s">
        <v>2650</v>
      </c>
      <c r="G660" t="s">
        <v>47</v>
      </c>
      <c r="H660" t="s">
        <v>113</v>
      </c>
      <c r="I660" t="s">
        <v>36</v>
      </c>
      <c r="J660" t="s">
        <v>124</v>
      </c>
      <c r="K660" t="s">
        <v>51</v>
      </c>
      <c r="L660" t="s">
        <v>39</v>
      </c>
      <c r="M660" t="s">
        <v>90</v>
      </c>
      <c r="N660" t="s">
        <v>91</v>
      </c>
      <c r="O660" s="3">
        <v>310000</v>
      </c>
      <c r="P660" s="4">
        <v>55</v>
      </c>
      <c r="Q660" s="2">
        <v>45770</v>
      </c>
      <c r="R660" s="2">
        <v>46228</v>
      </c>
      <c r="S660" s="2">
        <v>45695</v>
      </c>
      <c r="T660" s="2"/>
      <c r="U660" t="str">
        <f t="shared" si="70"/>
        <v>No</v>
      </c>
      <c r="W6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0" t="str">
        <f t="shared" ca="1" si="71"/>
        <v>Due/Open</v>
      </c>
      <c r="Y660" t="str">
        <f t="shared" si="72"/>
        <v>Open</v>
      </c>
      <c r="Z660" t="str">
        <f t="shared" si="73"/>
        <v>Jan-2025</v>
      </c>
      <c r="AA660" t="str">
        <f t="shared" si="74"/>
        <v>Q1 2025</v>
      </c>
      <c r="AB660" s="4">
        <f t="shared" ca="1" si="75"/>
        <v>512</v>
      </c>
      <c r="AC660" t="str">
        <f t="shared" si="76"/>
        <v>High</v>
      </c>
    </row>
    <row r="661" spans="1:29">
      <c r="A661" t="s">
        <v>2651</v>
      </c>
      <c r="B661" s="2">
        <v>45682</v>
      </c>
      <c r="C661" t="s">
        <v>1071</v>
      </c>
      <c r="D661" t="s">
        <v>2211</v>
      </c>
      <c r="E661" t="s">
        <v>2652</v>
      </c>
      <c r="F661" t="s">
        <v>2653</v>
      </c>
      <c r="G661" t="s">
        <v>69</v>
      </c>
      <c r="H661" t="s">
        <v>200</v>
      </c>
      <c r="I661" t="s">
        <v>98</v>
      </c>
      <c r="J661" t="s">
        <v>50</v>
      </c>
      <c r="K661" t="s">
        <v>114</v>
      </c>
      <c r="L661" t="s">
        <v>142</v>
      </c>
      <c r="M661" t="s">
        <v>82</v>
      </c>
      <c r="N661" t="s">
        <v>83</v>
      </c>
      <c r="O661" s="3">
        <v>290000</v>
      </c>
      <c r="P661" s="4">
        <v>5</v>
      </c>
      <c r="Q661" s="2">
        <v>45723</v>
      </c>
      <c r="R661" s="2">
        <v>46207</v>
      </c>
      <c r="S661" s="2">
        <v>45692</v>
      </c>
      <c r="T661" s="2"/>
      <c r="U661" t="str">
        <f t="shared" si="70"/>
        <v>No</v>
      </c>
      <c r="W6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1" t="str">
        <f t="shared" ca="1" si="71"/>
        <v>Due/Open</v>
      </c>
      <c r="Y661" t="str">
        <f t="shared" si="72"/>
        <v>Open</v>
      </c>
      <c r="Z661" t="str">
        <f t="shared" si="73"/>
        <v>Jan-2025</v>
      </c>
      <c r="AA661" t="str">
        <f t="shared" si="74"/>
        <v>Q1 2025</v>
      </c>
      <c r="AB661" s="4">
        <f t="shared" ca="1" si="75"/>
        <v>517</v>
      </c>
      <c r="AC661" t="str">
        <f t="shared" si="76"/>
        <v>Medium</v>
      </c>
    </row>
    <row r="662" spans="1:29">
      <c r="A662" t="s">
        <v>2654</v>
      </c>
      <c r="B662" s="2">
        <v>45804</v>
      </c>
      <c r="C662" t="s">
        <v>1029</v>
      </c>
      <c r="D662" t="s">
        <v>1701</v>
      </c>
      <c r="E662" t="s">
        <v>2655</v>
      </c>
      <c r="F662" t="s">
        <v>2656</v>
      </c>
      <c r="G662" t="s">
        <v>69</v>
      </c>
      <c r="H662" t="s">
        <v>270</v>
      </c>
      <c r="I662" t="s">
        <v>36</v>
      </c>
      <c r="J662" t="s">
        <v>124</v>
      </c>
      <c r="K662" t="s">
        <v>71</v>
      </c>
      <c r="L662" t="s">
        <v>63</v>
      </c>
      <c r="M662" t="s">
        <v>210</v>
      </c>
      <c r="N662" t="s">
        <v>134</v>
      </c>
      <c r="O662" s="3">
        <v>295000</v>
      </c>
      <c r="P662" s="4">
        <v>0</v>
      </c>
      <c r="Q662" s="2">
        <v>45875</v>
      </c>
      <c r="R662" s="2"/>
      <c r="S662" s="2">
        <v>45805</v>
      </c>
      <c r="T662" s="2">
        <v>45875</v>
      </c>
      <c r="U662" t="str">
        <f t="shared" si="70"/>
        <v>No</v>
      </c>
      <c r="V662" t="s">
        <v>276</v>
      </c>
      <c r="W6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71</v>
      </c>
      <c r="X662" t="str">
        <f t="shared" ca="1" si="71"/>
        <v>Closed</v>
      </c>
      <c r="Y662" t="str">
        <f t="shared" si="72"/>
        <v>Closed</v>
      </c>
      <c r="Z662" t="str">
        <f t="shared" si="73"/>
        <v>May-2025</v>
      </c>
      <c r="AA662" t="str">
        <f t="shared" si="74"/>
        <v>Q2 2025</v>
      </c>
      <c r="AB662" s="4">
        <f t="shared" ca="1" si="75"/>
        <v>395</v>
      </c>
      <c r="AC662" t="str">
        <f t="shared" si="76"/>
        <v>Medium</v>
      </c>
    </row>
    <row r="663" spans="1:29">
      <c r="A663" t="s">
        <v>2657</v>
      </c>
      <c r="B663" s="2">
        <v>45934</v>
      </c>
      <c r="C663" t="s">
        <v>2658</v>
      </c>
      <c r="D663" t="s">
        <v>934</v>
      </c>
      <c r="E663" t="s">
        <v>2659</v>
      </c>
      <c r="F663" t="s">
        <v>2660</v>
      </c>
      <c r="G663" t="s">
        <v>34</v>
      </c>
      <c r="H663" t="s">
        <v>173</v>
      </c>
      <c r="I663" t="s">
        <v>98</v>
      </c>
      <c r="J663" t="s">
        <v>99</v>
      </c>
      <c r="K663" t="s">
        <v>194</v>
      </c>
      <c r="L663" t="s">
        <v>125</v>
      </c>
      <c r="M663" t="s">
        <v>90</v>
      </c>
      <c r="N663" t="s">
        <v>91</v>
      </c>
      <c r="O663" s="3">
        <v>180000</v>
      </c>
      <c r="P663" s="4">
        <v>55</v>
      </c>
      <c r="Q663" s="2">
        <v>46015</v>
      </c>
      <c r="R663" s="2">
        <v>46209</v>
      </c>
      <c r="S663" s="2">
        <v>45940</v>
      </c>
      <c r="T663" s="2"/>
      <c r="U663" t="str">
        <f t="shared" si="70"/>
        <v>No</v>
      </c>
      <c r="W6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3" t="str">
        <f t="shared" ca="1" si="71"/>
        <v>Due/Open</v>
      </c>
      <c r="Y663" t="str">
        <f t="shared" si="72"/>
        <v>Open</v>
      </c>
      <c r="Z663" t="str">
        <f t="shared" si="73"/>
        <v>Oct-2025</v>
      </c>
      <c r="AA663" t="str">
        <f t="shared" si="74"/>
        <v>Q4 2025</v>
      </c>
      <c r="AB663" s="4">
        <f t="shared" ca="1" si="75"/>
        <v>265</v>
      </c>
      <c r="AC663" t="str">
        <f t="shared" si="76"/>
        <v>Medium</v>
      </c>
    </row>
    <row r="664" spans="1:29">
      <c r="A664" t="s">
        <v>2661</v>
      </c>
      <c r="B664" s="2">
        <v>46187</v>
      </c>
      <c r="C664" t="s">
        <v>2662</v>
      </c>
      <c r="D664" t="s">
        <v>797</v>
      </c>
      <c r="E664" t="s">
        <v>2663</v>
      </c>
      <c r="F664" t="s">
        <v>2664</v>
      </c>
      <c r="G664" t="s">
        <v>34</v>
      </c>
      <c r="H664" t="s">
        <v>35</v>
      </c>
      <c r="I664" t="s">
        <v>123</v>
      </c>
      <c r="J664" t="s">
        <v>124</v>
      </c>
      <c r="K664" t="s">
        <v>100</v>
      </c>
      <c r="L664" t="s">
        <v>154</v>
      </c>
      <c r="M664" t="s">
        <v>73</v>
      </c>
      <c r="N664" t="s">
        <v>73</v>
      </c>
      <c r="O664" s="3">
        <v>160000</v>
      </c>
      <c r="P664" s="4">
        <v>85</v>
      </c>
      <c r="Q664" s="2">
        <v>46255</v>
      </c>
      <c r="R664" s="2">
        <v>46208</v>
      </c>
      <c r="S664" s="2">
        <v>46188</v>
      </c>
      <c r="T664" s="2"/>
      <c r="U664" t="str">
        <f t="shared" si="70"/>
        <v>No</v>
      </c>
      <c r="W6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4" t="str">
        <f t="shared" ca="1" si="71"/>
        <v>Due/Open</v>
      </c>
      <c r="Y664" t="str">
        <f t="shared" si="72"/>
        <v>Open</v>
      </c>
      <c r="Z664" t="str">
        <f t="shared" si="73"/>
        <v>Jun-2026</v>
      </c>
      <c r="AA664" t="str">
        <f t="shared" si="74"/>
        <v>Q2 2026</v>
      </c>
      <c r="AB664" s="4">
        <f t="shared" ca="1" si="75"/>
        <v>12</v>
      </c>
      <c r="AC664" t="str">
        <f t="shared" si="76"/>
        <v>Medium</v>
      </c>
    </row>
    <row r="665" spans="1:29">
      <c r="A665" t="s">
        <v>2665</v>
      </c>
      <c r="B665" s="2">
        <v>46000</v>
      </c>
      <c r="C665" t="s">
        <v>538</v>
      </c>
      <c r="D665" t="s">
        <v>157</v>
      </c>
      <c r="E665" t="s">
        <v>2666</v>
      </c>
      <c r="F665" t="s">
        <v>2667</v>
      </c>
      <c r="G665" t="s">
        <v>79</v>
      </c>
      <c r="H665" t="s">
        <v>106</v>
      </c>
      <c r="I665" t="s">
        <v>123</v>
      </c>
      <c r="J665" t="s">
        <v>37</v>
      </c>
      <c r="K665" t="s">
        <v>51</v>
      </c>
      <c r="L665" t="s">
        <v>125</v>
      </c>
      <c r="M665" t="s">
        <v>53</v>
      </c>
      <c r="N665" t="s">
        <v>54</v>
      </c>
      <c r="O665" s="3">
        <v>170000</v>
      </c>
      <c r="P665" s="4">
        <v>30</v>
      </c>
      <c r="Q665" s="2">
        <v>46020</v>
      </c>
      <c r="R665" s="2">
        <v>46201</v>
      </c>
      <c r="S665" s="2">
        <v>46011</v>
      </c>
      <c r="T665" s="2"/>
      <c r="U665" t="str">
        <f t="shared" si="70"/>
        <v>No</v>
      </c>
      <c r="W6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5" t="str">
        <f t="shared" ca="1" si="71"/>
        <v>Due/Open</v>
      </c>
      <c r="Y665" t="str">
        <f t="shared" si="72"/>
        <v>Open</v>
      </c>
      <c r="Z665" t="str">
        <f t="shared" si="73"/>
        <v>Dec-2025</v>
      </c>
      <c r="AA665" t="str">
        <f t="shared" si="74"/>
        <v>Q4 2025</v>
      </c>
      <c r="AB665" s="4">
        <f t="shared" ca="1" si="75"/>
        <v>199</v>
      </c>
      <c r="AC665" t="str">
        <f t="shared" si="76"/>
        <v>Medium</v>
      </c>
    </row>
    <row r="666" spans="1:29">
      <c r="A666" t="s">
        <v>2668</v>
      </c>
      <c r="B666" s="2">
        <v>45732</v>
      </c>
      <c r="C666" t="s">
        <v>2669</v>
      </c>
      <c r="D666" t="s">
        <v>1335</v>
      </c>
      <c r="E666" t="s">
        <v>2670</v>
      </c>
      <c r="F666" t="s">
        <v>2671</v>
      </c>
      <c r="G666" t="s">
        <v>69</v>
      </c>
      <c r="H666" t="s">
        <v>200</v>
      </c>
      <c r="I666" t="s">
        <v>61</v>
      </c>
      <c r="J666" t="s">
        <v>62</v>
      </c>
      <c r="K666" t="s">
        <v>194</v>
      </c>
      <c r="L666" t="s">
        <v>107</v>
      </c>
      <c r="M666" t="s">
        <v>133</v>
      </c>
      <c r="N666" t="s">
        <v>134</v>
      </c>
      <c r="O666" s="3">
        <v>155000</v>
      </c>
      <c r="P666" s="4">
        <v>0</v>
      </c>
      <c r="Q666" s="2">
        <v>45781</v>
      </c>
      <c r="R666" s="2"/>
      <c r="S666" s="2">
        <v>45759</v>
      </c>
      <c r="T666" s="2">
        <v>45781</v>
      </c>
      <c r="U666" t="str">
        <f t="shared" si="70"/>
        <v>No</v>
      </c>
      <c r="V666" t="s">
        <v>135</v>
      </c>
      <c r="W66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49</v>
      </c>
      <c r="X666" t="str">
        <f t="shared" ca="1" si="71"/>
        <v>Closed</v>
      </c>
      <c r="Y666" t="str">
        <f t="shared" si="72"/>
        <v>Closed</v>
      </c>
      <c r="Z666" t="str">
        <f t="shared" si="73"/>
        <v>Mar-2025</v>
      </c>
      <c r="AA666" t="str">
        <f t="shared" si="74"/>
        <v>Q1 2025</v>
      </c>
      <c r="AB666" s="4">
        <f t="shared" ca="1" si="75"/>
        <v>467</v>
      </c>
      <c r="AC666" t="str">
        <f t="shared" si="76"/>
        <v>Medium</v>
      </c>
    </row>
    <row r="667" spans="1:29">
      <c r="A667" t="s">
        <v>2672</v>
      </c>
      <c r="B667" s="2">
        <v>45960</v>
      </c>
      <c r="C667" t="s">
        <v>454</v>
      </c>
      <c r="D667" t="s">
        <v>590</v>
      </c>
      <c r="E667" t="s">
        <v>2673</v>
      </c>
      <c r="F667" t="s">
        <v>2674</v>
      </c>
      <c r="G667" t="s">
        <v>179</v>
      </c>
      <c r="H667" t="s">
        <v>296</v>
      </c>
      <c r="I667" t="s">
        <v>141</v>
      </c>
      <c r="J667" t="s">
        <v>62</v>
      </c>
      <c r="K667" t="s">
        <v>51</v>
      </c>
      <c r="L667" t="s">
        <v>107</v>
      </c>
      <c r="M667" t="s">
        <v>73</v>
      </c>
      <c r="N667" t="s">
        <v>73</v>
      </c>
      <c r="O667" s="3">
        <v>155000</v>
      </c>
      <c r="P667" s="4">
        <v>80</v>
      </c>
      <c r="Q667" s="2">
        <v>46003</v>
      </c>
      <c r="R667" s="2">
        <v>46206</v>
      </c>
      <c r="S667" s="2">
        <v>45987</v>
      </c>
      <c r="T667" s="2"/>
      <c r="U667" t="str">
        <f t="shared" si="70"/>
        <v>No</v>
      </c>
      <c r="W6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7" t="str">
        <f t="shared" ca="1" si="71"/>
        <v>Due/Open</v>
      </c>
      <c r="Y667" t="str">
        <f t="shared" si="72"/>
        <v>Open</v>
      </c>
      <c r="Z667" t="str">
        <f t="shared" si="73"/>
        <v>Oct-2025</v>
      </c>
      <c r="AA667" t="str">
        <f t="shared" si="74"/>
        <v>Q4 2025</v>
      </c>
      <c r="AB667" s="4">
        <f t="shared" ca="1" si="75"/>
        <v>239</v>
      </c>
      <c r="AC667" t="str">
        <f t="shared" si="76"/>
        <v>Medium</v>
      </c>
    </row>
    <row r="668" spans="1:29">
      <c r="A668" t="s">
        <v>2675</v>
      </c>
      <c r="B668" s="2">
        <v>45659</v>
      </c>
      <c r="C668" t="s">
        <v>985</v>
      </c>
      <c r="D668" t="s">
        <v>459</v>
      </c>
      <c r="E668" t="s">
        <v>2676</v>
      </c>
      <c r="F668" t="s">
        <v>2677</v>
      </c>
      <c r="G668" t="s">
        <v>47</v>
      </c>
      <c r="H668" t="s">
        <v>122</v>
      </c>
      <c r="I668" t="s">
        <v>36</v>
      </c>
      <c r="J668" t="s">
        <v>50</v>
      </c>
      <c r="K668" t="s">
        <v>71</v>
      </c>
      <c r="L668" t="s">
        <v>154</v>
      </c>
      <c r="M668" t="s">
        <v>82</v>
      </c>
      <c r="N668" t="s">
        <v>83</v>
      </c>
      <c r="O668" s="3">
        <v>285000</v>
      </c>
      <c r="P668" s="4">
        <v>5</v>
      </c>
      <c r="Q668" s="2">
        <v>45701</v>
      </c>
      <c r="R668" s="2">
        <v>46185</v>
      </c>
      <c r="S668" s="2">
        <v>45669</v>
      </c>
      <c r="T668" s="2"/>
      <c r="U668" t="str">
        <f t="shared" si="70"/>
        <v>No</v>
      </c>
      <c r="W6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68" t="str">
        <f t="shared" ca="1" si="71"/>
        <v>Overdue</v>
      </c>
      <c r="Y668" t="str">
        <f t="shared" si="72"/>
        <v>Open</v>
      </c>
      <c r="Z668" t="str">
        <f t="shared" si="73"/>
        <v>Jan-2025</v>
      </c>
      <c r="AA668" t="str">
        <f t="shared" si="74"/>
        <v>Q1 2025</v>
      </c>
      <c r="AB668" s="4">
        <f t="shared" ca="1" si="75"/>
        <v>540</v>
      </c>
      <c r="AC668" t="str">
        <f t="shared" si="76"/>
        <v>Medium</v>
      </c>
    </row>
    <row r="669" spans="1:29">
      <c r="A669" t="s">
        <v>2678</v>
      </c>
      <c r="B669" s="2">
        <v>46027</v>
      </c>
      <c r="C669" t="s">
        <v>947</v>
      </c>
      <c r="D669" t="s">
        <v>384</v>
      </c>
      <c r="E669" t="s">
        <v>2679</v>
      </c>
      <c r="F669" t="s">
        <v>2680</v>
      </c>
      <c r="G669" t="s">
        <v>47</v>
      </c>
      <c r="H669" t="s">
        <v>418</v>
      </c>
      <c r="I669" t="s">
        <v>141</v>
      </c>
      <c r="J669" t="s">
        <v>62</v>
      </c>
      <c r="K669" t="s">
        <v>71</v>
      </c>
      <c r="L669" t="s">
        <v>142</v>
      </c>
      <c r="M669" t="s">
        <v>40</v>
      </c>
      <c r="N669" t="s">
        <v>41</v>
      </c>
      <c r="O669" s="3">
        <v>405000</v>
      </c>
      <c r="P669" s="4">
        <v>100</v>
      </c>
      <c r="Q669" s="2">
        <v>46046</v>
      </c>
      <c r="R669" s="2"/>
      <c r="S669" s="2">
        <v>46052</v>
      </c>
      <c r="T669" s="2">
        <v>46046</v>
      </c>
      <c r="U669" t="str">
        <f t="shared" si="70"/>
        <v>Yes</v>
      </c>
      <c r="W6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669" t="str">
        <f t="shared" ca="1" si="71"/>
        <v>Closed</v>
      </c>
      <c r="Y669" t="str">
        <f t="shared" si="72"/>
        <v>Closed</v>
      </c>
      <c r="Z669" t="str">
        <f t="shared" si="73"/>
        <v>Jan-2026</v>
      </c>
      <c r="AA669" t="str">
        <f t="shared" si="74"/>
        <v>Q1 2026</v>
      </c>
      <c r="AB669" s="4">
        <f t="shared" ca="1" si="75"/>
        <v>172</v>
      </c>
      <c r="AC669" t="str">
        <f t="shared" si="76"/>
        <v>High</v>
      </c>
    </row>
    <row r="670" spans="1:29">
      <c r="A670" t="s">
        <v>2681</v>
      </c>
      <c r="B670" s="2">
        <v>45881</v>
      </c>
      <c r="C670" t="s">
        <v>2682</v>
      </c>
      <c r="D670" t="s">
        <v>337</v>
      </c>
      <c r="E670" t="s">
        <v>2683</v>
      </c>
      <c r="F670" t="s">
        <v>2684</v>
      </c>
      <c r="G670" t="s">
        <v>69</v>
      </c>
      <c r="H670" t="s">
        <v>193</v>
      </c>
      <c r="I670" t="s">
        <v>36</v>
      </c>
      <c r="J670" t="s">
        <v>124</v>
      </c>
      <c r="K670" t="s">
        <v>38</v>
      </c>
      <c r="L670" t="s">
        <v>239</v>
      </c>
      <c r="M670" t="s">
        <v>82</v>
      </c>
      <c r="N670" t="s">
        <v>83</v>
      </c>
      <c r="O670" s="3">
        <v>190000</v>
      </c>
      <c r="P670" s="4">
        <v>10</v>
      </c>
      <c r="Q670" s="2">
        <v>45948</v>
      </c>
      <c r="R670" s="2">
        <v>46172</v>
      </c>
      <c r="S670" s="2">
        <v>45903</v>
      </c>
      <c r="T670" s="2"/>
      <c r="U670" t="str">
        <f t="shared" si="70"/>
        <v>No</v>
      </c>
      <c r="W6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0" t="str">
        <f t="shared" ca="1" si="71"/>
        <v>Overdue</v>
      </c>
      <c r="Y670" t="str">
        <f t="shared" si="72"/>
        <v>Open</v>
      </c>
      <c r="Z670" t="str">
        <f t="shared" si="73"/>
        <v>Aug-2025</v>
      </c>
      <c r="AA670" t="str">
        <f t="shared" si="74"/>
        <v>Q3 2025</v>
      </c>
      <c r="AB670" s="4">
        <f t="shared" ca="1" si="75"/>
        <v>318</v>
      </c>
      <c r="AC670" t="str">
        <f t="shared" si="76"/>
        <v>Medium</v>
      </c>
    </row>
    <row r="671" spans="1:29">
      <c r="A671" t="s">
        <v>2685</v>
      </c>
      <c r="B671" s="2">
        <v>46109</v>
      </c>
      <c r="C671" t="s">
        <v>2686</v>
      </c>
      <c r="D671" t="s">
        <v>352</v>
      </c>
      <c r="E671" t="s">
        <v>2687</v>
      </c>
      <c r="F671" t="s">
        <v>2688</v>
      </c>
      <c r="G671" t="s">
        <v>179</v>
      </c>
      <c r="H671" t="s">
        <v>436</v>
      </c>
      <c r="I671" t="s">
        <v>187</v>
      </c>
      <c r="J671" t="s">
        <v>50</v>
      </c>
      <c r="K671" t="s">
        <v>71</v>
      </c>
      <c r="L671" t="s">
        <v>72</v>
      </c>
      <c r="M671" t="s">
        <v>53</v>
      </c>
      <c r="N671" t="s">
        <v>54</v>
      </c>
      <c r="O671" s="3">
        <v>170000</v>
      </c>
      <c r="P671" s="4">
        <v>30</v>
      </c>
      <c r="Q671" s="2">
        <v>46180</v>
      </c>
      <c r="R671" s="2">
        <v>46243</v>
      </c>
      <c r="S671" s="2">
        <v>46122</v>
      </c>
      <c r="T671" s="2"/>
      <c r="U671" t="str">
        <f t="shared" si="70"/>
        <v>No</v>
      </c>
      <c r="W6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1" t="str">
        <f t="shared" ca="1" si="71"/>
        <v>Due/Open</v>
      </c>
      <c r="Y671" t="str">
        <f t="shared" si="72"/>
        <v>Open</v>
      </c>
      <c r="Z671" t="str">
        <f t="shared" si="73"/>
        <v>Mar-2026</v>
      </c>
      <c r="AA671" t="str">
        <f t="shared" si="74"/>
        <v>Q1 2026</v>
      </c>
      <c r="AB671" s="4">
        <f t="shared" ca="1" si="75"/>
        <v>90</v>
      </c>
      <c r="AC671" t="str">
        <f t="shared" si="76"/>
        <v>Medium</v>
      </c>
    </row>
    <row r="672" spans="1:29">
      <c r="A672" t="s">
        <v>2689</v>
      </c>
      <c r="B672" s="2">
        <v>45698</v>
      </c>
      <c r="C672" t="s">
        <v>2542</v>
      </c>
      <c r="D672" t="s">
        <v>715</v>
      </c>
      <c r="E672" t="s">
        <v>2690</v>
      </c>
      <c r="F672" t="s">
        <v>2691</v>
      </c>
      <c r="G672" t="s">
        <v>179</v>
      </c>
      <c r="H672" t="s">
        <v>296</v>
      </c>
      <c r="I672" t="s">
        <v>123</v>
      </c>
      <c r="J672" t="s">
        <v>124</v>
      </c>
      <c r="K672" t="s">
        <v>114</v>
      </c>
      <c r="L672" t="s">
        <v>125</v>
      </c>
      <c r="M672" t="s">
        <v>53</v>
      </c>
      <c r="N672" t="s">
        <v>54</v>
      </c>
      <c r="O672" s="3">
        <v>325000</v>
      </c>
      <c r="P672" s="4">
        <v>30</v>
      </c>
      <c r="Q672" s="2">
        <v>45751</v>
      </c>
      <c r="R672" s="2">
        <v>46199</v>
      </c>
      <c r="S672" s="2">
        <v>45723</v>
      </c>
      <c r="T672" s="2"/>
      <c r="U672" t="str">
        <f t="shared" si="70"/>
        <v>No</v>
      </c>
      <c r="W6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2" t="str">
        <f t="shared" ca="1" si="71"/>
        <v>Due/Open</v>
      </c>
      <c r="Y672" t="str">
        <f t="shared" si="72"/>
        <v>Open</v>
      </c>
      <c r="Z672" t="str">
        <f t="shared" si="73"/>
        <v>Feb-2025</v>
      </c>
      <c r="AA672" t="str">
        <f t="shared" si="74"/>
        <v>Q1 2025</v>
      </c>
      <c r="AB672" s="4">
        <f t="shared" ca="1" si="75"/>
        <v>501</v>
      </c>
      <c r="AC672" t="str">
        <f t="shared" si="76"/>
        <v>High</v>
      </c>
    </row>
    <row r="673" spans="1:29">
      <c r="A673" t="s">
        <v>2692</v>
      </c>
      <c r="B673" s="2">
        <v>45673</v>
      </c>
      <c r="C673" t="s">
        <v>2693</v>
      </c>
      <c r="D673" t="s">
        <v>304</v>
      </c>
      <c r="E673" t="s">
        <v>2694</v>
      </c>
      <c r="F673" t="s">
        <v>2695</v>
      </c>
      <c r="G673" t="s">
        <v>47</v>
      </c>
      <c r="H673" t="s">
        <v>48</v>
      </c>
      <c r="I673" t="s">
        <v>98</v>
      </c>
      <c r="J673" t="s">
        <v>131</v>
      </c>
      <c r="K673" t="s">
        <v>38</v>
      </c>
      <c r="L673" t="s">
        <v>81</v>
      </c>
      <c r="M673" t="s">
        <v>133</v>
      </c>
      <c r="N673" t="s">
        <v>134</v>
      </c>
      <c r="O673" s="3">
        <v>205000</v>
      </c>
      <c r="P673" s="4">
        <v>0</v>
      </c>
      <c r="Q673" s="2">
        <v>45698</v>
      </c>
      <c r="R673" s="2"/>
      <c r="S673" s="2">
        <v>45692</v>
      </c>
      <c r="T673" s="2">
        <v>45698</v>
      </c>
      <c r="U673" t="str">
        <f t="shared" si="70"/>
        <v>No</v>
      </c>
      <c r="V673" t="s">
        <v>211</v>
      </c>
      <c r="W67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673" t="str">
        <f t="shared" ca="1" si="71"/>
        <v>Closed</v>
      </c>
      <c r="Y673" t="str">
        <f t="shared" si="72"/>
        <v>Closed</v>
      </c>
      <c r="Z673" t="str">
        <f t="shared" si="73"/>
        <v>Jan-2025</v>
      </c>
      <c r="AA673" t="str">
        <f t="shared" si="74"/>
        <v>Q1 2025</v>
      </c>
      <c r="AB673" s="4">
        <f t="shared" ca="1" si="75"/>
        <v>526</v>
      </c>
      <c r="AC673" t="str">
        <f t="shared" si="76"/>
        <v>Medium</v>
      </c>
    </row>
    <row r="674" spans="1:29">
      <c r="A674" t="s">
        <v>2696</v>
      </c>
      <c r="B674" s="2">
        <v>45797</v>
      </c>
      <c r="C674" t="s">
        <v>2697</v>
      </c>
      <c r="D674" t="s">
        <v>273</v>
      </c>
      <c r="E674" t="s">
        <v>2698</v>
      </c>
      <c r="F674" t="s">
        <v>2699</v>
      </c>
      <c r="G674" t="s">
        <v>179</v>
      </c>
      <c r="H674" t="s">
        <v>436</v>
      </c>
      <c r="I674" t="s">
        <v>187</v>
      </c>
      <c r="J674" t="s">
        <v>62</v>
      </c>
      <c r="K674" t="s">
        <v>114</v>
      </c>
      <c r="L674" t="s">
        <v>154</v>
      </c>
      <c r="M674" t="s">
        <v>90</v>
      </c>
      <c r="N674" t="s">
        <v>91</v>
      </c>
      <c r="O674" s="3">
        <v>370000</v>
      </c>
      <c r="P674" s="4">
        <v>50</v>
      </c>
      <c r="Q674" s="2">
        <v>45868</v>
      </c>
      <c r="R674" s="2">
        <v>46187</v>
      </c>
      <c r="S674" s="2">
        <v>45821</v>
      </c>
      <c r="T674" s="2"/>
      <c r="U674" t="str">
        <f t="shared" si="70"/>
        <v>No</v>
      </c>
      <c r="W6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4" t="str">
        <f t="shared" ca="1" si="71"/>
        <v>Overdue</v>
      </c>
      <c r="Y674" t="str">
        <f t="shared" si="72"/>
        <v>Open</v>
      </c>
      <c r="Z674" t="str">
        <f t="shared" si="73"/>
        <v>May-2025</v>
      </c>
      <c r="AA674" t="str">
        <f t="shared" si="74"/>
        <v>Q2 2025</v>
      </c>
      <c r="AB674" s="4">
        <f t="shared" ca="1" si="75"/>
        <v>402</v>
      </c>
      <c r="AC674" t="str">
        <f t="shared" si="76"/>
        <v>High</v>
      </c>
    </row>
    <row r="675" spans="1:29">
      <c r="A675" t="s">
        <v>2700</v>
      </c>
      <c r="B675" s="2">
        <v>45782</v>
      </c>
      <c r="C675" t="s">
        <v>2693</v>
      </c>
      <c r="D675" t="s">
        <v>66</v>
      </c>
      <c r="E675" t="s">
        <v>2701</v>
      </c>
      <c r="F675" t="s">
        <v>2702</v>
      </c>
      <c r="G675" t="s">
        <v>79</v>
      </c>
      <c r="H675" t="s">
        <v>80</v>
      </c>
      <c r="I675" t="s">
        <v>36</v>
      </c>
      <c r="J675" t="s">
        <v>99</v>
      </c>
      <c r="K675" t="s">
        <v>51</v>
      </c>
      <c r="L675" t="s">
        <v>154</v>
      </c>
      <c r="M675" t="s">
        <v>73</v>
      </c>
      <c r="N675" t="s">
        <v>73</v>
      </c>
      <c r="O675" s="3">
        <v>565000</v>
      </c>
      <c r="P675" s="4">
        <v>80</v>
      </c>
      <c r="Q675" s="2">
        <v>45838</v>
      </c>
      <c r="R675" s="2">
        <v>46199</v>
      </c>
      <c r="S675" s="2">
        <v>45798</v>
      </c>
      <c r="T675" s="2"/>
      <c r="U675" t="str">
        <f t="shared" si="70"/>
        <v>No</v>
      </c>
      <c r="W6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5" t="str">
        <f t="shared" ca="1" si="71"/>
        <v>Due/Open</v>
      </c>
      <c r="Y675" t="str">
        <f t="shared" si="72"/>
        <v>Open</v>
      </c>
      <c r="Z675" t="str">
        <f t="shared" si="73"/>
        <v>May-2025</v>
      </c>
      <c r="AA675" t="str">
        <f t="shared" si="74"/>
        <v>Q2 2025</v>
      </c>
      <c r="AB675" s="4">
        <f t="shared" ca="1" si="75"/>
        <v>417</v>
      </c>
      <c r="AC675" t="str">
        <f t="shared" si="76"/>
        <v>High</v>
      </c>
    </row>
    <row r="676" spans="1:29">
      <c r="A676" t="s">
        <v>2703</v>
      </c>
      <c r="B676" s="2">
        <v>45699</v>
      </c>
      <c r="C676" t="s">
        <v>714</v>
      </c>
      <c r="D676" t="s">
        <v>2704</v>
      </c>
      <c r="E676" t="s">
        <v>2705</v>
      </c>
      <c r="F676" t="s">
        <v>2706</v>
      </c>
      <c r="G676" t="s">
        <v>34</v>
      </c>
      <c r="H676" t="s">
        <v>173</v>
      </c>
      <c r="I676" t="s">
        <v>61</v>
      </c>
      <c r="J676" t="s">
        <v>99</v>
      </c>
      <c r="K676" t="s">
        <v>38</v>
      </c>
      <c r="L676" t="s">
        <v>115</v>
      </c>
      <c r="M676" t="s">
        <v>133</v>
      </c>
      <c r="N676" t="s">
        <v>134</v>
      </c>
      <c r="O676" s="3">
        <v>440000</v>
      </c>
      <c r="P676" s="4">
        <v>0</v>
      </c>
      <c r="Q676" s="2">
        <v>45762</v>
      </c>
      <c r="R676" s="2"/>
      <c r="S676" s="2">
        <v>45703</v>
      </c>
      <c r="T676" s="2">
        <v>45762</v>
      </c>
      <c r="U676" t="str">
        <f t="shared" si="70"/>
        <v>No</v>
      </c>
      <c r="V676" t="s">
        <v>452</v>
      </c>
      <c r="W67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676" t="str">
        <f t="shared" ca="1" si="71"/>
        <v>Closed</v>
      </c>
      <c r="Y676" t="str">
        <f t="shared" si="72"/>
        <v>Closed</v>
      </c>
      <c r="Z676" t="str">
        <f t="shared" si="73"/>
        <v>Feb-2025</v>
      </c>
      <c r="AA676" t="str">
        <f t="shared" si="74"/>
        <v>Q1 2025</v>
      </c>
      <c r="AB676" s="4">
        <f t="shared" ca="1" si="75"/>
        <v>500</v>
      </c>
      <c r="AC676" t="str">
        <f t="shared" si="76"/>
        <v>High</v>
      </c>
    </row>
    <row r="677" spans="1:29">
      <c r="A677" t="s">
        <v>2707</v>
      </c>
      <c r="B677" s="2">
        <v>45665</v>
      </c>
      <c r="C677" t="s">
        <v>2708</v>
      </c>
      <c r="D677" t="s">
        <v>197</v>
      </c>
      <c r="E677" t="s">
        <v>2709</v>
      </c>
      <c r="F677" t="s">
        <v>2710</v>
      </c>
      <c r="G677" t="s">
        <v>179</v>
      </c>
      <c r="H677" t="s">
        <v>436</v>
      </c>
      <c r="I677" t="s">
        <v>36</v>
      </c>
      <c r="J677" t="s">
        <v>124</v>
      </c>
      <c r="K677" t="s">
        <v>194</v>
      </c>
      <c r="L677" t="s">
        <v>81</v>
      </c>
      <c r="M677" t="s">
        <v>90</v>
      </c>
      <c r="N677" t="s">
        <v>91</v>
      </c>
      <c r="O677" s="3">
        <v>110000</v>
      </c>
      <c r="P677" s="4">
        <v>55</v>
      </c>
      <c r="Q677" s="2">
        <v>45724</v>
      </c>
      <c r="R677" s="2">
        <v>46170</v>
      </c>
      <c r="S677" s="2">
        <v>45684</v>
      </c>
      <c r="T677" s="2"/>
      <c r="U677" t="str">
        <f t="shared" si="70"/>
        <v>No</v>
      </c>
      <c r="W6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7" t="str">
        <f t="shared" ca="1" si="71"/>
        <v>Overdue</v>
      </c>
      <c r="Y677" t="str">
        <f t="shared" si="72"/>
        <v>Open</v>
      </c>
      <c r="Z677" t="str">
        <f t="shared" si="73"/>
        <v>Jan-2025</v>
      </c>
      <c r="AA677" t="str">
        <f t="shared" si="74"/>
        <v>Q1 2025</v>
      </c>
      <c r="AB677" s="4">
        <f t="shared" ca="1" si="75"/>
        <v>534</v>
      </c>
      <c r="AC677" t="str">
        <f t="shared" si="76"/>
        <v>Low</v>
      </c>
    </row>
    <row r="678" spans="1:29">
      <c r="A678" t="s">
        <v>2711</v>
      </c>
      <c r="B678" s="2">
        <v>46023</v>
      </c>
      <c r="C678" t="s">
        <v>2712</v>
      </c>
      <c r="D678" t="s">
        <v>423</v>
      </c>
      <c r="E678" t="s">
        <v>2713</v>
      </c>
      <c r="F678" t="s">
        <v>2714</v>
      </c>
      <c r="G678" t="s">
        <v>34</v>
      </c>
      <c r="H678" t="s">
        <v>173</v>
      </c>
      <c r="I678" t="s">
        <v>61</v>
      </c>
      <c r="J678" t="s">
        <v>62</v>
      </c>
      <c r="K678" t="s">
        <v>100</v>
      </c>
      <c r="L678" t="s">
        <v>239</v>
      </c>
      <c r="M678" t="s">
        <v>53</v>
      </c>
      <c r="N678" t="s">
        <v>54</v>
      </c>
      <c r="O678" s="3">
        <v>305000</v>
      </c>
      <c r="P678" s="4">
        <v>35</v>
      </c>
      <c r="Q678" s="2">
        <v>46061</v>
      </c>
      <c r="R678" s="2">
        <v>46217</v>
      </c>
      <c r="S678" s="2">
        <v>46026</v>
      </c>
      <c r="T678" s="2"/>
      <c r="U678" t="str">
        <f t="shared" si="70"/>
        <v>No</v>
      </c>
      <c r="W6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8" t="str">
        <f t="shared" ca="1" si="71"/>
        <v>Due/Open</v>
      </c>
      <c r="Y678" t="str">
        <f t="shared" si="72"/>
        <v>Open</v>
      </c>
      <c r="Z678" t="str">
        <f t="shared" si="73"/>
        <v>Jan-2026</v>
      </c>
      <c r="AA678" t="str">
        <f t="shared" si="74"/>
        <v>Q1 2026</v>
      </c>
      <c r="AB678" s="4">
        <f t="shared" ca="1" si="75"/>
        <v>176</v>
      </c>
      <c r="AC678" t="str">
        <f t="shared" si="76"/>
        <v>High</v>
      </c>
    </row>
    <row r="679" spans="1:29">
      <c r="A679" t="s">
        <v>2715</v>
      </c>
      <c r="B679" s="2">
        <v>45830</v>
      </c>
      <c r="C679" t="s">
        <v>1494</v>
      </c>
      <c r="D679" t="s">
        <v>1662</v>
      </c>
      <c r="E679" t="s">
        <v>2716</v>
      </c>
      <c r="F679" t="s">
        <v>2717</v>
      </c>
      <c r="G679" t="s">
        <v>69</v>
      </c>
      <c r="H679" t="s">
        <v>70</v>
      </c>
      <c r="I679" t="s">
        <v>148</v>
      </c>
      <c r="J679" t="s">
        <v>124</v>
      </c>
      <c r="K679" t="s">
        <v>51</v>
      </c>
      <c r="L679" t="s">
        <v>125</v>
      </c>
      <c r="M679" t="s">
        <v>116</v>
      </c>
      <c r="N679" t="s">
        <v>54</v>
      </c>
      <c r="O679" s="3">
        <v>245000</v>
      </c>
      <c r="P679" s="4">
        <v>25</v>
      </c>
      <c r="Q679" s="2">
        <v>45900</v>
      </c>
      <c r="R679" s="2">
        <v>46223</v>
      </c>
      <c r="S679" s="2">
        <v>45837</v>
      </c>
      <c r="T679" s="2"/>
      <c r="U679" t="str">
        <f t="shared" si="70"/>
        <v>No</v>
      </c>
      <c r="W6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79" t="str">
        <f t="shared" ca="1" si="71"/>
        <v>Due/Open</v>
      </c>
      <c r="Y679" t="str">
        <f t="shared" si="72"/>
        <v>Open</v>
      </c>
      <c r="Z679" t="str">
        <f t="shared" si="73"/>
        <v>Jun-2025</v>
      </c>
      <c r="AA679" t="str">
        <f t="shared" si="74"/>
        <v>Q2 2025</v>
      </c>
      <c r="AB679" s="4">
        <f t="shared" ca="1" si="75"/>
        <v>369</v>
      </c>
      <c r="AC679" t="str">
        <f t="shared" si="76"/>
        <v>Medium</v>
      </c>
    </row>
    <row r="680" spans="1:29">
      <c r="A680" t="s">
        <v>2718</v>
      </c>
      <c r="B680" s="2">
        <v>45769</v>
      </c>
      <c r="C680" t="s">
        <v>292</v>
      </c>
      <c r="D680" t="s">
        <v>423</v>
      </c>
      <c r="E680" t="s">
        <v>2719</v>
      </c>
      <c r="F680" t="s">
        <v>2720</v>
      </c>
      <c r="G680" t="s">
        <v>179</v>
      </c>
      <c r="H680" t="s">
        <v>180</v>
      </c>
      <c r="I680" t="s">
        <v>148</v>
      </c>
      <c r="J680" t="s">
        <v>124</v>
      </c>
      <c r="K680" t="s">
        <v>51</v>
      </c>
      <c r="L680" t="s">
        <v>39</v>
      </c>
      <c r="M680" t="s">
        <v>90</v>
      </c>
      <c r="N680" t="s">
        <v>91</v>
      </c>
      <c r="O680" s="3">
        <v>95000</v>
      </c>
      <c r="P680" s="4">
        <v>55</v>
      </c>
      <c r="Q680" s="2">
        <v>45810</v>
      </c>
      <c r="R680" s="2">
        <v>46235</v>
      </c>
      <c r="S680" s="2">
        <v>45796</v>
      </c>
      <c r="T680" s="2"/>
      <c r="U680" t="str">
        <f t="shared" si="70"/>
        <v>No</v>
      </c>
      <c r="W6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0" t="str">
        <f t="shared" ca="1" si="71"/>
        <v>Due/Open</v>
      </c>
      <c r="Y680" t="str">
        <f t="shared" si="72"/>
        <v>Open</v>
      </c>
      <c r="Z680" t="str">
        <f t="shared" si="73"/>
        <v>Apr-2025</v>
      </c>
      <c r="AA680" t="str">
        <f t="shared" si="74"/>
        <v>Q2 2025</v>
      </c>
      <c r="AB680" s="4">
        <f t="shared" ca="1" si="75"/>
        <v>430</v>
      </c>
      <c r="AC680" t="str">
        <f t="shared" si="76"/>
        <v>Low</v>
      </c>
    </row>
    <row r="681" spans="1:29">
      <c r="A681" t="s">
        <v>2721</v>
      </c>
      <c r="B681" s="2">
        <v>46168</v>
      </c>
      <c r="C681" t="s">
        <v>511</v>
      </c>
      <c r="D681" t="s">
        <v>1701</v>
      </c>
      <c r="E681" t="s">
        <v>2722</v>
      </c>
      <c r="F681" t="s">
        <v>2723</v>
      </c>
      <c r="G681" t="s">
        <v>47</v>
      </c>
      <c r="H681" t="s">
        <v>418</v>
      </c>
      <c r="I681" t="s">
        <v>98</v>
      </c>
      <c r="J681" t="s">
        <v>37</v>
      </c>
      <c r="K681" t="s">
        <v>100</v>
      </c>
      <c r="L681" t="s">
        <v>72</v>
      </c>
      <c r="M681" t="s">
        <v>116</v>
      </c>
      <c r="N681" t="s">
        <v>54</v>
      </c>
      <c r="O681" s="3">
        <v>85000</v>
      </c>
      <c r="P681" s="4">
        <v>20</v>
      </c>
      <c r="Q681" s="2">
        <v>46244</v>
      </c>
      <c r="R681" s="2">
        <v>46208</v>
      </c>
      <c r="S681" s="2">
        <v>46197</v>
      </c>
      <c r="T681" s="2"/>
      <c r="U681" t="str">
        <f t="shared" si="70"/>
        <v>No</v>
      </c>
      <c r="W6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1" t="str">
        <f t="shared" ca="1" si="71"/>
        <v>Due/Open</v>
      </c>
      <c r="Y681" t="str">
        <f t="shared" si="72"/>
        <v>Open</v>
      </c>
      <c r="Z681" t="str">
        <f t="shared" si="73"/>
        <v>May-2026</v>
      </c>
      <c r="AA681" t="str">
        <f t="shared" si="74"/>
        <v>Q2 2026</v>
      </c>
      <c r="AB681" s="4">
        <f t="shared" ca="1" si="75"/>
        <v>31</v>
      </c>
      <c r="AC681" t="str">
        <f t="shared" si="76"/>
        <v>Low</v>
      </c>
    </row>
    <row r="682" spans="1:29">
      <c r="A682" t="s">
        <v>2724</v>
      </c>
      <c r="B682" s="2">
        <v>45809</v>
      </c>
      <c r="C682" t="s">
        <v>2725</v>
      </c>
      <c r="D682" t="s">
        <v>522</v>
      </c>
      <c r="E682" t="s">
        <v>2726</v>
      </c>
      <c r="F682" t="s">
        <v>2727</v>
      </c>
      <c r="G682" t="s">
        <v>69</v>
      </c>
      <c r="H682" t="s">
        <v>193</v>
      </c>
      <c r="I682" t="s">
        <v>141</v>
      </c>
      <c r="J682" t="s">
        <v>37</v>
      </c>
      <c r="K682" t="s">
        <v>71</v>
      </c>
      <c r="L682" t="s">
        <v>107</v>
      </c>
      <c r="M682" t="s">
        <v>166</v>
      </c>
      <c r="N682" t="s">
        <v>167</v>
      </c>
      <c r="O682" s="3">
        <v>140000</v>
      </c>
      <c r="P682" s="4">
        <v>70</v>
      </c>
      <c r="Q682" s="2">
        <v>45892</v>
      </c>
      <c r="R682" s="2">
        <v>46211</v>
      </c>
      <c r="S682" s="2">
        <v>45831</v>
      </c>
      <c r="T682" s="2"/>
      <c r="U682" t="str">
        <f t="shared" si="70"/>
        <v>No</v>
      </c>
      <c r="W6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2" t="str">
        <f t="shared" ca="1" si="71"/>
        <v>Due/Open</v>
      </c>
      <c r="Y682" t="str">
        <f t="shared" si="72"/>
        <v>Open</v>
      </c>
      <c r="Z682" t="str">
        <f t="shared" si="73"/>
        <v>Jun-2025</v>
      </c>
      <c r="AA682" t="str">
        <f t="shared" si="74"/>
        <v>Q2 2025</v>
      </c>
      <c r="AB682" s="4">
        <f t="shared" ca="1" si="75"/>
        <v>390</v>
      </c>
      <c r="AC682" t="str">
        <f t="shared" si="76"/>
        <v>Medium</v>
      </c>
    </row>
    <row r="683" spans="1:29">
      <c r="A683" t="s">
        <v>2728</v>
      </c>
      <c r="B683" s="2">
        <v>45758</v>
      </c>
      <c r="C683" t="s">
        <v>1588</v>
      </c>
      <c r="D683" t="s">
        <v>969</v>
      </c>
      <c r="E683" t="s">
        <v>2729</v>
      </c>
      <c r="F683" t="s">
        <v>2730</v>
      </c>
      <c r="G683" t="s">
        <v>179</v>
      </c>
      <c r="H683" t="s">
        <v>186</v>
      </c>
      <c r="I683" t="s">
        <v>61</v>
      </c>
      <c r="J683" t="s">
        <v>131</v>
      </c>
      <c r="K683" t="s">
        <v>71</v>
      </c>
      <c r="L683" t="s">
        <v>132</v>
      </c>
      <c r="M683" t="s">
        <v>133</v>
      </c>
      <c r="N683" t="s">
        <v>134</v>
      </c>
      <c r="O683" s="3">
        <v>295000</v>
      </c>
      <c r="P683" s="4">
        <v>0</v>
      </c>
      <c r="Q683" s="2">
        <v>45806</v>
      </c>
      <c r="R683" s="2"/>
      <c r="S683" s="2">
        <v>45786</v>
      </c>
      <c r="T683" s="2">
        <v>45806</v>
      </c>
      <c r="U683" t="str">
        <f t="shared" si="70"/>
        <v>No</v>
      </c>
      <c r="V683" t="s">
        <v>135</v>
      </c>
      <c r="W6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683" t="str">
        <f t="shared" ca="1" si="71"/>
        <v>Closed</v>
      </c>
      <c r="Y683" t="str">
        <f t="shared" si="72"/>
        <v>Closed</v>
      </c>
      <c r="Z683" t="str">
        <f t="shared" si="73"/>
        <v>Apr-2025</v>
      </c>
      <c r="AA683" t="str">
        <f t="shared" si="74"/>
        <v>Q2 2025</v>
      </c>
      <c r="AB683" s="4">
        <f t="shared" ca="1" si="75"/>
        <v>441</v>
      </c>
      <c r="AC683" t="str">
        <f t="shared" si="76"/>
        <v>Medium</v>
      </c>
    </row>
    <row r="684" spans="1:29">
      <c r="A684" t="s">
        <v>2731</v>
      </c>
      <c r="B684" s="2">
        <v>46178</v>
      </c>
      <c r="C684" t="s">
        <v>85</v>
      </c>
      <c r="D684" t="s">
        <v>183</v>
      </c>
      <c r="E684" t="s">
        <v>2732</v>
      </c>
      <c r="F684" t="s">
        <v>2733</v>
      </c>
      <c r="G684" t="s">
        <v>179</v>
      </c>
      <c r="H684" t="s">
        <v>487</v>
      </c>
      <c r="I684" t="s">
        <v>98</v>
      </c>
      <c r="J684" t="s">
        <v>37</v>
      </c>
      <c r="K684" t="s">
        <v>38</v>
      </c>
      <c r="L684" t="s">
        <v>125</v>
      </c>
      <c r="M684" t="s">
        <v>116</v>
      </c>
      <c r="N684" t="s">
        <v>54</v>
      </c>
      <c r="O684" s="3">
        <v>115000</v>
      </c>
      <c r="P684" s="4">
        <v>15</v>
      </c>
      <c r="Q684" s="2">
        <v>46202</v>
      </c>
      <c r="R684" s="2">
        <v>46159</v>
      </c>
      <c r="S684" s="2">
        <v>46187</v>
      </c>
      <c r="T684" s="2"/>
      <c r="U684" t="str">
        <f t="shared" si="70"/>
        <v>No</v>
      </c>
      <c r="W6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4" t="str">
        <f t="shared" ca="1" si="71"/>
        <v>Overdue</v>
      </c>
      <c r="Y684" t="str">
        <f t="shared" si="72"/>
        <v>Open</v>
      </c>
      <c r="Z684" t="str">
        <f t="shared" si="73"/>
        <v>Jun-2026</v>
      </c>
      <c r="AA684" t="str">
        <f t="shared" si="74"/>
        <v>Q2 2026</v>
      </c>
      <c r="AB684" s="4">
        <f t="shared" ca="1" si="75"/>
        <v>21</v>
      </c>
      <c r="AC684" t="str">
        <f t="shared" si="76"/>
        <v>Low</v>
      </c>
    </row>
    <row r="685" spans="1:29">
      <c r="A685" t="s">
        <v>2734</v>
      </c>
      <c r="B685" s="2">
        <v>45836</v>
      </c>
      <c r="C685" t="s">
        <v>75</v>
      </c>
      <c r="D685" t="s">
        <v>309</v>
      </c>
      <c r="E685" t="s">
        <v>2735</v>
      </c>
      <c r="F685" t="s">
        <v>2736</v>
      </c>
      <c r="G685" t="s">
        <v>179</v>
      </c>
      <c r="H685" t="s">
        <v>318</v>
      </c>
      <c r="I685" t="s">
        <v>187</v>
      </c>
      <c r="J685" t="s">
        <v>99</v>
      </c>
      <c r="K685" t="s">
        <v>114</v>
      </c>
      <c r="L685" t="s">
        <v>63</v>
      </c>
      <c r="M685" t="s">
        <v>73</v>
      </c>
      <c r="N685" t="s">
        <v>73</v>
      </c>
      <c r="O685" s="3">
        <v>355000</v>
      </c>
      <c r="P685" s="4">
        <v>75</v>
      </c>
      <c r="Q685" s="2">
        <v>45867</v>
      </c>
      <c r="R685" s="2">
        <v>46157</v>
      </c>
      <c r="S685" s="2">
        <v>45854</v>
      </c>
      <c r="T685" s="2"/>
      <c r="U685" t="str">
        <f t="shared" si="70"/>
        <v>No</v>
      </c>
      <c r="W6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5" t="str">
        <f t="shared" ca="1" si="71"/>
        <v>Overdue</v>
      </c>
      <c r="Y685" t="str">
        <f t="shared" si="72"/>
        <v>Open</v>
      </c>
      <c r="Z685" t="str">
        <f t="shared" si="73"/>
        <v>Jun-2025</v>
      </c>
      <c r="AA685" t="str">
        <f t="shared" si="74"/>
        <v>Q2 2025</v>
      </c>
      <c r="AB685" s="4">
        <f t="shared" ca="1" si="75"/>
        <v>363</v>
      </c>
      <c r="AC685" t="str">
        <f t="shared" si="76"/>
        <v>High</v>
      </c>
    </row>
    <row r="686" spans="1:29">
      <c r="A686" t="s">
        <v>2737</v>
      </c>
      <c r="B686" s="2">
        <v>46174</v>
      </c>
      <c r="C686" t="s">
        <v>1219</v>
      </c>
      <c r="D686" t="s">
        <v>1343</v>
      </c>
      <c r="E686" t="s">
        <v>2738</v>
      </c>
      <c r="F686" t="s">
        <v>2739</v>
      </c>
      <c r="G686" t="s">
        <v>69</v>
      </c>
      <c r="H686" t="s">
        <v>200</v>
      </c>
      <c r="I686" t="s">
        <v>98</v>
      </c>
      <c r="J686" t="s">
        <v>124</v>
      </c>
      <c r="K686" t="s">
        <v>100</v>
      </c>
      <c r="L686" t="s">
        <v>125</v>
      </c>
      <c r="M686" t="s">
        <v>116</v>
      </c>
      <c r="N686" t="s">
        <v>54</v>
      </c>
      <c r="O686" s="3">
        <v>230000</v>
      </c>
      <c r="P686" s="4">
        <v>20</v>
      </c>
      <c r="Q686" s="2">
        <v>46231</v>
      </c>
      <c r="R686" s="2">
        <v>46162</v>
      </c>
      <c r="S686" s="2">
        <v>46184</v>
      </c>
      <c r="T686" s="2"/>
      <c r="U686" t="str">
        <f t="shared" si="70"/>
        <v>No</v>
      </c>
      <c r="W6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6" t="str">
        <f t="shared" ca="1" si="71"/>
        <v>Overdue</v>
      </c>
      <c r="Y686" t="str">
        <f t="shared" si="72"/>
        <v>Open</v>
      </c>
      <c r="Z686" t="str">
        <f t="shared" si="73"/>
        <v>Jun-2026</v>
      </c>
      <c r="AA686" t="str">
        <f t="shared" si="74"/>
        <v>Q2 2026</v>
      </c>
      <c r="AB686" s="4">
        <f t="shared" ca="1" si="75"/>
        <v>25</v>
      </c>
      <c r="AC686" t="str">
        <f t="shared" si="76"/>
        <v>Medium</v>
      </c>
    </row>
    <row r="687" spans="1:29">
      <c r="A687" t="s">
        <v>2740</v>
      </c>
      <c r="B687" s="2">
        <v>45658</v>
      </c>
      <c r="C687" t="s">
        <v>2741</v>
      </c>
      <c r="D687" t="s">
        <v>512</v>
      </c>
      <c r="E687" t="s">
        <v>2742</v>
      </c>
      <c r="F687" t="s">
        <v>2743</v>
      </c>
      <c r="G687" t="s">
        <v>179</v>
      </c>
      <c r="H687" t="s">
        <v>296</v>
      </c>
      <c r="I687" t="s">
        <v>36</v>
      </c>
      <c r="J687" t="s">
        <v>131</v>
      </c>
      <c r="K687" t="s">
        <v>100</v>
      </c>
      <c r="L687" t="s">
        <v>72</v>
      </c>
      <c r="M687" t="s">
        <v>53</v>
      </c>
      <c r="N687" t="s">
        <v>54</v>
      </c>
      <c r="O687" s="3">
        <v>100000</v>
      </c>
      <c r="P687" s="4">
        <v>25</v>
      </c>
      <c r="Q687" s="2">
        <v>45689</v>
      </c>
      <c r="R687" s="2">
        <v>46160</v>
      </c>
      <c r="S687" s="2">
        <v>45660</v>
      </c>
      <c r="T687" s="2"/>
      <c r="U687" t="str">
        <f t="shared" si="70"/>
        <v>No</v>
      </c>
      <c r="W6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7" t="str">
        <f t="shared" ca="1" si="71"/>
        <v>Overdue</v>
      </c>
      <c r="Y687" t="str">
        <f t="shared" si="72"/>
        <v>Open</v>
      </c>
      <c r="Z687" t="str">
        <f t="shared" si="73"/>
        <v>Jan-2025</v>
      </c>
      <c r="AA687" t="str">
        <f t="shared" si="74"/>
        <v>Q1 2025</v>
      </c>
      <c r="AB687" s="4">
        <f t="shared" ca="1" si="75"/>
        <v>541</v>
      </c>
      <c r="AC687" t="str">
        <f t="shared" si="76"/>
        <v>Low</v>
      </c>
    </row>
    <row r="688" spans="1:29">
      <c r="A688" t="s">
        <v>2744</v>
      </c>
      <c r="B688" s="2">
        <v>46050</v>
      </c>
      <c r="C688" t="s">
        <v>2745</v>
      </c>
      <c r="D688" t="s">
        <v>2231</v>
      </c>
      <c r="E688" t="s">
        <v>2746</v>
      </c>
      <c r="F688" t="s">
        <v>2747</v>
      </c>
      <c r="G688" t="s">
        <v>47</v>
      </c>
      <c r="H688" t="s">
        <v>418</v>
      </c>
      <c r="I688" t="s">
        <v>141</v>
      </c>
      <c r="J688" t="s">
        <v>131</v>
      </c>
      <c r="K688" t="s">
        <v>114</v>
      </c>
      <c r="L688" t="s">
        <v>115</v>
      </c>
      <c r="M688" t="s">
        <v>82</v>
      </c>
      <c r="N688" t="s">
        <v>83</v>
      </c>
      <c r="O688" s="3">
        <v>305000</v>
      </c>
      <c r="P688" s="4">
        <v>10</v>
      </c>
      <c r="Q688" s="2">
        <v>46103</v>
      </c>
      <c r="R688" s="2">
        <v>46238</v>
      </c>
      <c r="S688" s="2">
        <v>46061</v>
      </c>
      <c r="T688" s="2"/>
      <c r="U688" t="str">
        <f t="shared" si="70"/>
        <v>No</v>
      </c>
      <c r="W6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8" t="str">
        <f t="shared" ca="1" si="71"/>
        <v>Due/Open</v>
      </c>
      <c r="Y688" t="str">
        <f t="shared" si="72"/>
        <v>Open</v>
      </c>
      <c r="Z688" t="str">
        <f t="shared" si="73"/>
        <v>Jan-2026</v>
      </c>
      <c r="AA688" t="str">
        <f t="shared" si="74"/>
        <v>Q1 2026</v>
      </c>
      <c r="AB688" s="4">
        <f t="shared" ca="1" si="75"/>
        <v>149</v>
      </c>
      <c r="AC688" t="str">
        <f t="shared" si="76"/>
        <v>High</v>
      </c>
    </row>
    <row r="689" spans="1:29">
      <c r="A689" t="s">
        <v>2748</v>
      </c>
      <c r="B689" s="2">
        <v>45694</v>
      </c>
      <c r="C689" t="s">
        <v>847</v>
      </c>
      <c r="D689" t="s">
        <v>247</v>
      </c>
      <c r="E689" t="s">
        <v>2749</v>
      </c>
      <c r="F689" t="s">
        <v>2750</v>
      </c>
      <c r="G689" t="s">
        <v>69</v>
      </c>
      <c r="H689" t="s">
        <v>312</v>
      </c>
      <c r="I689" t="s">
        <v>98</v>
      </c>
      <c r="J689" t="s">
        <v>99</v>
      </c>
      <c r="K689" t="s">
        <v>38</v>
      </c>
      <c r="L689" t="s">
        <v>39</v>
      </c>
      <c r="M689" t="s">
        <v>73</v>
      </c>
      <c r="N689" t="s">
        <v>73</v>
      </c>
      <c r="O689" s="3">
        <v>510000</v>
      </c>
      <c r="P689" s="4">
        <v>75</v>
      </c>
      <c r="Q689" s="2">
        <v>45773</v>
      </c>
      <c r="R689" s="2">
        <v>46197</v>
      </c>
      <c r="S689" s="2">
        <v>45724</v>
      </c>
      <c r="T689" s="2"/>
      <c r="U689" t="str">
        <f t="shared" si="70"/>
        <v>No</v>
      </c>
      <c r="W6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89" t="str">
        <f t="shared" ca="1" si="71"/>
        <v>Overdue</v>
      </c>
      <c r="Y689" t="str">
        <f t="shared" si="72"/>
        <v>Open</v>
      </c>
      <c r="Z689" t="str">
        <f t="shared" si="73"/>
        <v>Feb-2025</v>
      </c>
      <c r="AA689" t="str">
        <f t="shared" si="74"/>
        <v>Q1 2025</v>
      </c>
      <c r="AB689" s="4">
        <f t="shared" ca="1" si="75"/>
        <v>505</v>
      </c>
      <c r="AC689" t="str">
        <f t="shared" si="76"/>
        <v>High</v>
      </c>
    </row>
    <row r="690" spans="1:29">
      <c r="A690" t="s">
        <v>2751</v>
      </c>
      <c r="B690" s="2">
        <v>46115</v>
      </c>
      <c r="C690" t="s">
        <v>2752</v>
      </c>
      <c r="D690" t="s">
        <v>163</v>
      </c>
      <c r="E690" t="s">
        <v>2753</v>
      </c>
      <c r="F690" t="s">
        <v>2754</v>
      </c>
      <c r="G690" t="s">
        <v>34</v>
      </c>
      <c r="H690" t="s">
        <v>238</v>
      </c>
      <c r="I690" t="s">
        <v>98</v>
      </c>
      <c r="J690" t="s">
        <v>124</v>
      </c>
      <c r="K690" t="s">
        <v>114</v>
      </c>
      <c r="L690" t="s">
        <v>81</v>
      </c>
      <c r="M690" t="s">
        <v>40</v>
      </c>
      <c r="N690" t="s">
        <v>41</v>
      </c>
      <c r="O690" s="3">
        <v>90000</v>
      </c>
      <c r="P690" s="4">
        <v>100</v>
      </c>
      <c r="Q690" s="2">
        <v>46185</v>
      </c>
      <c r="R690" s="2"/>
      <c r="S690" s="2">
        <v>46133</v>
      </c>
      <c r="T690" s="2">
        <v>46185</v>
      </c>
      <c r="U690" t="str">
        <f t="shared" si="70"/>
        <v>Yes</v>
      </c>
      <c r="W69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690" t="str">
        <f t="shared" ca="1" si="71"/>
        <v>Closed</v>
      </c>
      <c r="Y690" t="str">
        <f t="shared" si="72"/>
        <v>Closed</v>
      </c>
      <c r="Z690" t="str">
        <f t="shared" si="73"/>
        <v>Apr-2026</v>
      </c>
      <c r="AA690" t="str">
        <f t="shared" si="74"/>
        <v>Q2 2026</v>
      </c>
      <c r="AB690" s="4">
        <f t="shared" ca="1" si="75"/>
        <v>84</v>
      </c>
      <c r="AC690" t="str">
        <f t="shared" si="76"/>
        <v>Low</v>
      </c>
    </row>
    <row r="691" spans="1:29">
      <c r="A691" t="s">
        <v>2755</v>
      </c>
      <c r="B691" s="2">
        <v>45703</v>
      </c>
      <c r="C691" t="s">
        <v>2626</v>
      </c>
      <c r="D691" t="s">
        <v>981</v>
      </c>
      <c r="E691" t="s">
        <v>2756</v>
      </c>
      <c r="F691" t="s">
        <v>2757</v>
      </c>
      <c r="G691" t="s">
        <v>79</v>
      </c>
      <c r="H691" t="s">
        <v>97</v>
      </c>
      <c r="I691" t="s">
        <v>98</v>
      </c>
      <c r="J691" t="s">
        <v>37</v>
      </c>
      <c r="K691" t="s">
        <v>71</v>
      </c>
      <c r="L691" t="s">
        <v>72</v>
      </c>
      <c r="M691" t="s">
        <v>73</v>
      </c>
      <c r="N691" t="s">
        <v>73</v>
      </c>
      <c r="O691" s="3">
        <v>60000</v>
      </c>
      <c r="P691" s="4">
        <v>80</v>
      </c>
      <c r="Q691" s="2">
        <v>45768</v>
      </c>
      <c r="R691" s="2">
        <v>46234</v>
      </c>
      <c r="S691" s="2">
        <v>45711</v>
      </c>
      <c r="T691" s="2"/>
      <c r="U691" t="str">
        <f t="shared" si="70"/>
        <v>No</v>
      </c>
      <c r="W6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1" t="str">
        <f t="shared" ca="1" si="71"/>
        <v>Due/Open</v>
      </c>
      <c r="Y691" t="str">
        <f t="shared" si="72"/>
        <v>Open</v>
      </c>
      <c r="Z691" t="str">
        <f t="shared" si="73"/>
        <v>Feb-2025</v>
      </c>
      <c r="AA691" t="str">
        <f t="shared" si="74"/>
        <v>Q1 2025</v>
      </c>
      <c r="AB691" s="4">
        <f t="shared" ca="1" si="75"/>
        <v>496</v>
      </c>
      <c r="AC691" t="str">
        <f t="shared" si="76"/>
        <v>Low</v>
      </c>
    </row>
    <row r="692" spans="1:29">
      <c r="A692" t="s">
        <v>2758</v>
      </c>
      <c r="B692" s="2">
        <v>46049</v>
      </c>
      <c r="C692" t="s">
        <v>2759</v>
      </c>
      <c r="D692" t="s">
        <v>176</v>
      </c>
      <c r="E692" t="s">
        <v>2760</v>
      </c>
      <c r="F692" t="s">
        <v>2761</v>
      </c>
      <c r="G692" t="s">
        <v>47</v>
      </c>
      <c r="H692" t="s">
        <v>113</v>
      </c>
      <c r="I692" t="s">
        <v>187</v>
      </c>
      <c r="J692" t="s">
        <v>50</v>
      </c>
      <c r="K692" t="s">
        <v>114</v>
      </c>
      <c r="L692" t="s">
        <v>132</v>
      </c>
      <c r="M692" t="s">
        <v>53</v>
      </c>
      <c r="N692" t="s">
        <v>54</v>
      </c>
      <c r="O692" s="3">
        <v>175000</v>
      </c>
      <c r="P692" s="4">
        <v>30</v>
      </c>
      <c r="Q692" s="2">
        <v>46090</v>
      </c>
      <c r="R692" s="2">
        <v>46211</v>
      </c>
      <c r="S692" s="2">
        <v>46063</v>
      </c>
      <c r="T692" s="2"/>
      <c r="U692" t="str">
        <f t="shared" si="70"/>
        <v>No</v>
      </c>
      <c r="W6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2" t="str">
        <f t="shared" ca="1" si="71"/>
        <v>Due/Open</v>
      </c>
      <c r="Y692" t="str">
        <f t="shared" si="72"/>
        <v>Open</v>
      </c>
      <c r="Z692" t="str">
        <f t="shared" si="73"/>
        <v>Jan-2026</v>
      </c>
      <c r="AA692" t="str">
        <f t="shared" si="74"/>
        <v>Q1 2026</v>
      </c>
      <c r="AB692" s="4">
        <f t="shared" ca="1" si="75"/>
        <v>150</v>
      </c>
      <c r="AC692" t="str">
        <f t="shared" si="76"/>
        <v>Medium</v>
      </c>
    </row>
    <row r="693" spans="1:29">
      <c r="A693" t="s">
        <v>2762</v>
      </c>
      <c r="B693" s="2">
        <v>45681</v>
      </c>
      <c r="C693" t="s">
        <v>556</v>
      </c>
      <c r="D693" t="s">
        <v>66</v>
      </c>
      <c r="E693" t="s">
        <v>2763</v>
      </c>
      <c r="F693" t="s">
        <v>2764</v>
      </c>
      <c r="G693" t="s">
        <v>69</v>
      </c>
      <c r="H693" t="s">
        <v>312</v>
      </c>
      <c r="I693" t="s">
        <v>61</v>
      </c>
      <c r="J693" t="s">
        <v>62</v>
      </c>
      <c r="K693" t="s">
        <v>194</v>
      </c>
      <c r="L693" t="s">
        <v>239</v>
      </c>
      <c r="M693" t="s">
        <v>166</v>
      </c>
      <c r="N693" t="s">
        <v>167</v>
      </c>
      <c r="O693" s="3">
        <v>285000</v>
      </c>
      <c r="P693" s="4">
        <v>65</v>
      </c>
      <c r="Q693" s="2">
        <v>45725</v>
      </c>
      <c r="R693" s="2">
        <v>46186</v>
      </c>
      <c r="S693" s="2">
        <v>45691</v>
      </c>
      <c r="T693" s="2"/>
      <c r="U693" t="str">
        <f t="shared" si="70"/>
        <v>No</v>
      </c>
      <c r="W6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3" t="str">
        <f t="shared" ca="1" si="71"/>
        <v>Overdue</v>
      </c>
      <c r="Y693" t="str">
        <f t="shared" si="72"/>
        <v>Open</v>
      </c>
      <c r="Z693" t="str">
        <f t="shared" si="73"/>
        <v>Jan-2025</v>
      </c>
      <c r="AA693" t="str">
        <f t="shared" si="74"/>
        <v>Q1 2025</v>
      </c>
      <c r="AB693" s="4">
        <f t="shared" ca="1" si="75"/>
        <v>518</v>
      </c>
      <c r="AC693" t="str">
        <f t="shared" si="76"/>
        <v>Medium</v>
      </c>
    </row>
    <row r="694" spans="1:29">
      <c r="A694" t="s">
        <v>2765</v>
      </c>
      <c r="B694" s="2">
        <v>45971</v>
      </c>
      <c r="C694" t="s">
        <v>835</v>
      </c>
      <c r="D694" t="s">
        <v>2143</v>
      </c>
      <c r="E694" t="s">
        <v>2766</v>
      </c>
      <c r="F694" t="s">
        <v>2767</v>
      </c>
      <c r="G694" t="s">
        <v>69</v>
      </c>
      <c r="H694" t="s">
        <v>200</v>
      </c>
      <c r="I694" t="s">
        <v>49</v>
      </c>
      <c r="J694" t="s">
        <v>62</v>
      </c>
      <c r="K694" t="s">
        <v>71</v>
      </c>
      <c r="L694" t="s">
        <v>239</v>
      </c>
      <c r="M694" t="s">
        <v>82</v>
      </c>
      <c r="N694" t="s">
        <v>83</v>
      </c>
      <c r="O694" s="3">
        <v>425000</v>
      </c>
      <c r="P694" s="4">
        <v>5</v>
      </c>
      <c r="Q694" s="2">
        <v>46054</v>
      </c>
      <c r="R694" s="2">
        <v>46184</v>
      </c>
      <c r="S694" s="2">
        <v>45986</v>
      </c>
      <c r="T694" s="2"/>
      <c r="U694" t="str">
        <f t="shared" si="70"/>
        <v>No</v>
      </c>
      <c r="W6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4" t="str">
        <f t="shared" ca="1" si="71"/>
        <v>Overdue</v>
      </c>
      <c r="Y694" t="str">
        <f t="shared" si="72"/>
        <v>Open</v>
      </c>
      <c r="Z694" t="str">
        <f t="shared" si="73"/>
        <v>Nov-2025</v>
      </c>
      <c r="AA694" t="str">
        <f t="shared" si="74"/>
        <v>Q4 2025</v>
      </c>
      <c r="AB694" s="4">
        <f t="shared" ca="1" si="75"/>
        <v>228</v>
      </c>
      <c r="AC694" t="str">
        <f t="shared" si="76"/>
        <v>High</v>
      </c>
    </row>
    <row r="695" spans="1:29">
      <c r="A695" t="s">
        <v>2768</v>
      </c>
      <c r="B695" s="2">
        <v>45696</v>
      </c>
      <c r="C695" t="s">
        <v>1774</v>
      </c>
      <c r="D695" t="s">
        <v>2704</v>
      </c>
      <c r="E695" t="s">
        <v>2769</v>
      </c>
      <c r="F695" t="s">
        <v>2770</v>
      </c>
      <c r="G695" t="s">
        <v>79</v>
      </c>
      <c r="H695" t="s">
        <v>217</v>
      </c>
      <c r="I695" t="s">
        <v>187</v>
      </c>
      <c r="J695" t="s">
        <v>131</v>
      </c>
      <c r="K695" t="s">
        <v>114</v>
      </c>
      <c r="L695" t="s">
        <v>125</v>
      </c>
      <c r="M695" t="s">
        <v>40</v>
      </c>
      <c r="N695" t="s">
        <v>41</v>
      </c>
      <c r="O695" s="3">
        <v>360000</v>
      </c>
      <c r="P695" s="4">
        <v>100</v>
      </c>
      <c r="Q695" s="2">
        <v>45738</v>
      </c>
      <c r="R695" s="2"/>
      <c r="S695" s="2">
        <v>45701</v>
      </c>
      <c r="T695" s="2">
        <v>45738</v>
      </c>
      <c r="U695" t="str">
        <f t="shared" si="70"/>
        <v>Yes</v>
      </c>
      <c r="W69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695" t="str">
        <f t="shared" ca="1" si="71"/>
        <v>Closed</v>
      </c>
      <c r="Y695" t="str">
        <f t="shared" si="72"/>
        <v>Closed</v>
      </c>
      <c r="Z695" t="str">
        <f t="shared" si="73"/>
        <v>Feb-2025</v>
      </c>
      <c r="AA695" t="str">
        <f t="shared" si="74"/>
        <v>Q1 2025</v>
      </c>
      <c r="AB695" s="4">
        <f t="shared" ca="1" si="75"/>
        <v>503</v>
      </c>
      <c r="AC695" t="str">
        <f t="shared" si="76"/>
        <v>High</v>
      </c>
    </row>
    <row r="696" spans="1:29">
      <c r="A696" t="s">
        <v>2771</v>
      </c>
      <c r="B696" s="2">
        <v>45797</v>
      </c>
      <c r="C696" t="s">
        <v>985</v>
      </c>
      <c r="D696" t="s">
        <v>337</v>
      </c>
      <c r="E696" t="s">
        <v>2772</v>
      </c>
      <c r="F696" t="s">
        <v>2773</v>
      </c>
      <c r="G696" t="s">
        <v>179</v>
      </c>
      <c r="H696" t="s">
        <v>180</v>
      </c>
      <c r="I696" t="s">
        <v>49</v>
      </c>
      <c r="J696" t="s">
        <v>99</v>
      </c>
      <c r="K696" t="s">
        <v>38</v>
      </c>
      <c r="L696" t="s">
        <v>107</v>
      </c>
      <c r="M696" t="s">
        <v>82</v>
      </c>
      <c r="N696" t="s">
        <v>83</v>
      </c>
      <c r="O696" s="3">
        <v>285000</v>
      </c>
      <c r="P696" s="4">
        <v>10</v>
      </c>
      <c r="Q696" s="2">
        <v>45890</v>
      </c>
      <c r="R696" s="2">
        <v>46210</v>
      </c>
      <c r="S696" s="2">
        <v>45823</v>
      </c>
      <c r="T696" s="2"/>
      <c r="U696" t="str">
        <f t="shared" si="70"/>
        <v>No</v>
      </c>
      <c r="W6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6" t="str">
        <f t="shared" ca="1" si="71"/>
        <v>Due/Open</v>
      </c>
      <c r="Y696" t="str">
        <f t="shared" si="72"/>
        <v>Open</v>
      </c>
      <c r="Z696" t="str">
        <f t="shared" si="73"/>
        <v>May-2025</v>
      </c>
      <c r="AA696" t="str">
        <f t="shared" si="74"/>
        <v>Q2 2025</v>
      </c>
      <c r="AB696" s="4">
        <f t="shared" ca="1" si="75"/>
        <v>402</v>
      </c>
      <c r="AC696" t="str">
        <f t="shared" si="76"/>
        <v>Medium</v>
      </c>
    </row>
    <row r="697" spans="1:29">
      <c r="A697" t="s">
        <v>2774</v>
      </c>
      <c r="B697" s="2">
        <v>45863</v>
      </c>
      <c r="C697" t="s">
        <v>1843</v>
      </c>
      <c r="D697" t="s">
        <v>573</v>
      </c>
      <c r="E697" t="s">
        <v>2775</v>
      </c>
      <c r="F697" t="s">
        <v>2776</v>
      </c>
      <c r="G697" t="s">
        <v>69</v>
      </c>
      <c r="H697" t="s">
        <v>270</v>
      </c>
      <c r="I697" t="s">
        <v>123</v>
      </c>
      <c r="J697" t="s">
        <v>99</v>
      </c>
      <c r="K697" t="s">
        <v>71</v>
      </c>
      <c r="L697" t="s">
        <v>107</v>
      </c>
      <c r="M697" t="s">
        <v>166</v>
      </c>
      <c r="N697" t="s">
        <v>167</v>
      </c>
      <c r="O697" s="3">
        <v>505000</v>
      </c>
      <c r="P697" s="4">
        <v>65</v>
      </c>
      <c r="Q697" s="2">
        <v>45899</v>
      </c>
      <c r="R697" s="2">
        <v>46220</v>
      </c>
      <c r="S697" s="2">
        <v>45890</v>
      </c>
      <c r="T697" s="2"/>
      <c r="U697" t="str">
        <f t="shared" si="70"/>
        <v>No</v>
      </c>
      <c r="W6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7" t="str">
        <f t="shared" ca="1" si="71"/>
        <v>Due/Open</v>
      </c>
      <c r="Y697" t="str">
        <f t="shared" si="72"/>
        <v>Open</v>
      </c>
      <c r="Z697" t="str">
        <f t="shared" si="73"/>
        <v>Jul-2025</v>
      </c>
      <c r="AA697" t="str">
        <f t="shared" si="74"/>
        <v>Q3 2025</v>
      </c>
      <c r="AB697" s="4">
        <f t="shared" ca="1" si="75"/>
        <v>336</v>
      </c>
      <c r="AC697" t="str">
        <f t="shared" si="76"/>
        <v>High</v>
      </c>
    </row>
    <row r="698" spans="1:29">
      <c r="A698" t="s">
        <v>2777</v>
      </c>
      <c r="B698" s="2">
        <v>45682</v>
      </c>
      <c r="C698" t="s">
        <v>2778</v>
      </c>
      <c r="D698" t="s">
        <v>1148</v>
      </c>
      <c r="E698" t="s">
        <v>2779</v>
      </c>
      <c r="F698" t="s">
        <v>2780</v>
      </c>
      <c r="G698" t="s">
        <v>34</v>
      </c>
      <c r="H698" t="s">
        <v>446</v>
      </c>
      <c r="I698" t="s">
        <v>36</v>
      </c>
      <c r="J698" t="s">
        <v>62</v>
      </c>
      <c r="K698" t="s">
        <v>38</v>
      </c>
      <c r="L698" t="s">
        <v>39</v>
      </c>
      <c r="M698" t="s">
        <v>133</v>
      </c>
      <c r="N698" t="s">
        <v>134</v>
      </c>
      <c r="O698" s="3">
        <v>385000</v>
      </c>
      <c r="P698" s="4">
        <v>0</v>
      </c>
      <c r="Q698" s="2">
        <v>45742</v>
      </c>
      <c r="R698" s="2"/>
      <c r="S698" s="2">
        <v>45687</v>
      </c>
      <c r="T698" s="2">
        <v>45742</v>
      </c>
      <c r="U698" t="str">
        <f t="shared" si="70"/>
        <v>No</v>
      </c>
      <c r="V698" t="s">
        <v>452</v>
      </c>
      <c r="W6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698" t="str">
        <f t="shared" ca="1" si="71"/>
        <v>Closed</v>
      </c>
      <c r="Y698" t="str">
        <f t="shared" si="72"/>
        <v>Closed</v>
      </c>
      <c r="Z698" t="str">
        <f t="shared" si="73"/>
        <v>Jan-2025</v>
      </c>
      <c r="AA698" t="str">
        <f t="shared" si="74"/>
        <v>Q1 2025</v>
      </c>
      <c r="AB698" s="4">
        <f t="shared" ca="1" si="75"/>
        <v>517</v>
      </c>
      <c r="AC698" t="str">
        <f t="shared" si="76"/>
        <v>High</v>
      </c>
    </row>
    <row r="699" spans="1:29">
      <c r="A699" t="s">
        <v>2781</v>
      </c>
      <c r="B699" s="2">
        <v>45791</v>
      </c>
      <c r="C699" t="s">
        <v>2782</v>
      </c>
      <c r="D699" t="s">
        <v>352</v>
      </c>
      <c r="E699" t="s">
        <v>2783</v>
      </c>
      <c r="F699" t="s">
        <v>2784</v>
      </c>
      <c r="G699" t="s">
        <v>47</v>
      </c>
      <c r="H699" t="s">
        <v>493</v>
      </c>
      <c r="I699" t="s">
        <v>148</v>
      </c>
      <c r="J699" t="s">
        <v>37</v>
      </c>
      <c r="K699" t="s">
        <v>114</v>
      </c>
      <c r="L699" t="s">
        <v>81</v>
      </c>
      <c r="M699" t="s">
        <v>53</v>
      </c>
      <c r="N699" t="s">
        <v>54</v>
      </c>
      <c r="O699" s="3">
        <v>90000</v>
      </c>
      <c r="P699" s="4">
        <v>35</v>
      </c>
      <c r="Q699" s="2">
        <v>45886</v>
      </c>
      <c r="R699" s="2">
        <v>46229</v>
      </c>
      <c r="S699" s="2">
        <v>45796</v>
      </c>
      <c r="T699" s="2"/>
      <c r="U699" t="str">
        <f t="shared" si="70"/>
        <v>No</v>
      </c>
      <c r="W6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699" t="str">
        <f t="shared" ca="1" si="71"/>
        <v>Due/Open</v>
      </c>
      <c r="Y699" t="str">
        <f t="shared" si="72"/>
        <v>Open</v>
      </c>
      <c r="Z699" t="str">
        <f t="shared" si="73"/>
        <v>May-2025</v>
      </c>
      <c r="AA699" t="str">
        <f t="shared" si="74"/>
        <v>Q2 2025</v>
      </c>
      <c r="AB699" s="4">
        <f t="shared" ca="1" si="75"/>
        <v>408</v>
      </c>
      <c r="AC699" t="str">
        <f t="shared" si="76"/>
        <v>Low</v>
      </c>
    </row>
    <row r="700" spans="1:29">
      <c r="A700" t="s">
        <v>2785</v>
      </c>
      <c r="B700" s="2">
        <v>45796</v>
      </c>
      <c r="C700" t="s">
        <v>1956</v>
      </c>
      <c r="D700" t="s">
        <v>86</v>
      </c>
      <c r="E700" t="s">
        <v>2786</v>
      </c>
      <c r="F700" t="s">
        <v>2787</v>
      </c>
      <c r="G700" t="s">
        <v>34</v>
      </c>
      <c r="H700" t="s">
        <v>238</v>
      </c>
      <c r="I700" t="s">
        <v>98</v>
      </c>
      <c r="J700" t="s">
        <v>37</v>
      </c>
      <c r="K700" t="s">
        <v>71</v>
      </c>
      <c r="L700" t="s">
        <v>63</v>
      </c>
      <c r="M700" t="s">
        <v>133</v>
      </c>
      <c r="N700" t="s">
        <v>134</v>
      </c>
      <c r="O700" s="3">
        <v>135000</v>
      </c>
      <c r="P700" s="4">
        <v>0</v>
      </c>
      <c r="Q700" s="2">
        <v>45814</v>
      </c>
      <c r="R700" s="2"/>
      <c r="S700" s="2">
        <v>45813</v>
      </c>
      <c r="T700" s="2">
        <v>45814</v>
      </c>
      <c r="U700" t="str">
        <f t="shared" si="70"/>
        <v>No</v>
      </c>
      <c r="V700" t="s">
        <v>276</v>
      </c>
      <c r="W70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18</v>
      </c>
      <c r="X700" t="str">
        <f t="shared" ca="1" si="71"/>
        <v>Closed</v>
      </c>
      <c r="Y700" t="str">
        <f t="shared" si="72"/>
        <v>Closed</v>
      </c>
      <c r="Z700" t="str">
        <f t="shared" si="73"/>
        <v>May-2025</v>
      </c>
      <c r="AA700" t="str">
        <f t="shared" si="74"/>
        <v>Q2 2025</v>
      </c>
      <c r="AB700" s="4">
        <f t="shared" ca="1" si="75"/>
        <v>403</v>
      </c>
      <c r="AC700" t="str">
        <f t="shared" si="76"/>
        <v>Medium</v>
      </c>
    </row>
    <row r="701" spans="1:29">
      <c r="A701" t="s">
        <v>2788</v>
      </c>
      <c r="B701" s="2">
        <v>46004</v>
      </c>
      <c r="C701" t="s">
        <v>2789</v>
      </c>
      <c r="D701" t="s">
        <v>1815</v>
      </c>
      <c r="E701" t="s">
        <v>2790</v>
      </c>
      <c r="F701" t="s">
        <v>2791</v>
      </c>
      <c r="G701" t="s">
        <v>47</v>
      </c>
      <c r="H701" t="s">
        <v>418</v>
      </c>
      <c r="I701" t="s">
        <v>49</v>
      </c>
      <c r="J701" t="s">
        <v>131</v>
      </c>
      <c r="K701" t="s">
        <v>38</v>
      </c>
      <c r="L701" t="s">
        <v>39</v>
      </c>
      <c r="M701" t="s">
        <v>90</v>
      </c>
      <c r="N701" t="s">
        <v>91</v>
      </c>
      <c r="O701" s="3">
        <v>175000</v>
      </c>
      <c r="P701" s="4">
        <v>40</v>
      </c>
      <c r="Q701" s="2">
        <v>46090</v>
      </c>
      <c r="R701" s="2">
        <v>46234</v>
      </c>
      <c r="S701" s="2">
        <v>46022</v>
      </c>
      <c r="T701" s="2"/>
      <c r="U701" t="str">
        <f t="shared" si="70"/>
        <v>No</v>
      </c>
      <c r="W7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1" t="str">
        <f t="shared" ca="1" si="71"/>
        <v>Due/Open</v>
      </c>
      <c r="Y701" t="str">
        <f t="shared" si="72"/>
        <v>Open</v>
      </c>
      <c r="Z701" t="str">
        <f t="shared" si="73"/>
        <v>Dec-2025</v>
      </c>
      <c r="AA701" t="str">
        <f t="shared" si="74"/>
        <v>Q4 2025</v>
      </c>
      <c r="AB701" s="4">
        <f t="shared" ca="1" si="75"/>
        <v>195</v>
      </c>
      <c r="AC701" t="str">
        <f t="shared" si="76"/>
        <v>Medium</v>
      </c>
    </row>
    <row r="702" spans="1:29">
      <c r="A702" t="s">
        <v>2792</v>
      </c>
      <c r="B702" s="2">
        <v>46172</v>
      </c>
      <c r="C702" t="s">
        <v>1490</v>
      </c>
      <c r="D702" t="s">
        <v>755</v>
      </c>
      <c r="E702" t="s">
        <v>2793</v>
      </c>
      <c r="F702" t="s">
        <v>2794</v>
      </c>
      <c r="G702" t="s">
        <v>69</v>
      </c>
      <c r="H702" t="s">
        <v>70</v>
      </c>
      <c r="I702" t="s">
        <v>187</v>
      </c>
      <c r="J702" t="s">
        <v>50</v>
      </c>
      <c r="K702" t="s">
        <v>100</v>
      </c>
      <c r="L702" t="s">
        <v>142</v>
      </c>
      <c r="M702" t="s">
        <v>53</v>
      </c>
      <c r="N702" t="s">
        <v>54</v>
      </c>
      <c r="O702" s="3">
        <v>340000</v>
      </c>
      <c r="P702" s="4">
        <v>25</v>
      </c>
      <c r="Q702" s="2">
        <v>46196</v>
      </c>
      <c r="R702" s="2">
        <v>46238</v>
      </c>
      <c r="S702" s="2">
        <v>46178</v>
      </c>
      <c r="T702" s="2"/>
      <c r="U702" t="str">
        <f t="shared" si="70"/>
        <v>No</v>
      </c>
      <c r="W7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2" t="str">
        <f t="shared" ca="1" si="71"/>
        <v>Due/Open</v>
      </c>
      <c r="Y702" t="str">
        <f t="shared" si="72"/>
        <v>Open</v>
      </c>
      <c r="Z702" t="str">
        <f t="shared" si="73"/>
        <v>May-2026</v>
      </c>
      <c r="AA702" t="str">
        <f t="shared" si="74"/>
        <v>Q2 2026</v>
      </c>
      <c r="AB702" s="4">
        <f t="shared" ca="1" si="75"/>
        <v>27</v>
      </c>
      <c r="AC702" t="str">
        <f t="shared" si="76"/>
        <v>High</v>
      </c>
    </row>
    <row r="703" spans="1:29">
      <c r="A703" t="s">
        <v>2795</v>
      </c>
      <c r="B703" s="2">
        <v>45833</v>
      </c>
      <c r="C703" t="s">
        <v>1334</v>
      </c>
      <c r="D703" t="s">
        <v>1600</v>
      </c>
      <c r="E703" t="s">
        <v>2796</v>
      </c>
      <c r="F703" t="s">
        <v>2797</v>
      </c>
      <c r="G703" t="s">
        <v>34</v>
      </c>
      <c r="H703" t="s">
        <v>35</v>
      </c>
      <c r="I703" t="s">
        <v>49</v>
      </c>
      <c r="J703" t="s">
        <v>99</v>
      </c>
      <c r="K703" t="s">
        <v>100</v>
      </c>
      <c r="L703" t="s">
        <v>72</v>
      </c>
      <c r="M703" t="s">
        <v>116</v>
      </c>
      <c r="N703" t="s">
        <v>54</v>
      </c>
      <c r="O703" s="3">
        <v>635000</v>
      </c>
      <c r="P703" s="4">
        <v>20</v>
      </c>
      <c r="Q703" s="2">
        <v>45909</v>
      </c>
      <c r="R703" s="2">
        <v>46241</v>
      </c>
      <c r="S703" s="2">
        <v>45842</v>
      </c>
      <c r="T703" s="2"/>
      <c r="U703" t="str">
        <f t="shared" si="70"/>
        <v>No</v>
      </c>
      <c r="W7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3" t="str">
        <f t="shared" ca="1" si="71"/>
        <v>Due/Open</v>
      </c>
      <c r="Y703" t="str">
        <f t="shared" si="72"/>
        <v>Open</v>
      </c>
      <c r="Z703" t="str">
        <f t="shared" si="73"/>
        <v>Jun-2025</v>
      </c>
      <c r="AA703" t="str">
        <f t="shared" si="74"/>
        <v>Q2 2025</v>
      </c>
      <c r="AB703" s="4">
        <f t="shared" ca="1" si="75"/>
        <v>366</v>
      </c>
      <c r="AC703" t="str">
        <f t="shared" si="76"/>
        <v>High</v>
      </c>
    </row>
    <row r="704" spans="1:29">
      <c r="A704" t="s">
        <v>2798</v>
      </c>
      <c r="B704" s="2">
        <v>45820</v>
      </c>
      <c r="C704" t="s">
        <v>303</v>
      </c>
      <c r="D704" t="s">
        <v>145</v>
      </c>
      <c r="E704" t="s">
        <v>2799</v>
      </c>
      <c r="F704" t="s">
        <v>2800</v>
      </c>
      <c r="G704" t="s">
        <v>47</v>
      </c>
      <c r="H704" t="s">
        <v>48</v>
      </c>
      <c r="I704" t="s">
        <v>187</v>
      </c>
      <c r="J704" t="s">
        <v>131</v>
      </c>
      <c r="K704" t="s">
        <v>194</v>
      </c>
      <c r="L704" t="s">
        <v>239</v>
      </c>
      <c r="M704" t="s">
        <v>40</v>
      </c>
      <c r="N704" t="s">
        <v>41</v>
      </c>
      <c r="O704" s="3">
        <v>320000</v>
      </c>
      <c r="P704" s="4">
        <v>100</v>
      </c>
      <c r="Q704" s="2">
        <v>45904</v>
      </c>
      <c r="R704" s="2"/>
      <c r="S704" s="2">
        <v>45831</v>
      </c>
      <c r="T704" s="2">
        <v>45904</v>
      </c>
      <c r="U704" t="str">
        <f t="shared" si="70"/>
        <v>Yes</v>
      </c>
      <c r="W70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84</v>
      </c>
      <c r="X704" t="str">
        <f t="shared" ca="1" si="71"/>
        <v>Closed</v>
      </c>
      <c r="Y704" t="str">
        <f t="shared" si="72"/>
        <v>Closed</v>
      </c>
      <c r="Z704" t="str">
        <f t="shared" si="73"/>
        <v>Jun-2025</v>
      </c>
      <c r="AA704" t="str">
        <f t="shared" si="74"/>
        <v>Q2 2025</v>
      </c>
      <c r="AB704" s="4">
        <f t="shared" ca="1" si="75"/>
        <v>379</v>
      </c>
      <c r="AC704" t="str">
        <f t="shared" si="76"/>
        <v>High</v>
      </c>
    </row>
    <row r="705" spans="1:29">
      <c r="A705" t="s">
        <v>2801</v>
      </c>
      <c r="B705" s="2">
        <v>45672</v>
      </c>
      <c r="C705" t="s">
        <v>2396</v>
      </c>
      <c r="D705" t="s">
        <v>1030</v>
      </c>
      <c r="E705" t="s">
        <v>2802</v>
      </c>
      <c r="F705" t="s">
        <v>2803</v>
      </c>
      <c r="G705" t="s">
        <v>69</v>
      </c>
      <c r="H705" t="s">
        <v>193</v>
      </c>
      <c r="I705" t="s">
        <v>36</v>
      </c>
      <c r="J705" t="s">
        <v>62</v>
      </c>
      <c r="K705" t="s">
        <v>51</v>
      </c>
      <c r="L705" t="s">
        <v>52</v>
      </c>
      <c r="M705" t="s">
        <v>133</v>
      </c>
      <c r="N705" t="s">
        <v>134</v>
      </c>
      <c r="O705" s="3">
        <v>405000</v>
      </c>
      <c r="P705" s="4">
        <v>0</v>
      </c>
      <c r="Q705" s="2">
        <v>45735</v>
      </c>
      <c r="R705" s="2"/>
      <c r="S705" s="2">
        <v>45701</v>
      </c>
      <c r="T705" s="2">
        <v>45735</v>
      </c>
      <c r="U705" t="str">
        <f t="shared" si="70"/>
        <v>No</v>
      </c>
      <c r="V705" t="s">
        <v>211</v>
      </c>
      <c r="W70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705" t="str">
        <f t="shared" ca="1" si="71"/>
        <v>Closed</v>
      </c>
      <c r="Y705" t="str">
        <f t="shared" si="72"/>
        <v>Closed</v>
      </c>
      <c r="Z705" t="str">
        <f t="shared" si="73"/>
        <v>Jan-2025</v>
      </c>
      <c r="AA705" t="str">
        <f t="shared" si="74"/>
        <v>Q1 2025</v>
      </c>
      <c r="AB705" s="4">
        <f t="shared" ca="1" si="75"/>
        <v>527</v>
      </c>
      <c r="AC705" t="str">
        <f t="shared" si="76"/>
        <v>High</v>
      </c>
    </row>
    <row r="706" spans="1:29">
      <c r="A706" t="s">
        <v>2804</v>
      </c>
      <c r="B706" s="2">
        <v>46136</v>
      </c>
      <c r="C706" t="s">
        <v>1989</v>
      </c>
      <c r="D706" t="s">
        <v>561</v>
      </c>
      <c r="E706" t="s">
        <v>2805</v>
      </c>
      <c r="F706" t="s">
        <v>2806</v>
      </c>
      <c r="G706" t="s">
        <v>34</v>
      </c>
      <c r="H706" t="s">
        <v>35</v>
      </c>
      <c r="I706" t="s">
        <v>36</v>
      </c>
      <c r="J706" t="s">
        <v>50</v>
      </c>
      <c r="K706" t="s">
        <v>114</v>
      </c>
      <c r="L706" t="s">
        <v>142</v>
      </c>
      <c r="M706" t="s">
        <v>53</v>
      </c>
      <c r="N706" t="s">
        <v>54</v>
      </c>
      <c r="O706" s="3">
        <v>285000</v>
      </c>
      <c r="P706" s="4">
        <v>25</v>
      </c>
      <c r="Q706" s="2">
        <v>46159</v>
      </c>
      <c r="R706" s="2">
        <v>46161</v>
      </c>
      <c r="S706" s="2">
        <v>46159</v>
      </c>
      <c r="T706" s="2"/>
      <c r="U706" t="str">
        <f t="shared" ref="U706:U769" si="77">IF(M706="Converted","Yes","No")</f>
        <v>No</v>
      </c>
      <c r="W7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6" t="str">
        <f t="shared" ref="X706:X769" ca="1" si="78">IF(OR(M706="Converted",M706="Lost",M706="Not Interested"),"Closed",IF(R706&lt;TODAY(),"Overdue","Due/Open"))</f>
        <v>Overdue</v>
      </c>
      <c r="Y706" t="str">
        <f t="shared" ref="Y706:Y769" si="79">IF(OR(M706="Converted",M706="Lost",M706="Not Interested"),"Closed","Open")</f>
        <v>Open</v>
      </c>
      <c r="Z706" t="str">
        <f t="shared" ref="Z706:Z769" si="80">TEXT(B706,"mmm-yyyy")</f>
        <v>Apr-2026</v>
      </c>
      <c r="AA706" t="str">
        <f t="shared" ref="AA706:AA769" si="81">"Q"&amp;ROUNDUP(MONTH(B706)/3,0)&amp;" "&amp;YEAR(B706)</f>
        <v>Q2 2026</v>
      </c>
      <c r="AB706" s="4">
        <f t="shared" ref="AB706:AB769" ca="1" si="82">TODAY()-B706</f>
        <v>63</v>
      </c>
      <c r="AC706" t="str">
        <f t="shared" ref="AC706:AC769" si="83">IF(O706&gt;=300000,"High",IF(O706&gt;=120000,"Medium","Low"))</f>
        <v>Medium</v>
      </c>
    </row>
    <row r="707" spans="1:29">
      <c r="A707" t="s">
        <v>2807</v>
      </c>
      <c r="B707" s="2">
        <v>46008</v>
      </c>
      <c r="C707" t="s">
        <v>127</v>
      </c>
      <c r="D707" t="s">
        <v>1662</v>
      </c>
      <c r="E707" t="s">
        <v>2808</v>
      </c>
      <c r="F707" t="s">
        <v>2809</v>
      </c>
      <c r="G707" t="s">
        <v>34</v>
      </c>
      <c r="H707" t="s">
        <v>60</v>
      </c>
      <c r="I707" t="s">
        <v>36</v>
      </c>
      <c r="J707" t="s">
        <v>99</v>
      </c>
      <c r="K707" t="s">
        <v>194</v>
      </c>
      <c r="L707" t="s">
        <v>81</v>
      </c>
      <c r="M707" t="s">
        <v>116</v>
      </c>
      <c r="N707" t="s">
        <v>54</v>
      </c>
      <c r="O707" s="3">
        <v>400000</v>
      </c>
      <c r="P707" s="4">
        <v>25</v>
      </c>
      <c r="Q707" s="2">
        <v>46085</v>
      </c>
      <c r="R707" s="2">
        <v>46222</v>
      </c>
      <c r="S707" s="2">
        <v>46027</v>
      </c>
      <c r="T707" s="2"/>
      <c r="U707" t="str">
        <f t="shared" si="77"/>
        <v>No</v>
      </c>
      <c r="W7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7" t="str">
        <f t="shared" ca="1" si="78"/>
        <v>Due/Open</v>
      </c>
      <c r="Y707" t="str">
        <f t="shared" si="79"/>
        <v>Open</v>
      </c>
      <c r="Z707" t="str">
        <f t="shared" si="80"/>
        <v>Dec-2025</v>
      </c>
      <c r="AA707" t="str">
        <f t="shared" si="81"/>
        <v>Q4 2025</v>
      </c>
      <c r="AB707" s="4">
        <f t="shared" ca="1" si="82"/>
        <v>191</v>
      </c>
      <c r="AC707" t="str">
        <f t="shared" si="83"/>
        <v>High</v>
      </c>
    </row>
    <row r="708" spans="1:29">
      <c r="A708" t="s">
        <v>2810</v>
      </c>
      <c r="B708" s="2">
        <v>46031</v>
      </c>
      <c r="C708" t="s">
        <v>1928</v>
      </c>
      <c r="D708" t="s">
        <v>337</v>
      </c>
      <c r="E708" t="s">
        <v>2811</v>
      </c>
      <c r="F708" t="s">
        <v>2812</v>
      </c>
      <c r="G708" t="s">
        <v>34</v>
      </c>
      <c r="H708" t="s">
        <v>173</v>
      </c>
      <c r="I708" t="s">
        <v>98</v>
      </c>
      <c r="J708" t="s">
        <v>131</v>
      </c>
      <c r="K708" t="s">
        <v>100</v>
      </c>
      <c r="L708" t="s">
        <v>39</v>
      </c>
      <c r="M708" t="s">
        <v>90</v>
      </c>
      <c r="N708" t="s">
        <v>91</v>
      </c>
      <c r="O708" s="3">
        <v>260000</v>
      </c>
      <c r="P708" s="4">
        <v>40</v>
      </c>
      <c r="Q708" s="2">
        <v>46066</v>
      </c>
      <c r="R708" s="2">
        <v>46171</v>
      </c>
      <c r="S708" s="2">
        <v>46037</v>
      </c>
      <c r="T708" s="2"/>
      <c r="U708" t="str">
        <f t="shared" si="77"/>
        <v>No</v>
      </c>
      <c r="W7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8" t="str">
        <f t="shared" ca="1" si="78"/>
        <v>Overdue</v>
      </c>
      <c r="Y708" t="str">
        <f t="shared" si="79"/>
        <v>Open</v>
      </c>
      <c r="Z708" t="str">
        <f t="shared" si="80"/>
        <v>Jan-2026</v>
      </c>
      <c r="AA708" t="str">
        <f t="shared" si="81"/>
        <v>Q1 2026</v>
      </c>
      <c r="AB708" s="4">
        <f t="shared" ca="1" si="82"/>
        <v>168</v>
      </c>
      <c r="AC708" t="str">
        <f t="shared" si="83"/>
        <v>Medium</v>
      </c>
    </row>
    <row r="709" spans="1:29">
      <c r="A709" t="s">
        <v>2813</v>
      </c>
      <c r="B709" s="2">
        <v>45806</v>
      </c>
      <c r="C709" t="s">
        <v>2060</v>
      </c>
      <c r="D709" t="s">
        <v>375</v>
      </c>
      <c r="E709" t="s">
        <v>2814</v>
      </c>
      <c r="F709" t="s">
        <v>2815</v>
      </c>
      <c r="G709" t="s">
        <v>47</v>
      </c>
      <c r="H709" t="s">
        <v>418</v>
      </c>
      <c r="I709" t="s">
        <v>98</v>
      </c>
      <c r="J709" t="s">
        <v>124</v>
      </c>
      <c r="K709" t="s">
        <v>194</v>
      </c>
      <c r="L709" t="s">
        <v>72</v>
      </c>
      <c r="M709" t="s">
        <v>90</v>
      </c>
      <c r="N709" t="s">
        <v>91</v>
      </c>
      <c r="O709" s="3">
        <v>290000</v>
      </c>
      <c r="P709" s="4">
        <v>50</v>
      </c>
      <c r="Q709" s="2">
        <v>45844</v>
      </c>
      <c r="R709" s="2">
        <v>46184</v>
      </c>
      <c r="S709" s="2">
        <v>45832</v>
      </c>
      <c r="T709" s="2"/>
      <c r="U709" t="str">
        <f t="shared" si="77"/>
        <v>No</v>
      </c>
      <c r="W7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09" t="str">
        <f t="shared" ca="1" si="78"/>
        <v>Overdue</v>
      </c>
      <c r="Y709" t="str">
        <f t="shared" si="79"/>
        <v>Open</v>
      </c>
      <c r="Z709" t="str">
        <f t="shared" si="80"/>
        <v>May-2025</v>
      </c>
      <c r="AA709" t="str">
        <f t="shared" si="81"/>
        <v>Q2 2025</v>
      </c>
      <c r="AB709" s="4">
        <f t="shared" ca="1" si="82"/>
        <v>393</v>
      </c>
      <c r="AC709" t="str">
        <f t="shared" si="83"/>
        <v>Medium</v>
      </c>
    </row>
    <row r="710" spans="1:29">
      <c r="A710" t="s">
        <v>2816</v>
      </c>
      <c r="B710" s="2">
        <v>45838</v>
      </c>
      <c r="C710" t="s">
        <v>2817</v>
      </c>
      <c r="D710" t="s">
        <v>1722</v>
      </c>
      <c r="E710" t="s">
        <v>2818</v>
      </c>
      <c r="F710" t="s">
        <v>2819</v>
      </c>
      <c r="G710" t="s">
        <v>179</v>
      </c>
      <c r="H710" t="s">
        <v>180</v>
      </c>
      <c r="I710" t="s">
        <v>36</v>
      </c>
      <c r="J710" t="s">
        <v>62</v>
      </c>
      <c r="K710" t="s">
        <v>114</v>
      </c>
      <c r="L710" t="s">
        <v>81</v>
      </c>
      <c r="M710" t="s">
        <v>166</v>
      </c>
      <c r="N710" t="s">
        <v>167</v>
      </c>
      <c r="O710" s="3">
        <v>335000</v>
      </c>
      <c r="P710" s="4">
        <v>65</v>
      </c>
      <c r="Q710" s="2">
        <v>45928</v>
      </c>
      <c r="R710" s="2">
        <v>46196</v>
      </c>
      <c r="S710" s="2">
        <v>45868</v>
      </c>
      <c r="T710" s="2"/>
      <c r="U710" t="str">
        <f t="shared" si="77"/>
        <v>No</v>
      </c>
      <c r="W7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0" t="str">
        <f t="shared" ca="1" si="78"/>
        <v>Overdue</v>
      </c>
      <c r="Y710" t="str">
        <f t="shared" si="79"/>
        <v>Open</v>
      </c>
      <c r="Z710" t="str">
        <f t="shared" si="80"/>
        <v>Jun-2025</v>
      </c>
      <c r="AA710" t="str">
        <f t="shared" si="81"/>
        <v>Q2 2025</v>
      </c>
      <c r="AB710" s="4">
        <f t="shared" ca="1" si="82"/>
        <v>361</v>
      </c>
      <c r="AC710" t="str">
        <f t="shared" si="83"/>
        <v>High</v>
      </c>
    </row>
    <row r="711" spans="1:29">
      <c r="A711" t="s">
        <v>2820</v>
      </c>
      <c r="B711" s="2">
        <v>45911</v>
      </c>
      <c r="C711" t="s">
        <v>2382</v>
      </c>
      <c r="D711" t="s">
        <v>1052</v>
      </c>
      <c r="E711" t="s">
        <v>2821</v>
      </c>
      <c r="F711" t="s">
        <v>2822</v>
      </c>
      <c r="G711" t="s">
        <v>179</v>
      </c>
      <c r="H711" t="s">
        <v>436</v>
      </c>
      <c r="I711" t="s">
        <v>98</v>
      </c>
      <c r="J711" t="s">
        <v>37</v>
      </c>
      <c r="K711" t="s">
        <v>38</v>
      </c>
      <c r="L711" t="s">
        <v>107</v>
      </c>
      <c r="M711" t="s">
        <v>90</v>
      </c>
      <c r="N711" t="s">
        <v>91</v>
      </c>
      <c r="O711" s="3">
        <v>110000</v>
      </c>
      <c r="P711" s="4">
        <v>50</v>
      </c>
      <c r="Q711" s="2">
        <v>45997</v>
      </c>
      <c r="R711" s="2">
        <v>46213</v>
      </c>
      <c r="S711" s="2">
        <v>45926</v>
      </c>
      <c r="T711" s="2"/>
      <c r="U711" t="str">
        <f t="shared" si="77"/>
        <v>No</v>
      </c>
      <c r="W7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1" t="str">
        <f t="shared" ca="1" si="78"/>
        <v>Due/Open</v>
      </c>
      <c r="Y711" t="str">
        <f t="shared" si="79"/>
        <v>Open</v>
      </c>
      <c r="Z711" t="str">
        <f t="shared" si="80"/>
        <v>Sep-2025</v>
      </c>
      <c r="AA711" t="str">
        <f t="shared" si="81"/>
        <v>Q3 2025</v>
      </c>
      <c r="AB711" s="4">
        <f t="shared" ca="1" si="82"/>
        <v>288</v>
      </c>
      <c r="AC711" t="str">
        <f t="shared" si="83"/>
        <v>Low</v>
      </c>
    </row>
    <row r="712" spans="1:29">
      <c r="A712" t="s">
        <v>2823</v>
      </c>
      <c r="B712" s="2">
        <v>46073</v>
      </c>
      <c r="C712" t="s">
        <v>1952</v>
      </c>
      <c r="D712" t="s">
        <v>742</v>
      </c>
      <c r="E712" t="s">
        <v>2824</v>
      </c>
      <c r="F712" t="s">
        <v>2825</v>
      </c>
      <c r="G712" t="s">
        <v>34</v>
      </c>
      <c r="H712" t="s">
        <v>173</v>
      </c>
      <c r="I712" t="s">
        <v>98</v>
      </c>
      <c r="J712" t="s">
        <v>124</v>
      </c>
      <c r="K712" t="s">
        <v>194</v>
      </c>
      <c r="L712" t="s">
        <v>107</v>
      </c>
      <c r="M712" t="s">
        <v>73</v>
      </c>
      <c r="N712" t="s">
        <v>73</v>
      </c>
      <c r="O712" s="3">
        <v>195000</v>
      </c>
      <c r="P712" s="4">
        <v>85</v>
      </c>
      <c r="Q712" s="2">
        <v>46096</v>
      </c>
      <c r="R712" s="2">
        <v>46239</v>
      </c>
      <c r="S712" s="2">
        <v>46090</v>
      </c>
      <c r="T712" s="2"/>
      <c r="U712" t="str">
        <f t="shared" si="77"/>
        <v>No</v>
      </c>
      <c r="W7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2" t="str">
        <f t="shared" ca="1" si="78"/>
        <v>Due/Open</v>
      </c>
      <c r="Y712" t="str">
        <f t="shared" si="79"/>
        <v>Open</v>
      </c>
      <c r="Z712" t="str">
        <f t="shared" si="80"/>
        <v>Feb-2026</v>
      </c>
      <c r="AA712" t="str">
        <f t="shared" si="81"/>
        <v>Q1 2026</v>
      </c>
      <c r="AB712" s="4">
        <f t="shared" ca="1" si="82"/>
        <v>126</v>
      </c>
      <c r="AC712" t="str">
        <f t="shared" si="83"/>
        <v>Medium</v>
      </c>
    </row>
    <row r="713" spans="1:29">
      <c r="A713" t="s">
        <v>2826</v>
      </c>
      <c r="B713" s="2">
        <v>46120</v>
      </c>
      <c r="C713" t="s">
        <v>2542</v>
      </c>
      <c r="D713" t="s">
        <v>2827</v>
      </c>
      <c r="E713" t="s">
        <v>2828</v>
      </c>
      <c r="F713" t="s">
        <v>2829</v>
      </c>
      <c r="G713" t="s">
        <v>69</v>
      </c>
      <c r="H713" t="s">
        <v>70</v>
      </c>
      <c r="I713" t="s">
        <v>141</v>
      </c>
      <c r="J713" t="s">
        <v>124</v>
      </c>
      <c r="K713" t="s">
        <v>100</v>
      </c>
      <c r="L713" t="s">
        <v>132</v>
      </c>
      <c r="M713" t="s">
        <v>116</v>
      </c>
      <c r="N713" t="s">
        <v>54</v>
      </c>
      <c r="O713" s="3">
        <v>180000</v>
      </c>
      <c r="P713" s="4">
        <v>20</v>
      </c>
      <c r="Q713" s="2">
        <v>46191</v>
      </c>
      <c r="R713" s="2">
        <v>46209</v>
      </c>
      <c r="S713" s="2">
        <v>46142</v>
      </c>
      <c r="T713" s="2"/>
      <c r="U713" t="str">
        <f t="shared" si="77"/>
        <v>No</v>
      </c>
      <c r="W7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3" t="str">
        <f t="shared" ca="1" si="78"/>
        <v>Due/Open</v>
      </c>
      <c r="Y713" t="str">
        <f t="shared" si="79"/>
        <v>Open</v>
      </c>
      <c r="Z713" t="str">
        <f t="shared" si="80"/>
        <v>Apr-2026</v>
      </c>
      <c r="AA713" t="str">
        <f t="shared" si="81"/>
        <v>Q2 2026</v>
      </c>
      <c r="AB713" s="4">
        <f t="shared" ca="1" si="82"/>
        <v>79</v>
      </c>
      <c r="AC713" t="str">
        <f t="shared" si="83"/>
        <v>Medium</v>
      </c>
    </row>
    <row r="714" spans="1:29">
      <c r="A714" t="s">
        <v>2830</v>
      </c>
      <c r="B714" s="2">
        <v>46100</v>
      </c>
      <c r="C714" t="s">
        <v>2831</v>
      </c>
      <c r="D714" t="s">
        <v>247</v>
      </c>
      <c r="E714" t="s">
        <v>2832</v>
      </c>
      <c r="F714" t="s">
        <v>2833</v>
      </c>
      <c r="G714" t="s">
        <v>179</v>
      </c>
      <c r="H714" t="s">
        <v>318</v>
      </c>
      <c r="I714" t="s">
        <v>187</v>
      </c>
      <c r="J714" t="s">
        <v>99</v>
      </c>
      <c r="K714" t="s">
        <v>100</v>
      </c>
      <c r="L714" t="s">
        <v>239</v>
      </c>
      <c r="M714" t="s">
        <v>82</v>
      </c>
      <c r="N714" t="s">
        <v>83</v>
      </c>
      <c r="O714" s="3">
        <v>175000</v>
      </c>
      <c r="P714" s="4">
        <v>5</v>
      </c>
      <c r="Q714" s="2">
        <v>46178</v>
      </c>
      <c r="R714" s="2">
        <v>46215</v>
      </c>
      <c r="S714" s="2">
        <v>46126</v>
      </c>
      <c r="T714" s="2"/>
      <c r="U714" t="str">
        <f t="shared" si="77"/>
        <v>No</v>
      </c>
      <c r="W7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4" t="str">
        <f t="shared" ca="1" si="78"/>
        <v>Due/Open</v>
      </c>
      <c r="Y714" t="str">
        <f t="shared" si="79"/>
        <v>Open</v>
      </c>
      <c r="Z714" t="str">
        <f t="shared" si="80"/>
        <v>Mar-2026</v>
      </c>
      <c r="AA714" t="str">
        <f t="shared" si="81"/>
        <v>Q1 2026</v>
      </c>
      <c r="AB714" s="4">
        <f t="shared" ca="1" si="82"/>
        <v>99</v>
      </c>
      <c r="AC714" t="str">
        <f t="shared" si="83"/>
        <v>Medium</v>
      </c>
    </row>
    <row r="715" spans="1:29">
      <c r="A715" t="s">
        <v>2834</v>
      </c>
      <c r="B715" s="2">
        <v>45925</v>
      </c>
      <c r="C715" t="s">
        <v>1107</v>
      </c>
      <c r="D715" t="s">
        <v>1118</v>
      </c>
      <c r="E715" t="s">
        <v>2835</v>
      </c>
      <c r="F715" t="s">
        <v>2836</v>
      </c>
      <c r="G715" t="s">
        <v>47</v>
      </c>
      <c r="H715" t="s">
        <v>418</v>
      </c>
      <c r="I715" t="s">
        <v>187</v>
      </c>
      <c r="J715" t="s">
        <v>62</v>
      </c>
      <c r="K715" t="s">
        <v>51</v>
      </c>
      <c r="L715" t="s">
        <v>239</v>
      </c>
      <c r="M715" t="s">
        <v>53</v>
      </c>
      <c r="N715" t="s">
        <v>54</v>
      </c>
      <c r="O715" s="3">
        <v>215000</v>
      </c>
      <c r="P715" s="4">
        <v>25</v>
      </c>
      <c r="Q715" s="2">
        <v>45972</v>
      </c>
      <c r="R715" s="2">
        <v>46188</v>
      </c>
      <c r="S715" s="2">
        <v>45932</v>
      </c>
      <c r="T715" s="2"/>
      <c r="U715" t="str">
        <f t="shared" si="77"/>
        <v>No</v>
      </c>
      <c r="W7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5" t="str">
        <f t="shared" ca="1" si="78"/>
        <v>Overdue</v>
      </c>
      <c r="Y715" t="str">
        <f t="shared" si="79"/>
        <v>Open</v>
      </c>
      <c r="Z715" t="str">
        <f t="shared" si="80"/>
        <v>Sep-2025</v>
      </c>
      <c r="AA715" t="str">
        <f t="shared" si="81"/>
        <v>Q3 2025</v>
      </c>
      <c r="AB715" s="4">
        <f t="shared" ca="1" si="82"/>
        <v>274</v>
      </c>
      <c r="AC715" t="str">
        <f t="shared" si="83"/>
        <v>Medium</v>
      </c>
    </row>
    <row r="716" spans="1:29">
      <c r="A716" t="s">
        <v>2837</v>
      </c>
      <c r="B716" s="2">
        <v>46145</v>
      </c>
      <c r="C716" t="s">
        <v>2838</v>
      </c>
      <c r="D716" t="s">
        <v>590</v>
      </c>
      <c r="E716" t="s">
        <v>2839</v>
      </c>
      <c r="F716" t="s">
        <v>2840</v>
      </c>
      <c r="G716" t="s">
        <v>69</v>
      </c>
      <c r="H716" t="s">
        <v>312</v>
      </c>
      <c r="I716" t="s">
        <v>49</v>
      </c>
      <c r="J716" t="s">
        <v>131</v>
      </c>
      <c r="K716" t="s">
        <v>114</v>
      </c>
      <c r="L716" t="s">
        <v>115</v>
      </c>
      <c r="M716" t="s">
        <v>90</v>
      </c>
      <c r="N716" t="s">
        <v>91</v>
      </c>
      <c r="O716" s="3">
        <v>320000</v>
      </c>
      <c r="P716" s="4">
        <v>55</v>
      </c>
      <c r="Q716" s="2">
        <v>46172</v>
      </c>
      <c r="R716" s="2">
        <v>46199</v>
      </c>
      <c r="S716" s="2">
        <v>46157</v>
      </c>
      <c r="T716" s="2"/>
      <c r="U716" t="str">
        <f t="shared" si="77"/>
        <v>No</v>
      </c>
      <c r="W7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6" t="str">
        <f t="shared" ca="1" si="78"/>
        <v>Due/Open</v>
      </c>
      <c r="Y716" t="str">
        <f t="shared" si="79"/>
        <v>Open</v>
      </c>
      <c r="Z716" t="str">
        <f t="shared" si="80"/>
        <v>May-2026</v>
      </c>
      <c r="AA716" t="str">
        <f t="shared" si="81"/>
        <v>Q2 2026</v>
      </c>
      <c r="AB716" s="4">
        <f t="shared" ca="1" si="82"/>
        <v>54</v>
      </c>
      <c r="AC716" t="str">
        <f t="shared" si="83"/>
        <v>High</v>
      </c>
    </row>
    <row r="717" spans="1:29">
      <c r="A717" t="s">
        <v>2841</v>
      </c>
      <c r="B717" s="2">
        <v>46007</v>
      </c>
      <c r="C717" t="s">
        <v>383</v>
      </c>
      <c r="D717" t="s">
        <v>517</v>
      </c>
      <c r="E717" t="s">
        <v>2842</v>
      </c>
      <c r="F717" t="s">
        <v>2843</v>
      </c>
      <c r="G717" t="s">
        <v>69</v>
      </c>
      <c r="H717" t="s">
        <v>200</v>
      </c>
      <c r="I717" t="s">
        <v>49</v>
      </c>
      <c r="J717" t="s">
        <v>99</v>
      </c>
      <c r="K717" t="s">
        <v>51</v>
      </c>
      <c r="L717" t="s">
        <v>132</v>
      </c>
      <c r="M717" t="s">
        <v>90</v>
      </c>
      <c r="N717" t="s">
        <v>91</v>
      </c>
      <c r="O717" s="3">
        <v>290000</v>
      </c>
      <c r="P717" s="4">
        <v>50</v>
      </c>
      <c r="Q717" s="2">
        <v>46043</v>
      </c>
      <c r="R717" s="2">
        <v>46165</v>
      </c>
      <c r="S717" s="2">
        <v>46020</v>
      </c>
      <c r="T717" s="2"/>
      <c r="U717" t="str">
        <f t="shared" si="77"/>
        <v>No</v>
      </c>
      <c r="W7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17" t="str">
        <f t="shared" ca="1" si="78"/>
        <v>Overdue</v>
      </c>
      <c r="Y717" t="str">
        <f t="shared" si="79"/>
        <v>Open</v>
      </c>
      <c r="Z717" t="str">
        <f t="shared" si="80"/>
        <v>Dec-2025</v>
      </c>
      <c r="AA717" t="str">
        <f t="shared" si="81"/>
        <v>Q4 2025</v>
      </c>
      <c r="AB717" s="4">
        <f t="shared" ca="1" si="82"/>
        <v>192</v>
      </c>
      <c r="AC717" t="str">
        <f t="shared" si="83"/>
        <v>Medium</v>
      </c>
    </row>
    <row r="718" spans="1:29">
      <c r="A718" t="s">
        <v>2844</v>
      </c>
      <c r="B718" s="2">
        <v>45668</v>
      </c>
      <c r="C718" t="s">
        <v>499</v>
      </c>
      <c r="D718" t="s">
        <v>1315</v>
      </c>
      <c r="E718" t="s">
        <v>2845</v>
      </c>
      <c r="F718" t="s">
        <v>2846</v>
      </c>
      <c r="G718" t="s">
        <v>69</v>
      </c>
      <c r="H718" t="s">
        <v>70</v>
      </c>
      <c r="I718" t="s">
        <v>187</v>
      </c>
      <c r="J718" t="s">
        <v>37</v>
      </c>
      <c r="K718" t="s">
        <v>51</v>
      </c>
      <c r="L718" t="s">
        <v>142</v>
      </c>
      <c r="M718" t="s">
        <v>133</v>
      </c>
      <c r="N718" t="s">
        <v>134</v>
      </c>
      <c r="O718" s="3">
        <v>55000</v>
      </c>
      <c r="P718" s="4">
        <v>0</v>
      </c>
      <c r="Q718" s="2">
        <v>45682</v>
      </c>
      <c r="R718" s="2"/>
      <c r="S718" s="2">
        <v>45686</v>
      </c>
      <c r="T718" s="2">
        <v>45682</v>
      </c>
      <c r="U718" t="str">
        <f t="shared" si="77"/>
        <v>No</v>
      </c>
      <c r="V718" t="s">
        <v>211</v>
      </c>
      <c r="W71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718" t="str">
        <f t="shared" ca="1" si="78"/>
        <v>Closed</v>
      </c>
      <c r="Y718" t="str">
        <f t="shared" si="79"/>
        <v>Closed</v>
      </c>
      <c r="Z718" t="str">
        <f t="shared" si="80"/>
        <v>Jan-2025</v>
      </c>
      <c r="AA718" t="str">
        <f t="shared" si="81"/>
        <v>Q1 2025</v>
      </c>
      <c r="AB718" s="4">
        <f t="shared" ca="1" si="82"/>
        <v>531</v>
      </c>
      <c r="AC718" t="str">
        <f t="shared" si="83"/>
        <v>Low</v>
      </c>
    </row>
    <row r="719" spans="1:29">
      <c r="A719" t="s">
        <v>2847</v>
      </c>
      <c r="B719" s="2">
        <v>46032</v>
      </c>
      <c r="C719" t="s">
        <v>1651</v>
      </c>
      <c r="D719" t="s">
        <v>327</v>
      </c>
      <c r="E719" t="s">
        <v>2848</v>
      </c>
      <c r="F719" t="s">
        <v>2849</v>
      </c>
      <c r="G719" t="s">
        <v>47</v>
      </c>
      <c r="H719" t="s">
        <v>418</v>
      </c>
      <c r="I719" t="s">
        <v>141</v>
      </c>
      <c r="J719" t="s">
        <v>37</v>
      </c>
      <c r="K719" t="s">
        <v>114</v>
      </c>
      <c r="L719" t="s">
        <v>81</v>
      </c>
      <c r="M719" t="s">
        <v>133</v>
      </c>
      <c r="N719" t="s">
        <v>134</v>
      </c>
      <c r="O719" s="3">
        <v>45000</v>
      </c>
      <c r="P719" s="4">
        <v>0</v>
      </c>
      <c r="Q719" s="2">
        <v>46065</v>
      </c>
      <c r="R719" s="2"/>
      <c r="S719" s="2">
        <v>46055</v>
      </c>
      <c r="T719" s="2">
        <v>46065</v>
      </c>
      <c r="U719" t="str">
        <f t="shared" si="77"/>
        <v>No</v>
      </c>
      <c r="V719" t="s">
        <v>1105</v>
      </c>
      <c r="W71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33</v>
      </c>
      <c r="X719" t="str">
        <f t="shared" ca="1" si="78"/>
        <v>Closed</v>
      </c>
      <c r="Y719" t="str">
        <f t="shared" si="79"/>
        <v>Closed</v>
      </c>
      <c r="Z719" t="str">
        <f t="shared" si="80"/>
        <v>Jan-2026</v>
      </c>
      <c r="AA719" t="str">
        <f t="shared" si="81"/>
        <v>Q1 2026</v>
      </c>
      <c r="AB719" s="4">
        <f t="shared" ca="1" si="82"/>
        <v>167</v>
      </c>
      <c r="AC719" t="str">
        <f t="shared" si="83"/>
        <v>Low</v>
      </c>
    </row>
    <row r="720" spans="1:29">
      <c r="A720" t="s">
        <v>2850</v>
      </c>
      <c r="B720" s="2">
        <v>45823</v>
      </c>
      <c r="C720" t="s">
        <v>783</v>
      </c>
      <c r="D720" t="s">
        <v>337</v>
      </c>
      <c r="E720" t="s">
        <v>2851</v>
      </c>
      <c r="F720" t="s">
        <v>2852</v>
      </c>
      <c r="G720" t="s">
        <v>179</v>
      </c>
      <c r="H720" t="s">
        <v>487</v>
      </c>
      <c r="I720" t="s">
        <v>187</v>
      </c>
      <c r="J720" t="s">
        <v>99</v>
      </c>
      <c r="K720" t="s">
        <v>194</v>
      </c>
      <c r="L720" t="s">
        <v>132</v>
      </c>
      <c r="M720" t="s">
        <v>53</v>
      </c>
      <c r="N720" t="s">
        <v>54</v>
      </c>
      <c r="O720" s="3">
        <v>340000</v>
      </c>
      <c r="P720" s="4">
        <v>30</v>
      </c>
      <c r="Q720" s="2">
        <v>45915</v>
      </c>
      <c r="R720" s="2">
        <v>46203</v>
      </c>
      <c r="S720" s="2">
        <v>45849</v>
      </c>
      <c r="T720" s="2"/>
      <c r="U720" t="str">
        <f t="shared" si="77"/>
        <v>No</v>
      </c>
      <c r="W7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0" t="str">
        <f t="shared" ca="1" si="78"/>
        <v>Due/Open</v>
      </c>
      <c r="Y720" t="str">
        <f t="shared" si="79"/>
        <v>Open</v>
      </c>
      <c r="Z720" t="str">
        <f t="shared" si="80"/>
        <v>Jun-2025</v>
      </c>
      <c r="AA720" t="str">
        <f t="shared" si="81"/>
        <v>Q2 2025</v>
      </c>
      <c r="AB720" s="4">
        <f t="shared" ca="1" si="82"/>
        <v>376</v>
      </c>
      <c r="AC720" t="str">
        <f t="shared" si="83"/>
        <v>High</v>
      </c>
    </row>
    <row r="721" spans="1:29">
      <c r="A721" t="s">
        <v>2853</v>
      </c>
      <c r="B721" s="2">
        <v>46047</v>
      </c>
      <c r="C721" t="s">
        <v>1323</v>
      </c>
      <c r="D721" t="s">
        <v>767</v>
      </c>
      <c r="E721" t="s">
        <v>2854</v>
      </c>
      <c r="F721" t="s">
        <v>2855</v>
      </c>
      <c r="G721" t="s">
        <v>47</v>
      </c>
      <c r="H721" t="s">
        <v>113</v>
      </c>
      <c r="I721" t="s">
        <v>141</v>
      </c>
      <c r="J721" t="s">
        <v>99</v>
      </c>
      <c r="K721" t="s">
        <v>194</v>
      </c>
      <c r="L721" t="s">
        <v>81</v>
      </c>
      <c r="M721" t="s">
        <v>40</v>
      </c>
      <c r="N721" t="s">
        <v>41</v>
      </c>
      <c r="O721" s="3">
        <v>435000</v>
      </c>
      <c r="P721" s="4">
        <v>100</v>
      </c>
      <c r="Q721" s="2">
        <v>46093</v>
      </c>
      <c r="R721" s="2"/>
      <c r="S721" s="2">
        <v>46064</v>
      </c>
      <c r="T721" s="2">
        <v>46093</v>
      </c>
      <c r="U721" t="str">
        <f t="shared" si="77"/>
        <v>Yes</v>
      </c>
      <c r="W72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721" t="str">
        <f t="shared" ca="1" si="78"/>
        <v>Closed</v>
      </c>
      <c r="Y721" t="str">
        <f t="shared" si="79"/>
        <v>Closed</v>
      </c>
      <c r="Z721" t="str">
        <f t="shared" si="80"/>
        <v>Jan-2026</v>
      </c>
      <c r="AA721" t="str">
        <f t="shared" si="81"/>
        <v>Q1 2026</v>
      </c>
      <c r="AB721" s="4">
        <f t="shared" ca="1" si="82"/>
        <v>152</v>
      </c>
      <c r="AC721" t="str">
        <f t="shared" si="83"/>
        <v>High</v>
      </c>
    </row>
    <row r="722" spans="1:29">
      <c r="A722" t="s">
        <v>2856</v>
      </c>
      <c r="B722" s="2">
        <v>45689</v>
      </c>
      <c r="C722" t="s">
        <v>56</v>
      </c>
      <c r="D722" t="s">
        <v>288</v>
      </c>
      <c r="E722" t="s">
        <v>2857</v>
      </c>
      <c r="F722" t="s">
        <v>2858</v>
      </c>
      <c r="G722" t="s">
        <v>79</v>
      </c>
      <c r="H722" t="s">
        <v>217</v>
      </c>
      <c r="I722" t="s">
        <v>36</v>
      </c>
      <c r="J722" t="s">
        <v>62</v>
      </c>
      <c r="K722" t="s">
        <v>51</v>
      </c>
      <c r="L722" t="s">
        <v>132</v>
      </c>
      <c r="M722" t="s">
        <v>73</v>
      </c>
      <c r="N722" t="s">
        <v>73</v>
      </c>
      <c r="O722" s="3">
        <v>445000</v>
      </c>
      <c r="P722" s="4">
        <v>80</v>
      </c>
      <c r="Q722" s="2">
        <v>45760</v>
      </c>
      <c r="R722" s="2">
        <v>46210</v>
      </c>
      <c r="S722" s="2">
        <v>45708</v>
      </c>
      <c r="T722" s="2"/>
      <c r="U722" t="str">
        <f t="shared" si="77"/>
        <v>No</v>
      </c>
      <c r="W7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2" t="str">
        <f t="shared" ca="1" si="78"/>
        <v>Due/Open</v>
      </c>
      <c r="Y722" t="str">
        <f t="shared" si="79"/>
        <v>Open</v>
      </c>
      <c r="Z722" t="str">
        <f t="shared" si="80"/>
        <v>Feb-2025</v>
      </c>
      <c r="AA722" t="str">
        <f t="shared" si="81"/>
        <v>Q1 2025</v>
      </c>
      <c r="AB722" s="4">
        <f t="shared" ca="1" si="82"/>
        <v>510</v>
      </c>
      <c r="AC722" t="str">
        <f t="shared" si="83"/>
        <v>High</v>
      </c>
    </row>
    <row r="723" spans="1:29">
      <c r="A723" t="s">
        <v>2859</v>
      </c>
      <c r="B723" s="2">
        <v>45961</v>
      </c>
      <c r="C723" t="s">
        <v>292</v>
      </c>
      <c r="D723" t="s">
        <v>742</v>
      </c>
      <c r="E723" t="s">
        <v>2860</v>
      </c>
      <c r="F723" t="s">
        <v>2861</v>
      </c>
      <c r="G723" t="s">
        <v>79</v>
      </c>
      <c r="H723" t="s">
        <v>106</v>
      </c>
      <c r="I723" t="s">
        <v>187</v>
      </c>
      <c r="J723" t="s">
        <v>99</v>
      </c>
      <c r="K723" t="s">
        <v>71</v>
      </c>
      <c r="L723" t="s">
        <v>132</v>
      </c>
      <c r="M723" t="s">
        <v>40</v>
      </c>
      <c r="N723" t="s">
        <v>41</v>
      </c>
      <c r="O723" s="3">
        <v>305000</v>
      </c>
      <c r="P723" s="4">
        <v>100</v>
      </c>
      <c r="Q723" s="2">
        <v>45976</v>
      </c>
      <c r="R723" s="2"/>
      <c r="S723" s="2">
        <v>45977</v>
      </c>
      <c r="T723" s="2">
        <v>45976</v>
      </c>
      <c r="U723" t="str">
        <f t="shared" si="77"/>
        <v>Yes</v>
      </c>
      <c r="W7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15</v>
      </c>
      <c r="X723" t="str">
        <f t="shared" ca="1" si="78"/>
        <v>Closed</v>
      </c>
      <c r="Y723" t="str">
        <f t="shared" si="79"/>
        <v>Closed</v>
      </c>
      <c r="Z723" t="str">
        <f t="shared" si="80"/>
        <v>Oct-2025</v>
      </c>
      <c r="AA723" t="str">
        <f t="shared" si="81"/>
        <v>Q4 2025</v>
      </c>
      <c r="AB723" s="4">
        <f t="shared" ca="1" si="82"/>
        <v>238</v>
      </c>
      <c r="AC723" t="str">
        <f t="shared" si="83"/>
        <v>High</v>
      </c>
    </row>
    <row r="724" spans="1:29">
      <c r="A724" t="s">
        <v>2862</v>
      </c>
      <c r="B724" s="2">
        <v>45733</v>
      </c>
      <c r="C724" t="s">
        <v>351</v>
      </c>
      <c r="D724" t="s">
        <v>895</v>
      </c>
      <c r="E724" t="s">
        <v>2863</v>
      </c>
      <c r="F724" t="s">
        <v>2864</v>
      </c>
      <c r="G724" t="s">
        <v>34</v>
      </c>
      <c r="H724" t="s">
        <v>160</v>
      </c>
      <c r="I724" t="s">
        <v>49</v>
      </c>
      <c r="J724" t="s">
        <v>50</v>
      </c>
      <c r="K724" t="s">
        <v>71</v>
      </c>
      <c r="L724" t="s">
        <v>63</v>
      </c>
      <c r="M724" t="s">
        <v>90</v>
      </c>
      <c r="N724" t="s">
        <v>91</v>
      </c>
      <c r="O724" s="3">
        <v>280000</v>
      </c>
      <c r="P724" s="4">
        <v>50</v>
      </c>
      <c r="Q724" s="2">
        <v>45763</v>
      </c>
      <c r="R724" s="2">
        <v>46162</v>
      </c>
      <c r="S724" s="2">
        <v>45753</v>
      </c>
      <c r="T724" s="2"/>
      <c r="U724" t="str">
        <f t="shared" si="77"/>
        <v>No</v>
      </c>
      <c r="W7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4" t="str">
        <f t="shared" ca="1" si="78"/>
        <v>Overdue</v>
      </c>
      <c r="Y724" t="str">
        <f t="shared" si="79"/>
        <v>Open</v>
      </c>
      <c r="Z724" t="str">
        <f t="shared" si="80"/>
        <v>Mar-2025</v>
      </c>
      <c r="AA724" t="str">
        <f t="shared" si="81"/>
        <v>Q1 2025</v>
      </c>
      <c r="AB724" s="4">
        <f t="shared" ca="1" si="82"/>
        <v>466</v>
      </c>
      <c r="AC724" t="str">
        <f t="shared" si="83"/>
        <v>Medium</v>
      </c>
    </row>
    <row r="725" spans="1:29">
      <c r="A725" t="s">
        <v>2865</v>
      </c>
      <c r="B725" s="2">
        <v>46184</v>
      </c>
      <c r="C725" t="s">
        <v>618</v>
      </c>
      <c r="D725" t="s">
        <v>747</v>
      </c>
      <c r="E725" t="s">
        <v>2866</v>
      </c>
      <c r="F725" t="s">
        <v>2867</v>
      </c>
      <c r="G725" t="s">
        <v>69</v>
      </c>
      <c r="H725" t="s">
        <v>270</v>
      </c>
      <c r="I725" t="s">
        <v>98</v>
      </c>
      <c r="J725" t="s">
        <v>37</v>
      </c>
      <c r="K725" t="s">
        <v>51</v>
      </c>
      <c r="L725" t="s">
        <v>132</v>
      </c>
      <c r="M725" t="s">
        <v>90</v>
      </c>
      <c r="N725" t="s">
        <v>91</v>
      </c>
      <c r="O725" s="3">
        <v>160000</v>
      </c>
      <c r="P725" s="4">
        <v>50</v>
      </c>
      <c r="Q725" s="2">
        <v>46276</v>
      </c>
      <c r="R725" s="2">
        <v>46193</v>
      </c>
      <c r="S725" s="2">
        <v>46189</v>
      </c>
      <c r="T725" s="2"/>
      <c r="U725" t="str">
        <f t="shared" si="77"/>
        <v>No</v>
      </c>
      <c r="W7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5" t="str">
        <f t="shared" ca="1" si="78"/>
        <v>Overdue</v>
      </c>
      <c r="Y725" t="str">
        <f t="shared" si="79"/>
        <v>Open</v>
      </c>
      <c r="Z725" t="str">
        <f t="shared" si="80"/>
        <v>Jun-2026</v>
      </c>
      <c r="AA725" t="str">
        <f t="shared" si="81"/>
        <v>Q2 2026</v>
      </c>
      <c r="AB725" s="4">
        <f t="shared" ca="1" si="82"/>
        <v>15</v>
      </c>
      <c r="AC725" t="str">
        <f t="shared" si="83"/>
        <v>Medium</v>
      </c>
    </row>
    <row r="726" spans="1:29">
      <c r="A726" t="s">
        <v>2868</v>
      </c>
      <c r="B726" s="2">
        <v>45749</v>
      </c>
      <c r="C726" t="s">
        <v>1525</v>
      </c>
      <c r="D726" t="s">
        <v>163</v>
      </c>
      <c r="E726" t="s">
        <v>2869</v>
      </c>
      <c r="F726" t="s">
        <v>2870</v>
      </c>
      <c r="G726" t="s">
        <v>179</v>
      </c>
      <c r="H726" t="s">
        <v>487</v>
      </c>
      <c r="I726" t="s">
        <v>148</v>
      </c>
      <c r="J726" t="s">
        <v>50</v>
      </c>
      <c r="K726" t="s">
        <v>38</v>
      </c>
      <c r="L726" t="s">
        <v>52</v>
      </c>
      <c r="M726" t="s">
        <v>82</v>
      </c>
      <c r="N726" t="s">
        <v>83</v>
      </c>
      <c r="O726" s="3">
        <v>205000</v>
      </c>
      <c r="P726" s="4">
        <v>5</v>
      </c>
      <c r="Q726" s="2">
        <v>45799</v>
      </c>
      <c r="R726" s="2">
        <v>46232</v>
      </c>
      <c r="S726" s="2">
        <v>45778</v>
      </c>
      <c r="T726" s="2"/>
      <c r="U726" t="str">
        <f t="shared" si="77"/>
        <v>No</v>
      </c>
      <c r="W7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6" t="str">
        <f t="shared" ca="1" si="78"/>
        <v>Due/Open</v>
      </c>
      <c r="Y726" t="str">
        <f t="shared" si="79"/>
        <v>Open</v>
      </c>
      <c r="Z726" t="str">
        <f t="shared" si="80"/>
        <v>Apr-2025</v>
      </c>
      <c r="AA726" t="str">
        <f t="shared" si="81"/>
        <v>Q2 2025</v>
      </c>
      <c r="AB726" s="4">
        <f t="shared" ca="1" si="82"/>
        <v>450</v>
      </c>
      <c r="AC726" t="str">
        <f t="shared" si="83"/>
        <v>Medium</v>
      </c>
    </row>
    <row r="727" spans="1:29">
      <c r="A727" t="s">
        <v>2871</v>
      </c>
      <c r="B727" s="2">
        <v>45696</v>
      </c>
      <c r="C727" t="s">
        <v>2872</v>
      </c>
      <c r="D727" t="s">
        <v>94</v>
      </c>
      <c r="E727" t="s">
        <v>2873</v>
      </c>
      <c r="F727" t="s">
        <v>2874</v>
      </c>
      <c r="G727" t="s">
        <v>34</v>
      </c>
      <c r="H727" t="s">
        <v>35</v>
      </c>
      <c r="I727" t="s">
        <v>123</v>
      </c>
      <c r="J727" t="s">
        <v>99</v>
      </c>
      <c r="K727" t="s">
        <v>51</v>
      </c>
      <c r="L727" t="s">
        <v>52</v>
      </c>
      <c r="M727" t="s">
        <v>116</v>
      </c>
      <c r="N727" t="s">
        <v>54</v>
      </c>
      <c r="O727" s="3">
        <v>520000</v>
      </c>
      <c r="P727" s="4">
        <v>15</v>
      </c>
      <c r="Q727" s="2">
        <v>45742</v>
      </c>
      <c r="R727" s="2">
        <v>46227</v>
      </c>
      <c r="S727" s="2">
        <v>45702</v>
      </c>
      <c r="T727" s="2"/>
      <c r="U727" t="str">
        <f t="shared" si="77"/>
        <v>No</v>
      </c>
      <c r="W7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7" t="str">
        <f t="shared" ca="1" si="78"/>
        <v>Due/Open</v>
      </c>
      <c r="Y727" t="str">
        <f t="shared" si="79"/>
        <v>Open</v>
      </c>
      <c r="Z727" t="str">
        <f t="shared" si="80"/>
        <v>Feb-2025</v>
      </c>
      <c r="AA727" t="str">
        <f t="shared" si="81"/>
        <v>Q1 2025</v>
      </c>
      <c r="AB727" s="4">
        <f t="shared" ca="1" si="82"/>
        <v>503</v>
      </c>
      <c r="AC727" t="str">
        <f t="shared" si="83"/>
        <v>High</v>
      </c>
    </row>
    <row r="728" spans="1:29">
      <c r="A728" t="s">
        <v>2875</v>
      </c>
      <c r="B728" s="2">
        <v>45659</v>
      </c>
      <c r="C728" t="s">
        <v>2126</v>
      </c>
      <c r="D728" t="s">
        <v>1043</v>
      </c>
      <c r="E728" t="s">
        <v>2876</v>
      </c>
      <c r="F728" t="s">
        <v>2877</v>
      </c>
      <c r="G728" t="s">
        <v>34</v>
      </c>
      <c r="H728" t="s">
        <v>160</v>
      </c>
      <c r="I728" t="s">
        <v>141</v>
      </c>
      <c r="J728" t="s">
        <v>99</v>
      </c>
      <c r="K728" t="s">
        <v>51</v>
      </c>
      <c r="L728" t="s">
        <v>52</v>
      </c>
      <c r="M728" t="s">
        <v>166</v>
      </c>
      <c r="N728" t="s">
        <v>167</v>
      </c>
      <c r="O728" s="3">
        <v>315000</v>
      </c>
      <c r="P728" s="4">
        <v>60</v>
      </c>
      <c r="Q728" s="2">
        <v>45689</v>
      </c>
      <c r="R728" s="2">
        <v>46233</v>
      </c>
      <c r="S728" s="2">
        <v>45683</v>
      </c>
      <c r="T728" s="2"/>
      <c r="U728" t="str">
        <f t="shared" si="77"/>
        <v>No</v>
      </c>
      <c r="W7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28" t="str">
        <f t="shared" ca="1" si="78"/>
        <v>Due/Open</v>
      </c>
      <c r="Y728" t="str">
        <f t="shared" si="79"/>
        <v>Open</v>
      </c>
      <c r="Z728" t="str">
        <f t="shared" si="80"/>
        <v>Jan-2025</v>
      </c>
      <c r="AA728" t="str">
        <f t="shared" si="81"/>
        <v>Q1 2025</v>
      </c>
      <c r="AB728" s="4">
        <f t="shared" ca="1" si="82"/>
        <v>540</v>
      </c>
      <c r="AC728" t="str">
        <f t="shared" si="83"/>
        <v>High</v>
      </c>
    </row>
    <row r="729" spans="1:29">
      <c r="A729" t="s">
        <v>2878</v>
      </c>
      <c r="B729" s="2">
        <v>45661</v>
      </c>
      <c r="C729" t="s">
        <v>921</v>
      </c>
      <c r="D729" t="s">
        <v>1052</v>
      </c>
      <c r="E729" t="s">
        <v>2879</v>
      </c>
      <c r="F729" t="s">
        <v>2880</v>
      </c>
      <c r="G729" t="s">
        <v>34</v>
      </c>
      <c r="H729" t="s">
        <v>238</v>
      </c>
      <c r="I729" t="s">
        <v>148</v>
      </c>
      <c r="J729" t="s">
        <v>99</v>
      </c>
      <c r="K729" t="s">
        <v>71</v>
      </c>
      <c r="L729" t="s">
        <v>107</v>
      </c>
      <c r="M729" t="s">
        <v>133</v>
      </c>
      <c r="N729" t="s">
        <v>134</v>
      </c>
      <c r="O729" s="3">
        <v>195000</v>
      </c>
      <c r="P729" s="4">
        <v>0</v>
      </c>
      <c r="Q729" s="2">
        <v>45707</v>
      </c>
      <c r="R729" s="2"/>
      <c r="S729" s="2">
        <v>45673</v>
      </c>
      <c r="T729" s="2">
        <v>45707</v>
      </c>
      <c r="U729" t="str">
        <f t="shared" si="77"/>
        <v>No</v>
      </c>
      <c r="V729" t="s">
        <v>1105</v>
      </c>
      <c r="W7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729" t="str">
        <f t="shared" ca="1" si="78"/>
        <v>Closed</v>
      </c>
      <c r="Y729" t="str">
        <f t="shared" si="79"/>
        <v>Closed</v>
      </c>
      <c r="Z729" t="str">
        <f t="shared" si="80"/>
        <v>Jan-2025</v>
      </c>
      <c r="AA729" t="str">
        <f t="shared" si="81"/>
        <v>Q1 2025</v>
      </c>
      <c r="AB729" s="4">
        <f t="shared" ca="1" si="82"/>
        <v>538</v>
      </c>
      <c r="AC729" t="str">
        <f t="shared" si="83"/>
        <v>Medium</v>
      </c>
    </row>
    <row r="730" spans="1:29">
      <c r="A730" t="s">
        <v>2881</v>
      </c>
      <c r="B730" s="2">
        <v>45880</v>
      </c>
      <c r="C730" t="s">
        <v>2038</v>
      </c>
      <c r="D730" t="s">
        <v>1722</v>
      </c>
      <c r="E730" t="s">
        <v>2882</v>
      </c>
      <c r="F730" t="s">
        <v>2883</v>
      </c>
      <c r="G730" t="s">
        <v>179</v>
      </c>
      <c r="H730" t="s">
        <v>487</v>
      </c>
      <c r="I730" t="s">
        <v>61</v>
      </c>
      <c r="J730" t="s">
        <v>131</v>
      </c>
      <c r="K730" t="s">
        <v>38</v>
      </c>
      <c r="L730" t="s">
        <v>154</v>
      </c>
      <c r="M730" t="s">
        <v>53</v>
      </c>
      <c r="N730" t="s">
        <v>54</v>
      </c>
      <c r="O730" s="3">
        <v>165000</v>
      </c>
      <c r="P730" s="4">
        <v>35</v>
      </c>
      <c r="Q730" s="2">
        <v>45922</v>
      </c>
      <c r="R730" s="2">
        <v>46212</v>
      </c>
      <c r="S730" s="2">
        <v>45895</v>
      </c>
      <c r="T730" s="2"/>
      <c r="U730" t="str">
        <f t="shared" si="77"/>
        <v>No</v>
      </c>
      <c r="W7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0" t="str">
        <f t="shared" ca="1" si="78"/>
        <v>Due/Open</v>
      </c>
      <c r="Y730" t="str">
        <f t="shared" si="79"/>
        <v>Open</v>
      </c>
      <c r="Z730" t="str">
        <f t="shared" si="80"/>
        <v>Aug-2025</v>
      </c>
      <c r="AA730" t="str">
        <f t="shared" si="81"/>
        <v>Q3 2025</v>
      </c>
      <c r="AB730" s="4">
        <f t="shared" ca="1" si="82"/>
        <v>319</v>
      </c>
      <c r="AC730" t="str">
        <f t="shared" si="83"/>
        <v>Medium</v>
      </c>
    </row>
    <row r="731" spans="1:29">
      <c r="A731" t="s">
        <v>2884</v>
      </c>
      <c r="B731" s="2">
        <v>45923</v>
      </c>
      <c r="C731" t="s">
        <v>1233</v>
      </c>
      <c r="D731" t="s">
        <v>1148</v>
      </c>
      <c r="E731" t="s">
        <v>2885</v>
      </c>
      <c r="F731" t="s">
        <v>2886</v>
      </c>
      <c r="G731" t="s">
        <v>79</v>
      </c>
      <c r="H731" t="s">
        <v>260</v>
      </c>
      <c r="I731" t="s">
        <v>49</v>
      </c>
      <c r="J731" t="s">
        <v>37</v>
      </c>
      <c r="K731" t="s">
        <v>71</v>
      </c>
      <c r="L731" t="s">
        <v>39</v>
      </c>
      <c r="M731" t="s">
        <v>53</v>
      </c>
      <c r="N731" t="s">
        <v>54</v>
      </c>
      <c r="O731" s="3">
        <v>115000</v>
      </c>
      <c r="P731" s="4">
        <v>35</v>
      </c>
      <c r="Q731" s="2">
        <v>46011</v>
      </c>
      <c r="R731" s="2">
        <v>46243</v>
      </c>
      <c r="S731" s="2">
        <v>45944</v>
      </c>
      <c r="T731" s="2"/>
      <c r="U731" t="str">
        <f t="shared" si="77"/>
        <v>No</v>
      </c>
      <c r="W7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1" t="str">
        <f t="shared" ca="1" si="78"/>
        <v>Due/Open</v>
      </c>
      <c r="Y731" t="str">
        <f t="shared" si="79"/>
        <v>Open</v>
      </c>
      <c r="Z731" t="str">
        <f t="shared" si="80"/>
        <v>Sep-2025</v>
      </c>
      <c r="AA731" t="str">
        <f t="shared" si="81"/>
        <v>Q3 2025</v>
      </c>
      <c r="AB731" s="4">
        <f t="shared" ca="1" si="82"/>
        <v>276</v>
      </c>
      <c r="AC731" t="str">
        <f t="shared" si="83"/>
        <v>Low</v>
      </c>
    </row>
    <row r="732" spans="1:29">
      <c r="A732" t="s">
        <v>2887</v>
      </c>
      <c r="B732" s="2">
        <v>45958</v>
      </c>
      <c r="C732" t="s">
        <v>1509</v>
      </c>
      <c r="D732" t="s">
        <v>1343</v>
      </c>
      <c r="E732" t="s">
        <v>2888</v>
      </c>
      <c r="F732" t="s">
        <v>2889</v>
      </c>
      <c r="G732" t="s">
        <v>179</v>
      </c>
      <c r="H732" t="s">
        <v>487</v>
      </c>
      <c r="I732" t="s">
        <v>98</v>
      </c>
      <c r="J732" t="s">
        <v>62</v>
      </c>
      <c r="K732" t="s">
        <v>114</v>
      </c>
      <c r="L732" t="s">
        <v>142</v>
      </c>
      <c r="M732" t="s">
        <v>90</v>
      </c>
      <c r="N732" t="s">
        <v>91</v>
      </c>
      <c r="O732" s="3">
        <v>315000</v>
      </c>
      <c r="P732" s="4">
        <v>40</v>
      </c>
      <c r="Q732" s="2">
        <v>45981</v>
      </c>
      <c r="R732" s="2">
        <v>46237</v>
      </c>
      <c r="S732" s="2">
        <v>45988</v>
      </c>
      <c r="T732" s="2"/>
      <c r="U732" t="str">
        <f t="shared" si="77"/>
        <v>No</v>
      </c>
      <c r="W7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2" t="str">
        <f t="shared" ca="1" si="78"/>
        <v>Due/Open</v>
      </c>
      <c r="Y732" t="str">
        <f t="shared" si="79"/>
        <v>Open</v>
      </c>
      <c r="Z732" t="str">
        <f t="shared" si="80"/>
        <v>Oct-2025</v>
      </c>
      <c r="AA732" t="str">
        <f t="shared" si="81"/>
        <v>Q4 2025</v>
      </c>
      <c r="AB732" s="4">
        <f t="shared" ca="1" si="82"/>
        <v>241</v>
      </c>
      <c r="AC732" t="str">
        <f t="shared" si="83"/>
        <v>High</v>
      </c>
    </row>
    <row r="733" spans="1:29">
      <c r="A733" t="s">
        <v>2890</v>
      </c>
      <c r="B733" s="2">
        <v>45775</v>
      </c>
      <c r="C733" t="s">
        <v>1690</v>
      </c>
      <c r="D733" t="s">
        <v>247</v>
      </c>
      <c r="E733" t="s">
        <v>2891</v>
      </c>
      <c r="F733" t="s">
        <v>2892</v>
      </c>
      <c r="G733" t="s">
        <v>34</v>
      </c>
      <c r="H733" t="s">
        <v>238</v>
      </c>
      <c r="I733" t="s">
        <v>141</v>
      </c>
      <c r="J733" t="s">
        <v>99</v>
      </c>
      <c r="K733" t="s">
        <v>38</v>
      </c>
      <c r="L733" t="s">
        <v>63</v>
      </c>
      <c r="M733" t="s">
        <v>210</v>
      </c>
      <c r="N733" t="s">
        <v>134</v>
      </c>
      <c r="O733" s="3">
        <v>220000</v>
      </c>
      <c r="P733" s="4">
        <v>0</v>
      </c>
      <c r="Q733" s="2">
        <v>45837</v>
      </c>
      <c r="R733" s="2"/>
      <c r="S733" s="2">
        <v>45804</v>
      </c>
      <c r="T733" s="2">
        <v>45837</v>
      </c>
      <c r="U733" t="str">
        <f t="shared" si="77"/>
        <v>No</v>
      </c>
      <c r="V733" t="s">
        <v>452</v>
      </c>
      <c r="W7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62</v>
      </c>
      <c r="X733" t="str">
        <f t="shared" ca="1" si="78"/>
        <v>Closed</v>
      </c>
      <c r="Y733" t="str">
        <f t="shared" si="79"/>
        <v>Closed</v>
      </c>
      <c r="Z733" t="str">
        <f t="shared" si="80"/>
        <v>Apr-2025</v>
      </c>
      <c r="AA733" t="str">
        <f t="shared" si="81"/>
        <v>Q2 2025</v>
      </c>
      <c r="AB733" s="4">
        <f t="shared" ca="1" si="82"/>
        <v>424</v>
      </c>
      <c r="AC733" t="str">
        <f t="shared" si="83"/>
        <v>Medium</v>
      </c>
    </row>
    <row r="734" spans="1:29">
      <c r="A734" t="s">
        <v>2893</v>
      </c>
      <c r="B734" s="2">
        <v>45682</v>
      </c>
      <c r="C734" t="s">
        <v>602</v>
      </c>
      <c r="D734" t="s">
        <v>517</v>
      </c>
      <c r="E734" t="s">
        <v>2894</v>
      </c>
      <c r="F734" t="s">
        <v>2895</v>
      </c>
      <c r="G734" t="s">
        <v>79</v>
      </c>
      <c r="H734" t="s">
        <v>80</v>
      </c>
      <c r="I734" t="s">
        <v>141</v>
      </c>
      <c r="J734" t="s">
        <v>124</v>
      </c>
      <c r="K734" t="s">
        <v>38</v>
      </c>
      <c r="L734" t="s">
        <v>39</v>
      </c>
      <c r="M734" t="s">
        <v>90</v>
      </c>
      <c r="N734" t="s">
        <v>91</v>
      </c>
      <c r="O734" s="3">
        <v>190000</v>
      </c>
      <c r="P734" s="4">
        <v>40</v>
      </c>
      <c r="Q734" s="2">
        <v>45728</v>
      </c>
      <c r="R734" s="2">
        <v>46214</v>
      </c>
      <c r="S734" s="2">
        <v>45683</v>
      </c>
      <c r="T734" s="2"/>
      <c r="U734" t="str">
        <f t="shared" si="77"/>
        <v>No</v>
      </c>
      <c r="W7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4" t="str">
        <f t="shared" ca="1" si="78"/>
        <v>Due/Open</v>
      </c>
      <c r="Y734" t="str">
        <f t="shared" si="79"/>
        <v>Open</v>
      </c>
      <c r="Z734" t="str">
        <f t="shared" si="80"/>
        <v>Jan-2025</v>
      </c>
      <c r="AA734" t="str">
        <f t="shared" si="81"/>
        <v>Q1 2025</v>
      </c>
      <c r="AB734" s="4">
        <f t="shared" ca="1" si="82"/>
        <v>517</v>
      </c>
      <c r="AC734" t="str">
        <f t="shared" si="83"/>
        <v>Medium</v>
      </c>
    </row>
    <row r="735" spans="1:29">
      <c r="A735" t="s">
        <v>2896</v>
      </c>
      <c r="B735" s="2">
        <v>45956</v>
      </c>
      <c r="C735" t="s">
        <v>1612</v>
      </c>
      <c r="D735" t="s">
        <v>2897</v>
      </c>
      <c r="E735" t="s">
        <v>2898</v>
      </c>
      <c r="F735" t="s">
        <v>2899</v>
      </c>
      <c r="G735" t="s">
        <v>79</v>
      </c>
      <c r="H735" t="s">
        <v>106</v>
      </c>
      <c r="I735" t="s">
        <v>187</v>
      </c>
      <c r="J735" t="s">
        <v>37</v>
      </c>
      <c r="K735" t="s">
        <v>114</v>
      </c>
      <c r="L735" t="s">
        <v>107</v>
      </c>
      <c r="M735" t="s">
        <v>53</v>
      </c>
      <c r="N735" t="s">
        <v>54</v>
      </c>
      <c r="O735" s="3">
        <v>90000</v>
      </c>
      <c r="P735" s="4">
        <v>35</v>
      </c>
      <c r="Q735" s="2">
        <v>46011</v>
      </c>
      <c r="R735" s="2">
        <v>46235</v>
      </c>
      <c r="S735" s="2">
        <v>45972</v>
      </c>
      <c r="T735" s="2"/>
      <c r="U735" t="str">
        <f t="shared" si="77"/>
        <v>No</v>
      </c>
      <c r="W7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5" t="str">
        <f t="shared" ca="1" si="78"/>
        <v>Due/Open</v>
      </c>
      <c r="Y735" t="str">
        <f t="shared" si="79"/>
        <v>Open</v>
      </c>
      <c r="Z735" t="str">
        <f t="shared" si="80"/>
        <v>Oct-2025</v>
      </c>
      <c r="AA735" t="str">
        <f t="shared" si="81"/>
        <v>Q4 2025</v>
      </c>
      <c r="AB735" s="4">
        <f t="shared" ca="1" si="82"/>
        <v>243</v>
      </c>
      <c r="AC735" t="str">
        <f t="shared" si="83"/>
        <v>Low</v>
      </c>
    </row>
    <row r="736" spans="1:29">
      <c r="A736" t="s">
        <v>2900</v>
      </c>
      <c r="B736" s="2">
        <v>46169</v>
      </c>
      <c r="C736" t="s">
        <v>1835</v>
      </c>
      <c r="D736" t="s">
        <v>887</v>
      </c>
      <c r="E736" t="s">
        <v>2901</v>
      </c>
      <c r="F736" t="s">
        <v>2902</v>
      </c>
      <c r="G736" t="s">
        <v>34</v>
      </c>
      <c r="H736" t="s">
        <v>446</v>
      </c>
      <c r="I736" t="s">
        <v>49</v>
      </c>
      <c r="J736" t="s">
        <v>131</v>
      </c>
      <c r="K736" t="s">
        <v>194</v>
      </c>
      <c r="L736" t="s">
        <v>115</v>
      </c>
      <c r="M736" t="s">
        <v>82</v>
      </c>
      <c r="N736" t="s">
        <v>83</v>
      </c>
      <c r="O736" s="3">
        <v>90000</v>
      </c>
      <c r="P736" s="4">
        <v>5</v>
      </c>
      <c r="Q736" s="2">
        <v>46200</v>
      </c>
      <c r="R736" s="2">
        <v>46184</v>
      </c>
      <c r="S736" s="2">
        <v>46196</v>
      </c>
      <c r="T736" s="2"/>
      <c r="U736" t="str">
        <f t="shared" si="77"/>
        <v>No</v>
      </c>
      <c r="W7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6" t="str">
        <f t="shared" ca="1" si="78"/>
        <v>Overdue</v>
      </c>
      <c r="Y736" t="str">
        <f t="shared" si="79"/>
        <v>Open</v>
      </c>
      <c r="Z736" t="str">
        <f t="shared" si="80"/>
        <v>May-2026</v>
      </c>
      <c r="AA736" t="str">
        <f t="shared" si="81"/>
        <v>Q2 2026</v>
      </c>
      <c r="AB736" s="4">
        <f t="shared" ca="1" si="82"/>
        <v>30</v>
      </c>
      <c r="AC736" t="str">
        <f t="shared" si="83"/>
        <v>Low</v>
      </c>
    </row>
    <row r="737" spans="1:29">
      <c r="A737" t="s">
        <v>2903</v>
      </c>
      <c r="B737" s="2">
        <v>45855</v>
      </c>
      <c r="C737" t="s">
        <v>1117</v>
      </c>
      <c r="D737" t="s">
        <v>705</v>
      </c>
      <c r="E737" t="s">
        <v>2904</v>
      </c>
      <c r="F737" t="s">
        <v>2905</v>
      </c>
      <c r="G737" t="s">
        <v>34</v>
      </c>
      <c r="H737" t="s">
        <v>160</v>
      </c>
      <c r="I737" t="s">
        <v>36</v>
      </c>
      <c r="J737" t="s">
        <v>99</v>
      </c>
      <c r="K737" t="s">
        <v>114</v>
      </c>
      <c r="L737" t="s">
        <v>63</v>
      </c>
      <c r="M737" t="s">
        <v>53</v>
      </c>
      <c r="N737" t="s">
        <v>54</v>
      </c>
      <c r="O737" s="3">
        <v>600000</v>
      </c>
      <c r="P737" s="4">
        <v>35</v>
      </c>
      <c r="Q737" s="2">
        <v>45939</v>
      </c>
      <c r="R737" s="2">
        <v>46168</v>
      </c>
      <c r="S737" s="2">
        <v>45884</v>
      </c>
      <c r="T737" s="2"/>
      <c r="U737" t="str">
        <f t="shared" si="77"/>
        <v>No</v>
      </c>
      <c r="W7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7" t="str">
        <f t="shared" ca="1" si="78"/>
        <v>Overdue</v>
      </c>
      <c r="Y737" t="str">
        <f t="shared" si="79"/>
        <v>Open</v>
      </c>
      <c r="Z737" t="str">
        <f t="shared" si="80"/>
        <v>Jul-2025</v>
      </c>
      <c r="AA737" t="str">
        <f t="shared" si="81"/>
        <v>Q3 2025</v>
      </c>
      <c r="AB737" s="4">
        <f t="shared" ca="1" si="82"/>
        <v>344</v>
      </c>
      <c r="AC737" t="str">
        <f t="shared" si="83"/>
        <v>High</v>
      </c>
    </row>
    <row r="738" spans="1:29">
      <c r="A738" t="s">
        <v>2906</v>
      </c>
      <c r="B738" s="2">
        <v>46165</v>
      </c>
      <c r="C738" t="s">
        <v>1778</v>
      </c>
      <c r="D738" t="s">
        <v>347</v>
      </c>
      <c r="E738" t="s">
        <v>2907</v>
      </c>
      <c r="F738" t="s">
        <v>2908</v>
      </c>
      <c r="G738" t="s">
        <v>179</v>
      </c>
      <c r="H738" t="s">
        <v>436</v>
      </c>
      <c r="I738" t="s">
        <v>187</v>
      </c>
      <c r="J738" t="s">
        <v>37</v>
      </c>
      <c r="K738" t="s">
        <v>38</v>
      </c>
      <c r="L738" t="s">
        <v>81</v>
      </c>
      <c r="M738" t="s">
        <v>73</v>
      </c>
      <c r="N738" t="s">
        <v>73</v>
      </c>
      <c r="O738" s="3">
        <v>100000</v>
      </c>
      <c r="P738" s="4">
        <v>80</v>
      </c>
      <c r="Q738" s="2">
        <v>46217</v>
      </c>
      <c r="R738" s="2">
        <v>46172</v>
      </c>
      <c r="S738" s="2">
        <v>46173</v>
      </c>
      <c r="T738" s="2"/>
      <c r="U738" t="str">
        <f t="shared" si="77"/>
        <v>No</v>
      </c>
      <c r="W7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8" t="str">
        <f t="shared" ca="1" si="78"/>
        <v>Overdue</v>
      </c>
      <c r="Y738" t="str">
        <f t="shared" si="79"/>
        <v>Open</v>
      </c>
      <c r="Z738" t="str">
        <f t="shared" si="80"/>
        <v>May-2026</v>
      </c>
      <c r="AA738" t="str">
        <f t="shared" si="81"/>
        <v>Q2 2026</v>
      </c>
      <c r="AB738" s="4">
        <f t="shared" ca="1" si="82"/>
        <v>34</v>
      </c>
      <c r="AC738" t="str">
        <f t="shared" si="83"/>
        <v>Low</v>
      </c>
    </row>
    <row r="739" spans="1:29">
      <c r="A739" t="s">
        <v>2909</v>
      </c>
      <c r="B739" s="2">
        <v>45864</v>
      </c>
      <c r="C739" t="s">
        <v>899</v>
      </c>
      <c r="D739" t="s">
        <v>627</v>
      </c>
      <c r="E739" t="s">
        <v>2910</v>
      </c>
      <c r="F739" t="s">
        <v>2911</v>
      </c>
      <c r="G739" t="s">
        <v>79</v>
      </c>
      <c r="H739" t="s">
        <v>228</v>
      </c>
      <c r="I739" t="s">
        <v>61</v>
      </c>
      <c r="J739" t="s">
        <v>99</v>
      </c>
      <c r="K739" t="s">
        <v>71</v>
      </c>
      <c r="L739" t="s">
        <v>39</v>
      </c>
      <c r="M739" t="s">
        <v>90</v>
      </c>
      <c r="N739" t="s">
        <v>91</v>
      </c>
      <c r="O739" s="3">
        <v>350000</v>
      </c>
      <c r="P739" s="4">
        <v>50</v>
      </c>
      <c r="Q739" s="2">
        <v>45959</v>
      </c>
      <c r="R739" s="2">
        <v>46171</v>
      </c>
      <c r="S739" s="2">
        <v>45870</v>
      </c>
      <c r="T739" s="2"/>
      <c r="U739" t="str">
        <f t="shared" si="77"/>
        <v>No</v>
      </c>
      <c r="W7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39" t="str">
        <f t="shared" ca="1" si="78"/>
        <v>Overdue</v>
      </c>
      <c r="Y739" t="str">
        <f t="shared" si="79"/>
        <v>Open</v>
      </c>
      <c r="Z739" t="str">
        <f t="shared" si="80"/>
        <v>Jul-2025</v>
      </c>
      <c r="AA739" t="str">
        <f t="shared" si="81"/>
        <v>Q3 2025</v>
      </c>
      <c r="AB739" s="4">
        <f t="shared" ca="1" si="82"/>
        <v>335</v>
      </c>
      <c r="AC739" t="str">
        <f t="shared" si="83"/>
        <v>High</v>
      </c>
    </row>
    <row r="740" spans="1:29">
      <c r="A740" t="s">
        <v>2912</v>
      </c>
      <c r="B740" s="2">
        <v>46000</v>
      </c>
      <c r="C740" t="s">
        <v>714</v>
      </c>
      <c r="D740" t="s">
        <v>157</v>
      </c>
      <c r="E740" t="s">
        <v>2913</v>
      </c>
      <c r="F740" t="s">
        <v>2914</v>
      </c>
      <c r="G740" t="s">
        <v>69</v>
      </c>
      <c r="H740" t="s">
        <v>193</v>
      </c>
      <c r="I740" t="s">
        <v>123</v>
      </c>
      <c r="J740" t="s">
        <v>124</v>
      </c>
      <c r="K740" t="s">
        <v>114</v>
      </c>
      <c r="L740" t="s">
        <v>132</v>
      </c>
      <c r="M740" t="s">
        <v>166</v>
      </c>
      <c r="N740" t="s">
        <v>167</v>
      </c>
      <c r="O740" s="3">
        <v>285000</v>
      </c>
      <c r="P740" s="4">
        <v>60</v>
      </c>
      <c r="Q740" s="2">
        <v>46077</v>
      </c>
      <c r="R740" s="2">
        <v>46214</v>
      </c>
      <c r="S740" s="2">
        <v>46010</v>
      </c>
      <c r="T740" s="2"/>
      <c r="U740" t="str">
        <f t="shared" si="77"/>
        <v>No</v>
      </c>
      <c r="W7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0" t="str">
        <f t="shared" ca="1" si="78"/>
        <v>Due/Open</v>
      </c>
      <c r="Y740" t="str">
        <f t="shared" si="79"/>
        <v>Open</v>
      </c>
      <c r="Z740" t="str">
        <f t="shared" si="80"/>
        <v>Dec-2025</v>
      </c>
      <c r="AA740" t="str">
        <f t="shared" si="81"/>
        <v>Q4 2025</v>
      </c>
      <c r="AB740" s="4">
        <f t="shared" ca="1" si="82"/>
        <v>199</v>
      </c>
      <c r="AC740" t="str">
        <f t="shared" si="83"/>
        <v>Medium</v>
      </c>
    </row>
    <row r="741" spans="1:29">
      <c r="A741" t="s">
        <v>2915</v>
      </c>
      <c r="B741" s="2">
        <v>45941</v>
      </c>
      <c r="C741" t="s">
        <v>2662</v>
      </c>
      <c r="D741" t="s">
        <v>332</v>
      </c>
      <c r="E741" t="s">
        <v>2916</v>
      </c>
      <c r="F741" t="s">
        <v>2917</v>
      </c>
      <c r="G741" t="s">
        <v>79</v>
      </c>
      <c r="H741" t="s">
        <v>97</v>
      </c>
      <c r="I741" t="s">
        <v>148</v>
      </c>
      <c r="J741" t="s">
        <v>99</v>
      </c>
      <c r="K741" t="s">
        <v>100</v>
      </c>
      <c r="L741" t="s">
        <v>125</v>
      </c>
      <c r="M741" t="s">
        <v>133</v>
      </c>
      <c r="N741" t="s">
        <v>134</v>
      </c>
      <c r="O741" s="3">
        <v>700000</v>
      </c>
      <c r="P741" s="4">
        <v>0</v>
      </c>
      <c r="Q741" s="2">
        <v>45965</v>
      </c>
      <c r="R741" s="2"/>
      <c r="S741" s="2">
        <v>45955</v>
      </c>
      <c r="T741" s="2">
        <v>45965</v>
      </c>
      <c r="U741" t="str">
        <f t="shared" si="77"/>
        <v>No</v>
      </c>
      <c r="V741" t="s">
        <v>1105</v>
      </c>
      <c r="W7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24</v>
      </c>
      <c r="X741" t="str">
        <f t="shared" ca="1" si="78"/>
        <v>Closed</v>
      </c>
      <c r="Y741" t="str">
        <f t="shared" si="79"/>
        <v>Closed</v>
      </c>
      <c r="Z741" t="str">
        <f t="shared" si="80"/>
        <v>Oct-2025</v>
      </c>
      <c r="AA741" t="str">
        <f t="shared" si="81"/>
        <v>Q4 2025</v>
      </c>
      <c r="AB741" s="4">
        <f t="shared" ca="1" si="82"/>
        <v>258</v>
      </c>
      <c r="AC741" t="str">
        <f t="shared" si="83"/>
        <v>High</v>
      </c>
    </row>
    <row r="742" spans="1:29">
      <c r="A742" t="s">
        <v>2918</v>
      </c>
      <c r="B742" s="2">
        <v>45777</v>
      </c>
      <c r="C742" t="s">
        <v>1619</v>
      </c>
      <c r="D742" t="s">
        <v>128</v>
      </c>
      <c r="E742" t="s">
        <v>2919</v>
      </c>
      <c r="F742" t="s">
        <v>2920</v>
      </c>
      <c r="G742" t="s">
        <v>179</v>
      </c>
      <c r="H742" t="s">
        <v>487</v>
      </c>
      <c r="I742" t="s">
        <v>148</v>
      </c>
      <c r="J742" t="s">
        <v>37</v>
      </c>
      <c r="K742" t="s">
        <v>114</v>
      </c>
      <c r="L742" t="s">
        <v>63</v>
      </c>
      <c r="M742" t="s">
        <v>40</v>
      </c>
      <c r="N742" t="s">
        <v>41</v>
      </c>
      <c r="O742" s="3">
        <v>110000</v>
      </c>
      <c r="P742" s="4">
        <v>100</v>
      </c>
      <c r="Q742" s="2">
        <v>45813</v>
      </c>
      <c r="R742" s="2"/>
      <c r="S742" s="2">
        <v>45782</v>
      </c>
      <c r="T742" s="2">
        <v>45813</v>
      </c>
      <c r="U742" t="str">
        <f t="shared" si="77"/>
        <v>Yes</v>
      </c>
      <c r="W7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742" t="str">
        <f t="shared" ca="1" si="78"/>
        <v>Closed</v>
      </c>
      <c r="Y742" t="str">
        <f t="shared" si="79"/>
        <v>Closed</v>
      </c>
      <c r="Z742" t="str">
        <f t="shared" si="80"/>
        <v>Apr-2025</v>
      </c>
      <c r="AA742" t="str">
        <f t="shared" si="81"/>
        <v>Q2 2025</v>
      </c>
      <c r="AB742" s="4">
        <f t="shared" ca="1" si="82"/>
        <v>422</v>
      </c>
      <c r="AC742" t="str">
        <f t="shared" si="83"/>
        <v>Low</v>
      </c>
    </row>
    <row r="743" spans="1:29">
      <c r="A743" t="s">
        <v>2921</v>
      </c>
      <c r="B743" s="2">
        <v>46132</v>
      </c>
      <c r="C743" t="s">
        <v>556</v>
      </c>
      <c r="D743" t="s">
        <v>1722</v>
      </c>
      <c r="E743" t="s">
        <v>2922</v>
      </c>
      <c r="F743" t="s">
        <v>2923</v>
      </c>
      <c r="G743" t="s">
        <v>34</v>
      </c>
      <c r="H743" t="s">
        <v>35</v>
      </c>
      <c r="I743" t="s">
        <v>36</v>
      </c>
      <c r="J743" t="s">
        <v>62</v>
      </c>
      <c r="K743" t="s">
        <v>194</v>
      </c>
      <c r="L743" t="s">
        <v>125</v>
      </c>
      <c r="M743" t="s">
        <v>53</v>
      </c>
      <c r="N743" t="s">
        <v>54</v>
      </c>
      <c r="O743" s="3">
        <v>195000</v>
      </c>
      <c r="P743" s="4">
        <v>25</v>
      </c>
      <c r="Q743" s="2">
        <v>46199</v>
      </c>
      <c r="R743" s="2">
        <v>46238</v>
      </c>
      <c r="S743" s="2">
        <v>46147</v>
      </c>
      <c r="T743" s="2"/>
      <c r="U743" t="str">
        <f t="shared" si="77"/>
        <v>No</v>
      </c>
      <c r="W7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3" t="str">
        <f t="shared" ca="1" si="78"/>
        <v>Due/Open</v>
      </c>
      <c r="Y743" t="str">
        <f t="shared" si="79"/>
        <v>Open</v>
      </c>
      <c r="Z743" t="str">
        <f t="shared" si="80"/>
        <v>Apr-2026</v>
      </c>
      <c r="AA743" t="str">
        <f t="shared" si="81"/>
        <v>Q2 2026</v>
      </c>
      <c r="AB743" s="4">
        <f t="shared" ca="1" si="82"/>
        <v>67</v>
      </c>
      <c r="AC743" t="str">
        <f t="shared" si="83"/>
        <v>Medium</v>
      </c>
    </row>
    <row r="744" spans="1:29">
      <c r="A744" t="s">
        <v>2924</v>
      </c>
      <c r="B744" s="2">
        <v>46056</v>
      </c>
      <c r="C744" t="s">
        <v>947</v>
      </c>
      <c r="D744" t="s">
        <v>151</v>
      </c>
      <c r="E744" t="s">
        <v>2925</v>
      </c>
      <c r="F744" t="s">
        <v>2926</v>
      </c>
      <c r="G744" t="s">
        <v>69</v>
      </c>
      <c r="H744" t="s">
        <v>70</v>
      </c>
      <c r="I744" t="s">
        <v>61</v>
      </c>
      <c r="J744" t="s">
        <v>50</v>
      </c>
      <c r="K744" t="s">
        <v>114</v>
      </c>
      <c r="L744" t="s">
        <v>39</v>
      </c>
      <c r="M744" t="s">
        <v>82</v>
      </c>
      <c r="N744" t="s">
        <v>83</v>
      </c>
      <c r="O744" s="3">
        <v>330000</v>
      </c>
      <c r="P744" s="4">
        <v>5</v>
      </c>
      <c r="Q744" s="2">
        <v>46135</v>
      </c>
      <c r="R744" s="2">
        <v>46155</v>
      </c>
      <c r="S744" s="2">
        <v>46065</v>
      </c>
      <c r="T744" s="2"/>
      <c r="U744" t="str">
        <f t="shared" si="77"/>
        <v>No</v>
      </c>
      <c r="W7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4" t="str">
        <f t="shared" ca="1" si="78"/>
        <v>Overdue</v>
      </c>
      <c r="Y744" t="str">
        <f t="shared" si="79"/>
        <v>Open</v>
      </c>
      <c r="Z744" t="str">
        <f t="shared" si="80"/>
        <v>Feb-2026</v>
      </c>
      <c r="AA744" t="str">
        <f t="shared" si="81"/>
        <v>Q1 2026</v>
      </c>
      <c r="AB744" s="4">
        <f t="shared" ca="1" si="82"/>
        <v>143</v>
      </c>
      <c r="AC744" t="str">
        <f t="shared" si="83"/>
        <v>High</v>
      </c>
    </row>
    <row r="745" spans="1:29">
      <c r="A745" t="s">
        <v>2927</v>
      </c>
      <c r="B745" s="2">
        <v>45906</v>
      </c>
      <c r="C745" t="s">
        <v>2928</v>
      </c>
      <c r="D745" t="s">
        <v>299</v>
      </c>
      <c r="E745" t="s">
        <v>2929</v>
      </c>
      <c r="F745" t="s">
        <v>2930</v>
      </c>
      <c r="G745" t="s">
        <v>79</v>
      </c>
      <c r="H745" t="s">
        <v>97</v>
      </c>
      <c r="I745" t="s">
        <v>148</v>
      </c>
      <c r="J745" t="s">
        <v>50</v>
      </c>
      <c r="K745" t="s">
        <v>100</v>
      </c>
      <c r="L745" t="s">
        <v>125</v>
      </c>
      <c r="M745" t="s">
        <v>166</v>
      </c>
      <c r="N745" t="s">
        <v>167</v>
      </c>
      <c r="O745" s="3">
        <v>245000</v>
      </c>
      <c r="P745" s="4">
        <v>60</v>
      </c>
      <c r="Q745" s="2">
        <v>45991</v>
      </c>
      <c r="R745" s="2">
        <v>46233</v>
      </c>
      <c r="S745" s="2">
        <v>45928</v>
      </c>
      <c r="T745" s="2"/>
      <c r="U745" t="str">
        <f t="shared" si="77"/>
        <v>No</v>
      </c>
      <c r="W7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5" t="str">
        <f t="shared" ca="1" si="78"/>
        <v>Due/Open</v>
      </c>
      <c r="Y745" t="str">
        <f t="shared" si="79"/>
        <v>Open</v>
      </c>
      <c r="Z745" t="str">
        <f t="shared" si="80"/>
        <v>Sep-2025</v>
      </c>
      <c r="AA745" t="str">
        <f t="shared" si="81"/>
        <v>Q3 2025</v>
      </c>
      <c r="AB745" s="4">
        <f t="shared" ca="1" si="82"/>
        <v>293</v>
      </c>
      <c r="AC745" t="str">
        <f t="shared" si="83"/>
        <v>Medium</v>
      </c>
    </row>
    <row r="746" spans="1:29">
      <c r="A746" t="s">
        <v>2931</v>
      </c>
      <c r="B746" s="2">
        <v>46055</v>
      </c>
      <c r="C746" t="s">
        <v>1097</v>
      </c>
      <c r="D746" t="s">
        <v>1118</v>
      </c>
      <c r="E746" t="s">
        <v>2932</v>
      </c>
      <c r="F746" t="s">
        <v>2933</v>
      </c>
      <c r="G746" t="s">
        <v>34</v>
      </c>
      <c r="H746" t="s">
        <v>35</v>
      </c>
      <c r="I746" t="s">
        <v>36</v>
      </c>
      <c r="J746" t="s">
        <v>62</v>
      </c>
      <c r="K746" t="s">
        <v>194</v>
      </c>
      <c r="L746" t="s">
        <v>132</v>
      </c>
      <c r="M746" t="s">
        <v>116</v>
      </c>
      <c r="N746" t="s">
        <v>54</v>
      </c>
      <c r="O746" s="3">
        <v>150000</v>
      </c>
      <c r="P746" s="4">
        <v>15</v>
      </c>
      <c r="Q746" s="2">
        <v>46102</v>
      </c>
      <c r="R746" s="2">
        <v>46175</v>
      </c>
      <c r="S746" s="2">
        <v>46062</v>
      </c>
      <c r="T746" s="2"/>
      <c r="U746" t="str">
        <f t="shared" si="77"/>
        <v>No</v>
      </c>
      <c r="W7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46" t="str">
        <f t="shared" ca="1" si="78"/>
        <v>Overdue</v>
      </c>
      <c r="Y746" t="str">
        <f t="shared" si="79"/>
        <v>Open</v>
      </c>
      <c r="Z746" t="str">
        <f t="shared" si="80"/>
        <v>Feb-2026</v>
      </c>
      <c r="AA746" t="str">
        <f t="shared" si="81"/>
        <v>Q1 2026</v>
      </c>
      <c r="AB746" s="4">
        <f t="shared" ca="1" si="82"/>
        <v>144</v>
      </c>
      <c r="AC746" t="str">
        <f t="shared" si="83"/>
        <v>Medium</v>
      </c>
    </row>
    <row r="747" spans="1:29">
      <c r="A747" t="s">
        <v>2934</v>
      </c>
      <c r="B747" s="2">
        <v>46094</v>
      </c>
      <c r="C747" t="s">
        <v>2935</v>
      </c>
      <c r="D747" t="s">
        <v>190</v>
      </c>
      <c r="E747" t="s">
        <v>2936</v>
      </c>
      <c r="F747" t="s">
        <v>2937</v>
      </c>
      <c r="G747" t="s">
        <v>69</v>
      </c>
      <c r="H747" t="s">
        <v>193</v>
      </c>
      <c r="I747" t="s">
        <v>36</v>
      </c>
      <c r="J747" t="s">
        <v>99</v>
      </c>
      <c r="K747" t="s">
        <v>100</v>
      </c>
      <c r="L747" t="s">
        <v>154</v>
      </c>
      <c r="M747" t="s">
        <v>40</v>
      </c>
      <c r="N747" t="s">
        <v>41</v>
      </c>
      <c r="O747" s="3">
        <v>180000</v>
      </c>
      <c r="P747" s="4">
        <v>100</v>
      </c>
      <c r="Q747" s="2">
        <v>46173</v>
      </c>
      <c r="R747" s="2"/>
      <c r="S747" s="2">
        <v>46109</v>
      </c>
      <c r="T747" s="2">
        <v>46173</v>
      </c>
      <c r="U747" t="str">
        <f t="shared" si="77"/>
        <v>Yes</v>
      </c>
      <c r="W7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79</v>
      </c>
      <c r="X747" t="str">
        <f t="shared" ca="1" si="78"/>
        <v>Closed</v>
      </c>
      <c r="Y747" t="str">
        <f t="shared" si="79"/>
        <v>Closed</v>
      </c>
      <c r="Z747" t="str">
        <f t="shared" si="80"/>
        <v>Mar-2026</v>
      </c>
      <c r="AA747" t="str">
        <f t="shared" si="81"/>
        <v>Q1 2026</v>
      </c>
      <c r="AB747" s="4">
        <f t="shared" ca="1" si="82"/>
        <v>105</v>
      </c>
      <c r="AC747" t="str">
        <f t="shared" si="83"/>
        <v>Medium</v>
      </c>
    </row>
    <row r="748" spans="1:29">
      <c r="A748" t="s">
        <v>2938</v>
      </c>
      <c r="B748" s="2">
        <v>45867</v>
      </c>
      <c r="C748" t="s">
        <v>2939</v>
      </c>
      <c r="D748" t="s">
        <v>742</v>
      </c>
      <c r="E748" t="s">
        <v>2940</v>
      </c>
      <c r="F748" t="s">
        <v>2941</v>
      </c>
      <c r="G748" t="s">
        <v>69</v>
      </c>
      <c r="H748" t="s">
        <v>270</v>
      </c>
      <c r="I748" t="s">
        <v>36</v>
      </c>
      <c r="J748" t="s">
        <v>124</v>
      </c>
      <c r="K748" t="s">
        <v>100</v>
      </c>
      <c r="L748" t="s">
        <v>239</v>
      </c>
      <c r="M748" t="s">
        <v>40</v>
      </c>
      <c r="N748" t="s">
        <v>41</v>
      </c>
      <c r="O748" s="3">
        <v>100000</v>
      </c>
      <c r="P748" s="4">
        <v>100</v>
      </c>
      <c r="Q748" s="2">
        <v>45943</v>
      </c>
      <c r="R748" s="2"/>
      <c r="S748" s="2">
        <v>45872</v>
      </c>
      <c r="T748" s="2">
        <v>45943</v>
      </c>
      <c r="U748" t="str">
        <f t="shared" si="77"/>
        <v>Yes</v>
      </c>
      <c r="W74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76</v>
      </c>
      <c r="X748" t="str">
        <f t="shared" ca="1" si="78"/>
        <v>Closed</v>
      </c>
      <c r="Y748" t="str">
        <f t="shared" si="79"/>
        <v>Closed</v>
      </c>
      <c r="Z748" t="str">
        <f t="shared" si="80"/>
        <v>Jul-2025</v>
      </c>
      <c r="AA748" t="str">
        <f t="shared" si="81"/>
        <v>Q3 2025</v>
      </c>
      <c r="AB748" s="4">
        <f t="shared" ca="1" si="82"/>
        <v>332</v>
      </c>
      <c r="AC748" t="str">
        <f t="shared" si="83"/>
        <v>Low</v>
      </c>
    </row>
    <row r="749" spans="1:29">
      <c r="A749" t="s">
        <v>2942</v>
      </c>
      <c r="B749" s="2">
        <v>45992</v>
      </c>
      <c r="C749" t="s">
        <v>538</v>
      </c>
      <c r="D749" t="s">
        <v>315</v>
      </c>
      <c r="E749" t="s">
        <v>2943</v>
      </c>
      <c r="F749" t="s">
        <v>2944</v>
      </c>
      <c r="G749" t="s">
        <v>179</v>
      </c>
      <c r="H749" t="s">
        <v>318</v>
      </c>
      <c r="I749" t="s">
        <v>187</v>
      </c>
      <c r="J749" t="s">
        <v>99</v>
      </c>
      <c r="K749" t="s">
        <v>38</v>
      </c>
      <c r="L749" t="s">
        <v>39</v>
      </c>
      <c r="M749" t="s">
        <v>40</v>
      </c>
      <c r="N749" t="s">
        <v>41</v>
      </c>
      <c r="O749" s="3">
        <v>235000</v>
      </c>
      <c r="P749" s="4">
        <v>100</v>
      </c>
      <c r="Q749" s="2">
        <v>46072</v>
      </c>
      <c r="R749" s="2"/>
      <c r="S749" s="2">
        <v>45995</v>
      </c>
      <c r="T749" s="2">
        <v>46072</v>
      </c>
      <c r="U749" t="str">
        <f t="shared" si="77"/>
        <v>Yes</v>
      </c>
      <c r="W74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749" t="str">
        <f t="shared" ca="1" si="78"/>
        <v>Closed</v>
      </c>
      <c r="Y749" t="str">
        <f t="shared" si="79"/>
        <v>Closed</v>
      </c>
      <c r="Z749" t="str">
        <f t="shared" si="80"/>
        <v>Dec-2025</v>
      </c>
      <c r="AA749" t="str">
        <f t="shared" si="81"/>
        <v>Q4 2025</v>
      </c>
      <c r="AB749" s="4">
        <f t="shared" ca="1" si="82"/>
        <v>207</v>
      </c>
      <c r="AC749" t="str">
        <f t="shared" si="83"/>
        <v>Medium</v>
      </c>
    </row>
    <row r="750" spans="1:29">
      <c r="A750" t="s">
        <v>2945</v>
      </c>
      <c r="B750" s="2">
        <v>46021</v>
      </c>
      <c r="C750" t="s">
        <v>1097</v>
      </c>
      <c r="D750" t="s">
        <v>220</v>
      </c>
      <c r="E750" t="s">
        <v>2946</v>
      </c>
      <c r="F750" t="s">
        <v>2947</v>
      </c>
      <c r="G750" t="s">
        <v>47</v>
      </c>
      <c r="H750" t="s">
        <v>418</v>
      </c>
      <c r="I750" t="s">
        <v>187</v>
      </c>
      <c r="J750" t="s">
        <v>124</v>
      </c>
      <c r="K750" t="s">
        <v>194</v>
      </c>
      <c r="L750" t="s">
        <v>142</v>
      </c>
      <c r="M750" t="s">
        <v>53</v>
      </c>
      <c r="N750" t="s">
        <v>54</v>
      </c>
      <c r="O750" s="3">
        <v>305000</v>
      </c>
      <c r="P750" s="4">
        <v>25</v>
      </c>
      <c r="Q750" s="2">
        <v>46111</v>
      </c>
      <c r="R750" s="2">
        <v>46230</v>
      </c>
      <c r="S750" s="2">
        <v>46040</v>
      </c>
      <c r="T750" s="2"/>
      <c r="U750" t="str">
        <f t="shared" si="77"/>
        <v>No</v>
      </c>
      <c r="W7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0" t="str">
        <f t="shared" ca="1" si="78"/>
        <v>Due/Open</v>
      </c>
      <c r="Y750" t="str">
        <f t="shared" si="79"/>
        <v>Open</v>
      </c>
      <c r="Z750" t="str">
        <f t="shared" si="80"/>
        <v>Dec-2025</v>
      </c>
      <c r="AA750" t="str">
        <f t="shared" si="81"/>
        <v>Q4 2025</v>
      </c>
      <c r="AB750" s="4">
        <f t="shared" ca="1" si="82"/>
        <v>178</v>
      </c>
      <c r="AC750" t="str">
        <f t="shared" si="83"/>
        <v>High</v>
      </c>
    </row>
    <row r="751" spans="1:29">
      <c r="A751" t="s">
        <v>2948</v>
      </c>
      <c r="B751" s="2">
        <v>46110</v>
      </c>
      <c r="C751" t="s">
        <v>2949</v>
      </c>
      <c r="D751" t="s">
        <v>784</v>
      </c>
      <c r="E751" t="s">
        <v>2950</v>
      </c>
      <c r="F751" t="s">
        <v>2951</v>
      </c>
      <c r="G751" t="s">
        <v>79</v>
      </c>
      <c r="H751" t="s">
        <v>217</v>
      </c>
      <c r="I751" t="s">
        <v>187</v>
      </c>
      <c r="J751" t="s">
        <v>99</v>
      </c>
      <c r="K751" t="s">
        <v>71</v>
      </c>
      <c r="L751" t="s">
        <v>81</v>
      </c>
      <c r="M751" t="s">
        <v>166</v>
      </c>
      <c r="N751" t="s">
        <v>167</v>
      </c>
      <c r="O751" s="3">
        <v>250000</v>
      </c>
      <c r="P751" s="4">
        <v>60</v>
      </c>
      <c r="Q751" s="2">
        <v>46195</v>
      </c>
      <c r="R751" s="2">
        <v>46236</v>
      </c>
      <c r="S751" s="2">
        <v>46138</v>
      </c>
      <c r="T751" s="2"/>
      <c r="U751" t="str">
        <f t="shared" si="77"/>
        <v>No</v>
      </c>
      <c r="W7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1" t="str">
        <f t="shared" ca="1" si="78"/>
        <v>Due/Open</v>
      </c>
      <c r="Y751" t="str">
        <f t="shared" si="79"/>
        <v>Open</v>
      </c>
      <c r="Z751" t="str">
        <f t="shared" si="80"/>
        <v>Mar-2026</v>
      </c>
      <c r="AA751" t="str">
        <f t="shared" si="81"/>
        <v>Q1 2026</v>
      </c>
      <c r="AB751" s="4">
        <f t="shared" ca="1" si="82"/>
        <v>89</v>
      </c>
      <c r="AC751" t="str">
        <f t="shared" si="83"/>
        <v>Medium</v>
      </c>
    </row>
    <row r="752" spans="1:29">
      <c r="A752" t="s">
        <v>2952</v>
      </c>
      <c r="B752" s="2">
        <v>45991</v>
      </c>
      <c r="C752" t="s">
        <v>43</v>
      </c>
      <c r="D752" t="s">
        <v>1302</v>
      </c>
      <c r="E752" t="s">
        <v>2953</v>
      </c>
      <c r="F752" t="s">
        <v>2954</v>
      </c>
      <c r="G752" t="s">
        <v>69</v>
      </c>
      <c r="H752" t="s">
        <v>270</v>
      </c>
      <c r="I752" t="s">
        <v>187</v>
      </c>
      <c r="J752" t="s">
        <v>124</v>
      </c>
      <c r="K752" t="s">
        <v>38</v>
      </c>
      <c r="L752" t="s">
        <v>52</v>
      </c>
      <c r="M752" t="s">
        <v>90</v>
      </c>
      <c r="N752" t="s">
        <v>91</v>
      </c>
      <c r="O752" s="3">
        <v>325000</v>
      </c>
      <c r="P752" s="4">
        <v>40</v>
      </c>
      <c r="Q752" s="2">
        <v>46055</v>
      </c>
      <c r="R752" s="2">
        <v>46216</v>
      </c>
      <c r="S752" s="2">
        <v>46013</v>
      </c>
      <c r="T752" s="2"/>
      <c r="U752" t="str">
        <f t="shared" si="77"/>
        <v>No</v>
      </c>
      <c r="W7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2" t="str">
        <f t="shared" ca="1" si="78"/>
        <v>Due/Open</v>
      </c>
      <c r="Y752" t="str">
        <f t="shared" si="79"/>
        <v>Open</v>
      </c>
      <c r="Z752" t="str">
        <f t="shared" si="80"/>
        <v>Nov-2025</v>
      </c>
      <c r="AA752" t="str">
        <f t="shared" si="81"/>
        <v>Q4 2025</v>
      </c>
      <c r="AB752" s="4">
        <f t="shared" ca="1" si="82"/>
        <v>208</v>
      </c>
      <c r="AC752" t="str">
        <f t="shared" si="83"/>
        <v>High</v>
      </c>
    </row>
    <row r="753" spans="1:29">
      <c r="A753" t="s">
        <v>2955</v>
      </c>
      <c r="B753" s="2">
        <v>45775</v>
      </c>
      <c r="C753" t="s">
        <v>2956</v>
      </c>
      <c r="D753" t="s">
        <v>207</v>
      </c>
      <c r="E753" t="s">
        <v>2957</v>
      </c>
      <c r="F753" t="s">
        <v>2958</v>
      </c>
      <c r="G753" t="s">
        <v>69</v>
      </c>
      <c r="H753" t="s">
        <v>312</v>
      </c>
      <c r="I753" t="s">
        <v>49</v>
      </c>
      <c r="J753" t="s">
        <v>37</v>
      </c>
      <c r="K753" t="s">
        <v>194</v>
      </c>
      <c r="L753" t="s">
        <v>142</v>
      </c>
      <c r="M753" t="s">
        <v>40</v>
      </c>
      <c r="N753" t="s">
        <v>41</v>
      </c>
      <c r="O753" s="3">
        <v>90000</v>
      </c>
      <c r="P753" s="4">
        <v>100</v>
      </c>
      <c r="Q753" s="2">
        <v>45806</v>
      </c>
      <c r="R753" s="2"/>
      <c r="S753" s="2">
        <v>45788</v>
      </c>
      <c r="T753" s="2">
        <v>45806</v>
      </c>
      <c r="U753" t="str">
        <f t="shared" si="77"/>
        <v>Yes</v>
      </c>
      <c r="W75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753" t="str">
        <f t="shared" ca="1" si="78"/>
        <v>Closed</v>
      </c>
      <c r="Y753" t="str">
        <f t="shared" si="79"/>
        <v>Closed</v>
      </c>
      <c r="Z753" t="str">
        <f t="shared" si="80"/>
        <v>Apr-2025</v>
      </c>
      <c r="AA753" t="str">
        <f t="shared" si="81"/>
        <v>Q2 2025</v>
      </c>
      <c r="AB753" s="4">
        <f t="shared" ca="1" si="82"/>
        <v>424</v>
      </c>
      <c r="AC753" t="str">
        <f t="shared" si="83"/>
        <v>Low</v>
      </c>
    </row>
    <row r="754" spans="1:29">
      <c r="A754" t="s">
        <v>2959</v>
      </c>
      <c r="B754" s="2">
        <v>45960</v>
      </c>
      <c r="C754" t="s">
        <v>729</v>
      </c>
      <c r="D754" t="s">
        <v>384</v>
      </c>
      <c r="E754" t="s">
        <v>2960</v>
      </c>
      <c r="F754" t="s">
        <v>2961</v>
      </c>
      <c r="G754" t="s">
        <v>47</v>
      </c>
      <c r="H754" t="s">
        <v>418</v>
      </c>
      <c r="I754" t="s">
        <v>123</v>
      </c>
      <c r="J754" t="s">
        <v>50</v>
      </c>
      <c r="K754" t="s">
        <v>114</v>
      </c>
      <c r="L754" t="s">
        <v>63</v>
      </c>
      <c r="M754" t="s">
        <v>166</v>
      </c>
      <c r="N754" t="s">
        <v>167</v>
      </c>
      <c r="O754" s="3">
        <v>540000</v>
      </c>
      <c r="P754" s="4">
        <v>65</v>
      </c>
      <c r="Q754" s="2">
        <v>46010</v>
      </c>
      <c r="R754" s="2">
        <v>46165</v>
      </c>
      <c r="S754" s="2">
        <v>45983</v>
      </c>
      <c r="T754" s="2"/>
      <c r="U754" t="str">
        <f t="shared" si="77"/>
        <v>No</v>
      </c>
      <c r="W7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4" t="str">
        <f t="shared" ca="1" si="78"/>
        <v>Overdue</v>
      </c>
      <c r="Y754" t="str">
        <f t="shared" si="79"/>
        <v>Open</v>
      </c>
      <c r="Z754" t="str">
        <f t="shared" si="80"/>
        <v>Oct-2025</v>
      </c>
      <c r="AA754" t="str">
        <f t="shared" si="81"/>
        <v>Q4 2025</v>
      </c>
      <c r="AB754" s="4">
        <f t="shared" ca="1" si="82"/>
        <v>239</v>
      </c>
      <c r="AC754" t="str">
        <f t="shared" si="83"/>
        <v>High</v>
      </c>
    </row>
    <row r="755" spans="1:29">
      <c r="A755" t="s">
        <v>2962</v>
      </c>
      <c r="B755" s="2">
        <v>46116</v>
      </c>
      <c r="C755" t="s">
        <v>2963</v>
      </c>
      <c r="D755" t="s">
        <v>934</v>
      </c>
      <c r="E755" t="s">
        <v>2964</v>
      </c>
      <c r="F755" t="s">
        <v>2965</v>
      </c>
      <c r="G755" t="s">
        <v>179</v>
      </c>
      <c r="H755" t="s">
        <v>487</v>
      </c>
      <c r="I755" t="s">
        <v>141</v>
      </c>
      <c r="J755" t="s">
        <v>50</v>
      </c>
      <c r="K755" t="s">
        <v>194</v>
      </c>
      <c r="L755" t="s">
        <v>63</v>
      </c>
      <c r="M755" t="s">
        <v>40</v>
      </c>
      <c r="N755" t="s">
        <v>41</v>
      </c>
      <c r="O755" s="3">
        <v>295000</v>
      </c>
      <c r="P755" s="4">
        <v>100</v>
      </c>
      <c r="Q755" s="2">
        <v>46154</v>
      </c>
      <c r="R755" s="2"/>
      <c r="S755" s="2">
        <v>46138</v>
      </c>
      <c r="T755" s="2">
        <v>46154</v>
      </c>
      <c r="U755" t="str">
        <f t="shared" si="77"/>
        <v>Yes</v>
      </c>
      <c r="W7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755" t="str">
        <f t="shared" ca="1" si="78"/>
        <v>Closed</v>
      </c>
      <c r="Y755" t="str">
        <f t="shared" si="79"/>
        <v>Closed</v>
      </c>
      <c r="Z755" t="str">
        <f t="shared" si="80"/>
        <v>Apr-2026</v>
      </c>
      <c r="AA755" t="str">
        <f t="shared" si="81"/>
        <v>Q2 2026</v>
      </c>
      <c r="AB755" s="4">
        <f t="shared" ca="1" si="82"/>
        <v>83</v>
      </c>
      <c r="AC755" t="str">
        <f t="shared" si="83"/>
        <v>Medium</v>
      </c>
    </row>
    <row r="756" spans="1:29">
      <c r="A756" t="s">
        <v>2966</v>
      </c>
      <c r="B756" s="2">
        <v>45852</v>
      </c>
      <c r="C756" t="s">
        <v>2967</v>
      </c>
      <c r="D756" t="s">
        <v>715</v>
      </c>
      <c r="E756" t="s">
        <v>2968</v>
      </c>
      <c r="F756" t="s">
        <v>2969</v>
      </c>
      <c r="G756" t="s">
        <v>79</v>
      </c>
      <c r="H756" t="s">
        <v>260</v>
      </c>
      <c r="I756" t="s">
        <v>123</v>
      </c>
      <c r="J756" t="s">
        <v>99</v>
      </c>
      <c r="K756" t="s">
        <v>100</v>
      </c>
      <c r="L756" t="s">
        <v>39</v>
      </c>
      <c r="M756" t="s">
        <v>73</v>
      </c>
      <c r="N756" t="s">
        <v>73</v>
      </c>
      <c r="O756" s="3">
        <v>660000</v>
      </c>
      <c r="P756" s="4">
        <v>85</v>
      </c>
      <c r="Q756" s="2">
        <v>45906</v>
      </c>
      <c r="R756" s="2">
        <v>46219</v>
      </c>
      <c r="S756" s="2">
        <v>45873</v>
      </c>
      <c r="T756" s="2"/>
      <c r="U756" t="str">
        <f t="shared" si="77"/>
        <v>No</v>
      </c>
      <c r="W7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6" t="str">
        <f t="shared" ca="1" si="78"/>
        <v>Due/Open</v>
      </c>
      <c r="Y756" t="str">
        <f t="shared" si="79"/>
        <v>Open</v>
      </c>
      <c r="Z756" t="str">
        <f t="shared" si="80"/>
        <v>Jul-2025</v>
      </c>
      <c r="AA756" t="str">
        <f t="shared" si="81"/>
        <v>Q3 2025</v>
      </c>
      <c r="AB756" s="4">
        <f t="shared" ca="1" si="82"/>
        <v>347</v>
      </c>
      <c r="AC756" t="str">
        <f t="shared" si="83"/>
        <v>High</v>
      </c>
    </row>
    <row r="757" spans="1:29">
      <c r="A757" t="s">
        <v>2970</v>
      </c>
      <c r="B757" s="2">
        <v>45687</v>
      </c>
      <c r="C757" t="s">
        <v>1932</v>
      </c>
      <c r="D757" t="s">
        <v>31</v>
      </c>
      <c r="E757" t="s">
        <v>2971</v>
      </c>
      <c r="F757" t="s">
        <v>2972</v>
      </c>
      <c r="G757" t="s">
        <v>34</v>
      </c>
      <c r="H757" t="s">
        <v>446</v>
      </c>
      <c r="I757" t="s">
        <v>123</v>
      </c>
      <c r="J757" t="s">
        <v>124</v>
      </c>
      <c r="K757" t="s">
        <v>71</v>
      </c>
      <c r="L757" t="s">
        <v>72</v>
      </c>
      <c r="M757" t="s">
        <v>53</v>
      </c>
      <c r="N757" t="s">
        <v>54</v>
      </c>
      <c r="O757" s="3">
        <v>205000</v>
      </c>
      <c r="P757" s="4">
        <v>30</v>
      </c>
      <c r="Q757" s="2">
        <v>45777</v>
      </c>
      <c r="R757" s="2">
        <v>46213</v>
      </c>
      <c r="S757" s="2">
        <v>45697</v>
      </c>
      <c r="T757" s="2"/>
      <c r="U757" t="str">
        <f t="shared" si="77"/>
        <v>No</v>
      </c>
      <c r="W7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7" t="str">
        <f t="shared" ca="1" si="78"/>
        <v>Due/Open</v>
      </c>
      <c r="Y757" t="str">
        <f t="shared" si="79"/>
        <v>Open</v>
      </c>
      <c r="Z757" t="str">
        <f t="shared" si="80"/>
        <v>Jan-2025</v>
      </c>
      <c r="AA757" t="str">
        <f t="shared" si="81"/>
        <v>Q1 2025</v>
      </c>
      <c r="AB757" s="4">
        <f t="shared" ca="1" si="82"/>
        <v>512</v>
      </c>
      <c r="AC757" t="str">
        <f t="shared" si="83"/>
        <v>Medium</v>
      </c>
    </row>
    <row r="758" spans="1:29">
      <c r="A758" t="s">
        <v>2973</v>
      </c>
      <c r="B758" s="2">
        <v>46073</v>
      </c>
      <c r="C758" t="s">
        <v>427</v>
      </c>
      <c r="D758" t="s">
        <v>2827</v>
      </c>
      <c r="E758" t="s">
        <v>2974</v>
      </c>
      <c r="F758" t="s">
        <v>2975</v>
      </c>
      <c r="G758" t="s">
        <v>179</v>
      </c>
      <c r="H758" t="s">
        <v>186</v>
      </c>
      <c r="I758" t="s">
        <v>36</v>
      </c>
      <c r="J758" t="s">
        <v>50</v>
      </c>
      <c r="K758" t="s">
        <v>100</v>
      </c>
      <c r="L758" t="s">
        <v>239</v>
      </c>
      <c r="M758" t="s">
        <v>166</v>
      </c>
      <c r="N758" t="s">
        <v>167</v>
      </c>
      <c r="O758" s="3">
        <v>210000</v>
      </c>
      <c r="P758" s="4">
        <v>60</v>
      </c>
      <c r="Q758" s="2">
        <v>46164</v>
      </c>
      <c r="R758" s="2">
        <v>46237</v>
      </c>
      <c r="S758" s="2">
        <v>46095</v>
      </c>
      <c r="T758" s="2"/>
      <c r="U758" t="str">
        <f t="shared" si="77"/>
        <v>No</v>
      </c>
      <c r="W7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8" t="str">
        <f t="shared" ca="1" si="78"/>
        <v>Due/Open</v>
      </c>
      <c r="Y758" t="str">
        <f t="shared" si="79"/>
        <v>Open</v>
      </c>
      <c r="Z758" t="str">
        <f t="shared" si="80"/>
        <v>Feb-2026</v>
      </c>
      <c r="AA758" t="str">
        <f t="shared" si="81"/>
        <v>Q1 2026</v>
      </c>
      <c r="AB758" s="4">
        <f t="shared" ca="1" si="82"/>
        <v>126</v>
      </c>
      <c r="AC758" t="str">
        <f t="shared" si="83"/>
        <v>Medium</v>
      </c>
    </row>
    <row r="759" spans="1:29">
      <c r="A759" t="s">
        <v>2976</v>
      </c>
      <c r="B759" s="2">
        <v>45868</v>
      </c>
      <c r="C759" t="s">
        <v>219</v>
      </c>
      <c r="D759" t="s">
        <v>895</v>
      </c>
      <c r="E759" t="s">
        <v>2977</v>
      </c>
      <c r="F759" t="s">
        <v>2978</v>
      </c>
      <c r="G759" t="s">
        <v>69</v>
      </c>
      <c r="H759" t="s">
        <v>70</v>
      </c>
      <c r="I759" t="s">
        <v>123</v>
      </c>
      <c r="J759" t="s">
        <v>37</v>
      </c>
      <c r="K759" t="s">
        <v>38</v>
      </c>
      <c r="L759" t="s">
        <v>72</v>
      </c>
      <c r="M759" t="s">
        <v>116</v>
      </c>
      <c r="N759" t="s">
        <v>54</v>
      </c>
      <c r="O759" s="3">
        <v>175000</v>
      </c>
      <c r="P759" s="4">
        <v>15</v>
      </c>
      <c r="Q759" s="2">
        <v>45888</v>
      </c>
      <c r="R759" s="2">
        <v>46213</v>
      </c>
      <c r="S759" s="2">
        <v>45874</v>
      </c>
      <c r="T759" s="2"/>
      <c r="U759" t="str">
        <f t="shared" si="77"/>
        <v>No</v>
      </c>
      <c r="W7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59" t="str">
        <f t="shared" ca="1" si="78"/>
        <v>Due/Open</v>
      </c>
      <c r="Y759" t="str">
        <f t="shared" si="79"/>
        <v>Open</v>
      </c>
      <c r="Z759" t="str">
        <f t="shared" si="80"/>
        <v>Jul-2025</v>
      </c>
      <c r="AA759" t="str">
        <f t="shared" si="81"/>
        <v>Q3 2025</v>
      </c>
      <c r="AB759" s="4">
        <f t="shared" ca="1" si="82"/>
        <v>331</v>
      </c>
      <c r="AC759" t="str">
        <f t="shared" si="83"/>
        <v>Medium</v>
      </c>
    </row>
    <row r="760" spans="1:29">
      <c r="A760" t="s">
        <v>2979</v>
      </c>
      <c r="B760" s="2">
        <v>45908</v>
      </c>
      <c r="C760" t="s">
        <v>1494</v>
      </c>
      <c r="D760" t="s">
        <v>590</v>
      </c>
      <c r="E760" t="s">
        <v>2980</v>
      </c>
      <c r="F760" t="s">
        <v>2981</v>
      </c>
      <c r="G760" t="s">
        <v>34</v>
      </c>
      <c r="H760" t="s">
        <v>35</v>
      </c>
      <c r="I760" t="s">
        <v>61</v>
      </c>
      <c r="J760" t="s">
        <v>50</v>
      </c>
      <c r="K760" t="s">
        <v>114</v>
      </c>
      <c r="L760" t="s">
        <v>115</v>
      </c>
      <c r="M760" t="s">
        <v>116</v>
      </c>
      <c r="N760" t="s">
        <v>54</v>
      </c>
      <c r="O760" s="3">
        <v>435000</v>
      </c>
      <c r="P760" s="4">
        <v>15</v>
      </c>
      <c r="Q760" s="2">
        <v>45929</v>
      </c>
      <c r="R760" s="2">
        <v>46224</v>
      </c>
      <c r="S760" s="2">
        <v>45927</v>
      </c>
      <c r="T760" s="2"/>
      <c r="U760" t="str">
        <f t="shared" si="77"/>
        <v>No</v>
      </c>
      <c r="W7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0" t="str">
        <f t="shared" ca="1" si="78"/>
        <v>Due/Open</v>
      </c>
      <c r="Y760" t="str">
        <f t="shared" si="79"/>
        <v>Open</v>
      </c>
      <c r="Z760" t="str">
        <f t="shared" si="80"/>
        <v>Sep-2025</v>
      </c>
      <c r="AA760" t="str">
        <f t="shared" si="81"/>
        <v>Q3 2025</v>
      </c>
      <c r="AB760" s="4">
        <f t="shared" ca="1" si="82"/>
        <v>291</v>
      </c>
      <c r="AC760" t="str">
        <f t="shared" si="83"/>
        <v>High</v>
      </c>
    </row>
    <row r="761" spans="1:29">
      <c r="A761" t="s">
        <v>2982</v>
      </c>
      <c r="B761" s="2">
        <v>45955</v>
      </c>
      <c r="C761" t="s">
        <v>2983</v>
      </c>
      <c r="D761" t="s">
        <v>361</v>
      </c>
      <c r="E761" t="s">
        <v>2984</v>
      </c>
      <c r="F761" t="s">
        <v>2985</v>
      </c>
      <c r="G761" t="s">
        <v>179</v>
      </c>
      <c r="H761" t="s">
        <v>180</v>
      </c>
      <c r="I761" t="s">
        <v>141</v>
      </c>
      <c r="J761" t="s">
        <v>62</v>
      </c>
      <c r="K761" t="s">
        <v>38</v>
      </c>
      <c r="L761" t="s">
        <v>52</v>
      </c>
      <c r="M761" t="s">
        <v>90</v>
      </c>
      <c r="N761" t="s">
        <v>91</v>
      </c>
      <c r="O761" s="3">
        <v>230000</v>
      </c>
      <c r="P761" s="4">
        <v>50</v>
      </c>
      <c r="Q761" s="2">
        <v>46022</v>
      </c>
      <c r="R761" s="2">
        <v>46241</v>
      </c>
      <c r="S761" s="2">
        <v>45966</v>
      </c>
      <c r="T761" s="2"/>
      <c r="U761" t="str">
        <f t="shared" si="77"/>
        <v>No</v>
      </c>
      <c r="W7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1" t="str">
        <f t="shared" ca="1" si="78"/>
        <v>Due/Open</v>
      </c>
      <c r="Y761" t="str">
        <f t="shared" si="79"/>
        <v>Open</v>
      </c>
      <c r="Z761" t="str">
        <f t="shared" si="80"/>
        <v>Oct-2025</v>
      </c>
      <c r="AA761" t="str">
        <f t="shared" si="81"/>
        <v>Q4 2025</v>
      </c>
      <c r="AB761" s="4">
        <f t="shared" ca="1" si="82"/>
        <v>244</v>
      </c>
      <c r="AC761" t="str">
        <f t="shared" si="83"/>
        <v>Medium</v>
      </c>
    </row>
    <row r="762" spans="1:29">
      <c r="A762" t="s">
        <v>2986</v>
      </c>
      <c r="B762" s="2">
        <v>45843</v>
      </c>
      <c r="C762" t="s">
        <v>2987</v>
      </c>
      <c r="D762" t="s">
        <v>1093</v>
      </c>
      <c r="E762" t="s">
        <v>2988</v>
      </c>
      <c r="F762" t="s">
        <v>2989</v>
      </c>
      <c r="G762" t="s">
        <v>79</v>
      </c>
      <c r="H762" t="s">
        <v>228</v>
      </c>
      <c r="I762" t="s">
        <v>98</v>
      </c>
      <c r="J762" t="s">
        <v>124</v>
      </c>
      <c r="K762" t="s">
        <v>100</v>
      </c>
      <c r="L762" t="s">
        <v>72</v>
      </c>
      <c r="M762" t="s">
        <v>90</v>
      </c>
      <c r="N762" t="s">
        <v>91</v>
      </c>
      <c r="O762" s="3">
        <v>310000</v>
      </c>
      <c r="P762" s="4">
        <v>40</v>
      </c>
      <c r="Q762" s="2">
        <v>45931</v>
      </c>
      <c r="R762" s="2">
        <v>46210</v>
      </c>
      <c r="S762" s="2">
        <v>45844</v>
      </c>
      <c r="T762" s="2"/>
      <c r="U762" t="str">
        <f t="shared" si="77"/>
        <v>No</v>
      </c>
      <c r="W7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2" t="str">
        <f t="shared" ca="1" si="78"/>
        <v>Due/Open</v>
      </c>
      <c r="Y762" t="str">
        <f t="shared" si="79"/>
        <v>Open</v>
      </c>
      <c r="Z762" t="str">
        <f t="shared" si="80"/>
        <v>Jul-2025</v>
      </c>
      <c r="AA762" t="str">
        <f t="shared" si="81"/>
        <v>Q3 2025</v>
      </c>
      <c r="AB762" s="4">
        <f t="shared" ca="1" si="82"/>
        <v>356</v>
      </c>
      <c r="AC762" t="str">
        <f t="shared" si="83"/>
        <v>High</v>
      </c>
    </row>
    <row r="763" spans="1:29">
      <c r="A763" t="s">
        <v>2990</v>
      </c>
      <c r="B763" s="2">
        <v>46059</v>
      </c>
      <c r="C763" t="s">
        <v>1592</v>
      </c>
      <c r="D763" t="s">
        <v>1319</v>
      </c>
      <c r="E763" t="s">
        <v>2991</v>
      </c>
      <c r="F763" t="s">
        <v>2992</v>
      </c>
      <c r="G763" t="s">
        <v>179</v>
      </c>
      <c r="H763" t="s">
        <v>296</v>
      </c>
      <c r="I763" t="s">
        <v>98</v>
      </c>
      <c r="J763" t="s">
        <v>131</v>
      </c>
      <c r="K763" t="s">
        <v>100</v>
      </c>
      <c r="L763" t="s">
        <v>239</v>
      </c>
      <c r="M763" t="s">
        <v>166</v>
      </c>
      <c r="N763" t="s">
        <v>167</v>
      </c>
      <c r="O763" s="3">
        <v>245000</v>
      </c>
      <c r="P763" s="4">
        <v>60</v>
      </c>
      <c r="Q763" s="2">
        <v>46116</v>
      </c>
      <c r="R763" s="2">
        <v>46221</v>
      </c>
      <c r="S763" s="2">
        <v>46068</v>
      </c>
      <c r="T763" s="2"/>
      <c r="U763" t="str">
        <f t="shared" si="77"/>
        <v>No</v>
      </c>
      <c r="W7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3" t="str">
        <f t="shared" ca="1" si="78"/>
        <v>Due/Open</v>
      </c>
      <c r="Y763" t="str">
        <f t="shared" si="79"/>
        <v>Open</v>
      </c>
      <c r="Z763" t="str">
        <f t="shared" si="80"/>
        <v>Feb-2026</v>
      </c>
      <c r="AA763" t="str">
        <f t="shared" si="81"/>
        <v>Q1 2026</v>
      </c>
      <c r="AB763" s="4">
        <f t="shared" ca="1" si="82"/>
        <v>140</v>
      </c>
      <c r="AC763" t="str">
        <f t="shared" si="83"/>
        <v>Medium</v>
      </c>
    </row>
    <row r="764" spans="1:29">
      <c r="A764" t="s">
        <v>2993</v>
      </c>
      <c r="B764" s="2">
        <v>46125</v>
      </c>
      <c r="C764" t="s">
        <v>671</v>
      </c>
      <c r="D764" t="s">
        <v>645</v>
      </c>
      <c r="E764" t="s">
        <v>2994</v>
      </c>
      <c r="F764" t="s">
        <v>2995</v>
      </c>
      <c r="G764" t="s">
        <v>69</v>
      </c>
      <c r="H764" t="s">
        <v>70</v>
      </c>
      <c r="I764" t="s">
        <v>36</v>
      </c>
      <c r="J764" t="s">
        <v>131</v>
      </c>
      <c r="K764" t="s">
        <v>100</v>
      </c>
      <c r="L764" t="s">
        <v>115</v>
      </c>
      <c r="M764" t="s">
        <v>210</v>
      </c>
      <c r="N764" t="s">
        <v>134</v>
      </c>
      <c r="O764" s="3">
        <v>190000</v>
      </c>
      <c r="P764" s="4">
        <v>0</v>
      </c>
      <c r="Q764" s="2">
        <v>46178</v>
      </c>
      <c r="R764" s="2"/>
      <c r="S764" s="2">
        <v>46133</v>
      </c>
      <c r="T764" s="2">
        <v>46178</v>
      </c>
      <c r="U764" t="str">
        <f t="shared" si="77"/>
        <v>No</v>
      </c>
      <c r="V764" t="s">
        <v>1105</v>
      </c>
      <c r="W76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764" t="str">
        <f t="shared" ca="1" si="78"/>
        <v>Closed</v>
      </c>
      <c r="Y764" t="str">
        <f t="shared" si="79"/>
        <v>Closed</v>
      </c>
      <c r="Z764" t="str">
        <f t="shared" si="80"/>
        <v>Apr-2026</v>
      </c>
      <c r="AA764" t="str">
        <f t="shared" si="81"/>
        <v>Q2 2026</v>
      </c>
      <c r="AB764" s="4">
        <f t="shared" ca="1" si="82"/>
        <v>74</v>
      </c>
      <c r="AC764" t="str">
        <f t="shared" si="83"/>
        <v>Medium</v>
      </c>
    </row>
    <row r="765" spans="1:29">
      <c r="A765" t="s">
        <v>2996</v>
      </c>
      <c r="B765" s="2">
        <v>45753</v>
      </c>
      <c r="C765" t="s">
        <v>2963</v>
      </c>
      <c r="D765" t="s">
        <v>304</v>
      </c>
      <c r="E765" t="s">
        <v>2997</v>
      </c>
      <c r="F765" t="s">
        <v>2998</v>
      </c>
      <c r="G765" t="s">
        <v>179</v>
      </c>
      <c r="H765" t="s">
        <v>180</v>
      </c>
      <c r="I765" t="s">
        <v>36</v>
      </c>
      <c r="J765" t="s">
        <v>99</v>
      </c>
      <c r="K765" t="s">
        <v>71</v>
      </c>
      <c r="L765" t="s">
        <v>52</v>
      </c>
      <c r="M765" t="s">
        <v>90</v>
      </c>
      <c r="N765" t="s">
        <v>91</v>
      </c>
      <c r="O765" s="3">
        <v>545000</v>
      </c>
      <c r="P765" s="4">
        <v>55</v>
      </c>
      <c r="Q765" s="2">
        <v>45789</v>
      </c>
      <c r="R765" s="2">
        <v>46210</v>
      </c>
      <c r="S765" s="2">
        <v>45769</v>
      </c>
      <c r="T765" s="2"/>
      <c r="U765" t="str">
        <f t="shared" si="77"/>
        <v>No</v>
      </c>
      <c r="W7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5" t="str">
        <f t="shared" ca="1" si="78"/>
        <v>Due/Open</v>
      </c>
      <c r="Y765" t="str">
        <f t="shared" si="79"/>
        <v>Open</v>
      </c>
      <c r="Z765" t="str">
        <f t="shared" si="80"/>
        <v>Apr-2025</v>
      </c>
      <c r="AA765" t="str">
        <f t="shared" si="81"/>
        <v>Q2 2025</v>
      </c>
      <c r="AB765" s="4">
        <f t="shared" ca="1" si="82"/>
        <v>446</v>
      </c>
      <c r="AC765" t="str">
        <f t="shared" si="83"/>
        <v>High</v>
      </c>
    </row>
    <row r="766" spans="1:29">
      <c r="A766" t="s">
        <v>2999</v>
      </c>
      <c r="B766" s="2">
        <v>46109</v>
      </c>
      <c r="C766" t="s">
        <v>3000</v>
      </c>
      <c r="D766" t="s">
        <v>590</v>
      </c>
      <c r="E766" t="s">
        <v>3001</v>
      </c>
      <c r="F766" t="s">
        <v>3002</v>
      </c>
      <c r="G766" t="s">
        <v>79</v>
      </c>
      <c r="H766" t="s">
        <v>80</v>
      </c>
      <c r="I766" t="s">
        <v>141</v>
      </c>
      <c r="J766" t="s">
        <v>50</v>
      </c>
      <c r="K766" t="s">
        <v>100</v>
      </c>
      <c r="L766" t="s">
        <v>115</v>
      </c>
      <c r="M766" t="s">
        <v>133</v>
      </c>
      <c r="N766" t="s">
        <v>134</v>
      </c>
      <c r="O766" s="3">
        <v>415000</v>
      </c>
      <c r="P766" s="4">
        <v>0</v>
      </c>
      <c r="Q766" s="2">
        <v>46137</v>
      </c>
      <c r="R766" s="2"/>
      <c r="S766" s="2">
        <v>46115</v>
      </c>
      <c r="T766" s="2">
        <v>46137</v>
      </c>
      <c r="U766" t="str">
        <f t="shared" si="77"/>
        <v>No</v>
      </c>
      <c r="V766" t="s">
        <v>1105</v>
      </c>
      <c r="W76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766" t="str">
        <f t="shared" ca="1" si="78"/>
        <v>Closed</v>
      </c>
      <c r="Y766" t="str">
        <f t="shared" si="79"/>
        <v>Closed</v>
      </c>
      <c r="Z766" t="str">
        <f t="shared" si="80"/>
        <v>Mar-2026</v>
      </c>
      <c r="AA766" t="str">
        <f t="shared" si="81"/>
        <v>Q1 2026</v>
      </c>
      <c r="AB766" s="4">
        <f t="shared" ca="1" si="82"/>
        <v>90</v>
      </c>
      <c r="AC766" t="str">
        <f t="shared" si="83"/>
        <v>High</v>
      </c>
    </row>
    <row r="767" spans="1:29">
      <c r="A767" t="s">
        <v>3003</v>
      </c>
      <c r="B767" s="2">
        <v>45785</v>
      </c>
      <c r="C767" t="s">
        <v>2322</v>
      </c>
      <c r="D767" t="s">
        <v>214</v>
      </c>
      <c r="E767" t="s">
        <v>3004</v>
      </c>
      <c r="F767" t="s">
        <v>3005</v>
      </c>
      <c r="G767" t="s">
        <v>179</v>
      </c>
      <c r="H767" t="s">
        <v>436</v>
      </c>
      <c r="I767" t="s">
        <v>98</v>
      </c>
      <c r="J767" t="s">
        <v>131</v>
      </c>
      <c r="K767" t="s">
        <v>114</v>
      </c>
      <c r="L767" t="s">
        <v>72</v>
      </c>
      <c r="M767" t="s">
        <v>73</v>
      </c>
      <c r="N767" t="s">
        <v>73</v>
      </c>
      <c r="O767" s="3">
        <v>235000</v>
      </c>
      <c r="P767" s="4">
        <v>75</v>
      </c>
      <c r="Q767" s="2">
        <v>45866</v>
      </c>
      <c r="R767" s="2">
        <v>46200</v>
      </c>
      <c r="S767" s="2">
        <v>45806</v>
      </c>
      <c r="T767" s="2"/>
      <c r="U767" t="str">
        <f t="shared" si="77"/>
        <v>No</v>
      </c>
      <c r="W7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7" t="str">
        <f t="shared" ca="1" si="78"/>
        <v>Due/Open</v>
      </c>
      <c r="Y767" t="str">
        <f t="shared" si="79"/>
        <v>Open</v>
      </c>
      <c r="Z767" t="str">
        <f t="shared" si="80"/>
        <v>May-2025</v>
      </c>
      <c r="AA767" t="str">
        <f t="shared" si="81"/>
        <v>Q2 2025</v>
      </c>
      <c r="AB767" s="4">
        <f t="shared" ca="1" si="82"/>
        <v>414</v>
      </c>
      <c r="AC767" t="str">
        <f t="shared" si="83"/>
        <v>Medium</v>
      </c>
    </row>
    <row r="768" spans="1:29">
      <c r="A768" t="s">
        <v>3006</v>
      </c>
      <c r="B768" s="2">
        <v>46126</v>
      </c>
      <c r="C768" t="s">
        <v>281</v>
      </c>
      <c r="D768" t="s">
        <v>779</v>
      </c>
      <c r="E768" t="s">
        <v>3007</v>
      </c>
      <c r="F768" t="s">
        <v>3008</v>
      </c>
      <c r="G768" t="s">
        <v>79</v>
      </c>
      <c r="H768" t="s">
        <v>228</v>
      </c>
      <c r="I768" t="s">
        <v>148</v>
      </c>
      <c r="J768" t="s">
        <v>131</v>
      </c>
      <c r="K768" t="s">
        <v>51</v>
      </c>
      <c r="L768" t="s">
        <v>107</v>
      </c>
      <c r="M768" t="s">
        <v>82</v>
      </c>
      <c r="N768" t="s">
        <v>83</v>
      </c>
      <c r="O768" s="3">
        <v>355000</v>
      </c>
      <c r="P768" s="4">
        <v>10</v>
      </c>
      <c r="Q768" s="2">
        <v>46151</v>
      </c>
      <c r="R768" s="2">
        <v>46219</v>
      </c>
      <c r="S768" s="2">
        <v>46137</v>
      </c>
      <c r="T768" s="2"/>
      <c r="U768" t="str">
        <f t="shared" si="77"/>
        <v>No</v>
      </c>
      <c r="W7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68" t="str">
        <f t="shared" ca="1" si="78"/>
        <v>Due/Open</v>
      </c>
      <c r="Y768" t="str">
        <f t="shared" si="79"/>
        <v>Open</v>
      </c>
      <c r="Z768" t="str">
        <f t="shared" si="80"/>
        <v>Apr-2026</v>
      </c>
      <c r="AA768" t="str">
        <f t="shared" si="81"/>
        <v>Q2 2026</v>
      </c>
      <c r="AB768" s="4">
        <f t="shared" ca="1" si="82"/>
        <v>73</v>
      </c>
      <c r="AC768" t="str">
        <f t="shared" si="83"/>
        <v>High</v>
      </c>
    </row>
    <row r="769" spans="1:29">
      <c r="A769" t="s">
        <v>3009</v>
      </c>
      <c r="B769" s="2">
        <v>45882</v>
      </c>
      <c r="C769" t="s">
        <v>2169</v>
      </c>
      <c r="D769" t="s">
        <v>586</v>
      </c>
      <c r="E769" t="s">
        <v>3010</v>
      </c>
      <c r="F769" t="s">
        <v>3011</v>
      </c>
      <c r="G769" t="s">
        <v>47</v>
      </c>
      <c r="H769" t="s">
        <v>122</v>
      </c>
      <c r="I769" t="s">
        <v>187</v>
      </c>
      <c r="J769" t="s">
        <v>62</v>
      </c>
      <c r="K769" t="s">
        <v>71</v>
      </c>
      <c r="L769" t="s">
        <v>125</v>
      </c>
      <c r="M769" t="s">
        <v>40</v>
      </c>
      <c r="N769" t="s">
        <v>41</v>
      </c>
      <c r="O769" s="3">
        <v>135000</v>
      </c>
      <c r="P769" s="4">
        <v>100</v>
      </c>
      <c r="Q769" s="2">
        <v>45902</v>
      </c>
      <c r="R769" s="2"/>
      <c r="S769" s="2">
        <v>45905</v>
      </c>
      <c r="T769" s="2">
        <v>45902</v>
      </c>
      <c r="U769" t="str">
        <f t="shared" si="77"/>
        <v>Yes</v>
      </c>
      <c r="W7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769" t="str">
        <f t="shared" ca="1" si="78"/>
        <v>Closed</v>
      </c>
      <c r="Y769" t="str">
        <f t="shared" si="79"/>
        <v>Closed</v>
      </c>
      <c r="Z769" t="str">
        <f t="shared" si="80"/>
        <v>Aug-2025</v>
      </c>
      <c r="AA769" t="str">
        <f t="shared" si="81"/>
        <v>Q3 2025</v>
      </c>
      <c r="AB769" s="4">
        <f t="shared" ca="1" si="82"/>
        <v>317</v>
      </c>
      <c r="AC769" t="str">
        <f t="shared" si="83"/>
        <v>Medium</v>
      </c>
    </row>
    <row r="770" spans="1:29">
      <c r="A770" t="s">
        <v>3012</v>
      </c>
      <c r="B770" s="2">
        <v>46050</v>
      </c>
      <c r="C770" t="s">
        <v>1644</v>
      </c>
      <c r="D770" t="s">
        <v>986</v>
      </c>
      <c r="E770" t="s">
        <v>3013</v>
      </c>
      <c r="F770" t="s">
        <v>3014</v>
      </c>
      <c r="G770" t="s">
        <v>79</v>
      </c>
      <c r="H770" t="s">
        <v>106</v>
      </c>
      <c r="I770" t="s">
        <v>141</v>
      </c>
      <c r="J770" t="s">
        <v>37</v>
      </c>
      <c r="K770" t="s">
        <v>114</v>
      </c>
      <c r="L770" t="s">
        <v>107</v>
      </c>
      <c r="M770" t="s">
        <v>166</v>
      </c>
      <c r="N770" t="s">
        <v>167</v>
      </c>
      <c r="O770" s="3">
        <v>155000</v>
      </c>
      <c r="P770" s="4">
        <v>65</v>
      </c>
      <c r="Q770" s="2">
        <v>46081</v>
      </c>
      <c r="R770" s="2">
        <v>46216</v>
      </c>
      <c r="S770" s="2">
        <v>46077</v>
      </c>
      <c r="T770" s="2"/>
      <c r="U770" t="str">
        <f t="shared" ref="U770:U833" si="84">IF(M770="Converted","Yes","No")</f>
        <v>No</v>
      </c>
      <c r="W7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0" t="str">
        <f t="shared" ref="X770:X833" ca="1" si="85">IF(OR(M770="Converted",M770="Lost",M770="Not Interested"),"Closed",IF(R770&lt;TODAY(),"Overdue","Due/Open"))</f>
        <v>Due/Open</v>
      </c>
      <c r="Y770" t="str">
        <f t="shared" ref="Y770:Y833" si="86">IF(OR(M770="Converted",M770="Lost",M770="Not Interested"),"Closed","Open")</f>
        <v>Open</v>
      </c>
      <c r="Z770" t="str">
        <f t="shared" ref="Z770:Z833" si="87">TEXT(B770,"mmm-yyyy")</f>
        <v>Jan-2026</v>
      </c>
      <c r="AA770" t="str">
        <f t="shared" ref="AA770:AA833" si="88">"Q"&amp;ROUNDUP(MONTH(B770)/3,0)&amp;" "&amp;YEAR(B770)</f>
        <v>Q1 2026</v>
      </c>
      <c r="AB770" s="4">
        <f t="shared" ref="AB770:AB833" ca="1" si="89">TODAY()-B770</f>
        <v>149</v>
      </c>
      <c r="AC770" t="str">
        <f t="shared" ref="AC770:AC833" si="90">IF(O770&gt;=300000,"High",IF(O770&gt;=120000,"Medium","Low"))</f>
        <v>Medium</v>
      </c>
    </row>
    <row r="771" spans="1:29">
      <c r="A771" t="s">
        <v>3015</v>
      </c>
      <c r="B771" s="2">
        <v>46010</v>
      </c>
      <c r="C771" t="s">
        <v>3016</v>
      </c>
      <c r="D771" t="s">
        <v>986</v>
      </c>
      <c r="E771" t="s">
        <v>3017</v>
      </c>
      <c r="F771" t="s">
        <v>3018</v>
      </c>
      <c r="G771" t="s">
        <v>179</v>
      </c>
      <c r="H771" t="s">
        <v>318</v>
      </c>
      <c r="I771" t="s">
        <v>141</v>
      </c>
      <c r="J771" t="s">
        <v>131</v>
      </c>
      <c r="K771" t="s">
        <v>51</v>
      </c>
      <c r="L771" t="s">
        <v>52</v>
      </c>
      <c r="M771" t="s">
        <v>53</v>
      </c>
      <c r="N771" t="s">
        <v>54</v>
      </c>
      <c r="O771" s="3">
        <v>260000</v>
      </c>
      <c r="P771" s="4">
        <v>25</v>
      </c>
      <c r="Q771" s="2">
        <v>46047</v>
      </c>
      <c r="R771" s="2">
        <v>46231</v>
      </c>
      <c r="S771" s="2">
        <v>46020</v>
      </c>
      <c r="T771" s="2"/>
      <c r="U771" t="str">
        <f t="shared" si="84"/>
        <v>No</v>
      </c>
      <c r="W7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1" t="str">
        <f t="shared" ca="1" si="85"/>
        <v>Due/Open</v>
      </c>
      <c r="Y771" t="str">
        <f t="shared" si="86"/>
        <v>Open</v>
      </c>
      <c r="Z771" t="str">
        <f t="shared" si="87"/>
        <v>Dec-2025</v>
      </c>
      <c r="AA771" t="str">
        <f t="shared" si="88"/>
        <v>Q4 2025</v>
      </c>
      <c r="AB771" s="4">
        <f t="shared" ca="1" si="89"/>
        <v>189</v>
      </c>
      <c r="AC771" t="str">
        <f t="shared" si="90"/>
        <v>Medium</v>
      </c>
    </row>
    <row r="772" spans="1:29">
      <c r="A772" t="s">
        <v>3019</v>
      </c>
      <c r="B772" s="2">
        <v>46188</v>
      </c>
      <c r="C772" t="s">
        <v>1047</v>
      </c>
      <c r="D772" t="s">
        <v>231</v>
      </c>
      <c r="E772" t="s">
        <v>3020</v>
      </c>
      <c r="F772" t="s">
        <v>3021</v>
      </c>
      <c r="G772" t="s">
        <v>69</v>
      </c>
      <c r="H772" t="s">
        <v>193</v>
      </c>
      <c r="I772" t="s">
        <v>141</v>
      </c>
      <c r="J772" t="s">
        <v>99</v>
      </c>
      <c r="K772" t="s">
        <v>38</v>
      </c>
      <c r="L772" t="s">
        <v>132</v>
      </c>
      <c r="M772" t="s">
        <v>210</v>
      </c>
      <c r="N772" t="s">
        <v>134</v>
      </c>
      <c r="O772" s="3">
        <v>450000</v>
      </c>
      <c r="P772" s="4">
        <v>0</v>
      </c>
      <c r="Q772" s="2">
        <v>46188</v>
      </c>
      <c r="R772" s="2"/>
      <c r="S772" s="2">
        <v>46191</v>
      </c>
      <c r="T772" s="2">
        <v>46188</v>
      </c>
      <c r="U772" t="str">
        <f t="shared" si="84"/>
        <v>No</v>
      </c>
      <c r="V772" t="s">
        <v>452</v>
      </c>
      <c r="W77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0</v>
      </c>
      <c r="X772" t="str">
        <f t="shared" ca="1" si="85"/>
        <v>Closed</v>
      </c>
      <c r="Y772" t="str">
        <f t="shared" si="86"/>
        <v>Closed</v>
      </c>
      <c r="Z772" t="str">
        <f t="shared" si="87"/>
        <v>Jun-2026</v>
      </c>
      <c r="AA772" t="str">
        <f t="shared" si="88"/>
        <v>Q2 2026</v>
      </c>
      <c r="AB772" s="4">
        <f t="shared" ca="1" si="89"/>
        <v>11</v>
      </c>
      <c r="AC772" t="str">
        <f t="shared" si="90"/>
        <v>High</v>
      </c>
    </row>
    <row r="773" spans="1:29">
      <c r="A773" t="s">
        <v>3022</v>
      </c>
      <c r="B773" s="2">
        <v>46011</v>
      </c>
      <c r="C773" t="s">
        <v>2581</v>
      </c>
      <c r="D773" t="s">
        <v>214</v>
      </c>
      <c r="E773" t="s">
        <v>3023</v>
      </c>
      <c r="F773" t="s">
        <v>3024</v>
      </c>
      <c r="G773" t="s">
        <v>34</v>
      </c>
      <c r="H773" t="s">
        <v>238</v>
      </c>
      <c r="I773" t="s">
        <v>98</v>
      </c>
      <c r="J773" t="s">
        <v>99</v>
      </c>
      <c r="K773" t="s">
        <v>194</v>
      </c>
      <c r="L773" t="s">
        <v>81</v>
      </c>
      <c r="M773" t="s">
        <v>166</v>
      </c>
      <c r="N773" t="s">
        <v>167</v>
      </c>
      <c r="O773" s="3">
        <v>670000</v>
      </c>
      <c r="P773" s="4">
        <v>60</v>
      </c>
      <c r="Q773" s="2">
        <v>46088</v>
      </c>
      <c r="R773" s="2">
        <v>46218</v>
      </c>
      <c r="S773" s="2">
        <v>46013</v>
      </c>
      <c r="T773" s="2"/>
      <c r="U773" t="str">
        <f t="shared" si="84"/>
        <v>No</v>
      </c>
      <c r="W7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3" t="str">
        <f t="shared" ca="1" si="85"/>
        <v>Due/Open</v>
      </c>
      <c r="Y773" t="str">
        <f t="shared" si="86"/>
        <v>Open</v>
      </c>
      <c r="Z773" t="str">
        <f t="shared" si="87"/>
        <v>Dec-2025</v>
      </c>
      <c r="AA773" t="str">
        <f t="shared" si="88"/>
        <v>Q4 2025</v>
      </c>
      <c r="AB773" s="4">
        <f t="shared" ca="1" si="89"/>
        <v>188</v>
      </c>
      <c r="AC773" t="str">
        <f t="shared" si="90"/>
        <v>High</v>
      </c>
    </row>
    <row r="774" spans="1:29">
      <c r="A774" t="s">
        <v>3025</v>
      </c>
      <c r="B774" s="2">
        <v>46141</v>
      </c>
      <c r="C774" t="s">
        <v>692</v>
      </c>
      <c r="D774" t="s">
        <v>904</v>
      </c>
      <c r="E774" t="s">
        <v>3026</v>
      </c>
      <c r="F774" t="s">
        <v>3027</v>
      </c>
      <c r="G774" t="s">
        <v>179</v>
      </c>
      <c r="H774" t="s">
        <v>436</v>
      </c>
      <c r="I774" t="s">
        <v>36</v>
      </c>
      <c r="J774" t="s">
        <v>50</v>
      </c>
      <c r="K774" t="s">
        <v>194</v>
      </c>
      <c r="L774" t="s">
        <v>125</v>
      </c>
      <c r="M774" t="s">
        <v>133</v>
      </c>
      <c r="N774" t="s">
        <v>134</v>
      </c>
      <c r="O774" s="3">
        <v>305000</v>
      </c>
      <c r="P774" s="4">
        <v>0</v>
      </c>
      <c r="Q774" s="2">
        <v>46148</v>
      </c>
      <c r="R774" s="2"/>
      <c r="S774" s="2">
        <v>46144</v>
      </c>
      <c r="T774" s="2">
        <v>46148</v>
      </c>
      <c r="U774" t="str">
        <f t="shared" si="84"/>
        <v>No</v>
      </c>
      <c r="V774" t="s">
        <v>452</v>
      </c>
      <c r="W77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</v>
      </c>
      <c r="X774" t="str">
        <f t="shared" ca="1" si="85"/>
        <v>Closed</v>
      </c>
      <c r="Y774" t="str">
        <f t="shared" si="86"/>
        <v>Closed</v>
      </c>
      <c r="Z774" t="str">
        <f t="shared" si="87"/>
        <v>Apr-2026</v>
      </c>
      <c r="AA774" t="str">
        <f t="shared" si="88"/>
        <v>Q2 2026</v>
      </c>
      <c r="AB774" s="4">
        <f t="shared" ca="1" si="89"/>
        <v>58</v>
      </c>
      <c r="AC774" t="str">
        <f t="shared" si="90"/>
        <v>High</v>
      </c>
    </row>
    <row r="775" spans="1:29">
      <c r="A775" t="s">
        <v>3028</v>
      </c>
      <c r="B775" s="2">
        <v>45749</v>
      </c>
      <c r="C775" t="s">
        <v>1857</v>
      </c>
      <c r="D775" t="s">
        <v>242</v>
      </c>
      <c r="E775" t="s">
        <v>3029</v>
      </c>
      <c r="F775" t="s">
        <v>3030</v>
      </c>
      <c r="G775" t="s">
        <v>69</v>
      </c>
      <c r="H775" t="s">
        <v>285</v>
      </c>
      <c r="I775" t="s">
        <v>141</v>
      </c>
      <c r="J775" t="s">
        <v>50</v>
      </c>
      <c r="K775" t="s">
        <v>38</v>
      </c>
      <c r="L775" t="s">
        <v>72</v>
      </c>
      <c r="M775" t="s">
        <v>116</v>
      </c>
      <c r="N775" t="s">
        <v>54</v>
      </c>
      <c r="O775" s="3">
        <v>125000</v>
      </c>
      <c r="P775" s="4">
        <v>20</v>
      </c>
      <c r="Q775" s="2">
        <v>45831</v>
      </c>
      <c r="R775" s="2">
        <v>46227</v>
      </c>
      <c r="S775" s="2">
        <v>45775</v>
      </c>
      <c r="T775" s="2"/>
      <c r="U775" t="str">
        <f t="shared" si="84"/>
        <v>No</v>
      </c>
      <c r="W7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5" t="str">
        <f t="shared" ca="1" si="85"/>
        <v>Due/Open</v>
      </c>
      <c r="Y775" t="str">
        <f t="shared" si="86"/>
        <v>Open</v>
      </c>
      <c r="Z775" t="str">
        <f t="shared" si="87"/>
        <v>Apr-2025</v>
      </c>
      <c r="AA775" t="str">
        <f t="shared" si="88"/>
        <v>Q2 2025</v>
      </c>
      <c r="AB775" s="4">
        <f t="shared" ca="1" si="89"/>
        <v>450</v>
      </c>
      <c r="AC775" t="str">
        <f t="shared" si="90"/>
        <v>Medium</v>
      </c>
    </row>
    <row r="776" spans="1:29">
      <c r="A776" t="s">
        <v>3031</v>
      </c>
      <c r="B776" s="2">
        <v>45763</v>
      </c>
      <c r="C776" t="s">
        <v>3032</v>
      </c>
      <c r="D776" t="s">
        <v>1132</v>
      </c>
      <c r="E776" t="s">
        <v>3033</v>
      </c>
      <c r="F776" t="s">
        <v>3034</v>
      </c>
      <c r="G776" t="s">
        <v>47</v>
      </c>
      <c r="H776" t="s">
        <v>89</v>
      </c>
      <c r="I776" t="s">
        <v>187</v>
      </c>
      <c r="J776" t="s">
        <v>50</v>
      </c>
      <c r="K776" t="s">
        <v>71</v>
      </c>
      <c r="L776" t="s">
        <v>132</v>
      </c>
      <c r="M776" t="s">
        <v>53</v>
      </c>
      <c r="N776" t="s">
        <v>54</v>
      </c>
      <c r="O776" s="3">
        <v>545000</v>
      </c>
      <c r="P776" s="4">
        <v>25</v>
      </c>
      <c r="Q776" s="2">
        <v>45844</v>
      </c>
      <c r="R776" s="2">
        <v>46207</v>
      </c>
      <c r="S776" s="2">
        <v>45793</v>
      </c>
      <c r="T776" s="2"/>
      <c r="U776" t="str">
        <f t="shared" si="84"/>
        <v>No</v>
      </c>
      <c r="W7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6" t="str">
        <f t="shared" ca="1" si="85"/>
        <v>Due/Open</v>
      </c>
      <c r="Y776" t="str">
        <f t="shared" si="86"/>
        <v>Open</v>
      </c>
      <c r="Z776" t="str">
        <f t="shared" si="87"/>
        <v>Apr-2025</v>
      </c>
      <c r="AA776" t="str">
        <f t="shared" si="88"/>
        <v>Q2 2025</v>
      </c>
      <c r="AB776" s="4">
        <f t="shared" ca="1" si="89"/>
        <v>436</v>
      </c>
      <c r="AC776" t="str">
        <f t="shared" si="90"/>
        <v>High</v>
      </c>
    </row>
    <row r="777" spans="1:29">
      <c r="A777" t="s">
        <v>3035</v>
      </c>
      <c r="B777" s="2">
        <v>45920</v>
      </c>
      <c r="C777" t="s">
        <v>411</v>
      </c>
      <c r="D777" t="s">
        <v>1315</v>
      </c>
      <c r="E777" t="s">
        <v>3036</v>
      </c>
      <c r="F777" t="s">
        <v>3037</v>
      </c>
      <c r="G777" t="s">
        <v>47</v>
      </c>
      <c r="H777" t="s">
        <v>122</v>
      </c>
      <c r="I777" t="s">
        <v>141</v>
      </c>
      <c r="J777" t="s">
        <v>99</v>
      </c>
      <c r="K777" t="s">
        <v>194</v>
      </c>
      <c r="L777" t="s">
        <v>132</v>
      </c>
      <c r="M777" t="s">
        <v>40</v>
      </c>
      <c r="N777" t="s">
        <v>41</v>
      </c>
      <c r="O777" s="3">
        <v>445000</v>
      </c>
      <c r="P777" s="4">
        <v>100</v>
      </c>
      <c r="Q777" s="2">
        <v>46004</v>
      </c>
      <c r="R777" s="2"/>
      <c r="S777" s="2">
        <v>45923</v>
      </c>
      <c r="T777" s="2">
        <v>46004</v>
      </c>
      <c r="U777" t="str">
        <f t="shared" si="84"/>
        <v>Yes</v>
      </c>
      <c r="W7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84</v>
      </c>
      <c r="X777" t="str">
        <f t="shared" ca="1" si="85"/>
        <v>Closed</v>
      </c>
      <c r="Y777" t="str">
        <f t="shared" si="86"/>
        <v>Closed</v>
      </c>
      <c r="Z777" t="str">
        <f t="shared" si="87"/>
        <v>Sep-2025</v>
      </c>
      <c r="AA777" t="str">
        <f t="shared" si="88"/>
        <v>Q3 2025</v>
      </c>
      <c r="AB777" s="4">
        <f t="shared" ca="1" si="89"/>
        <v>279</v>
      </c>
      <c r="AC777" t="str">
        <f t="shared" si="90"/>
        <v>High</v>
      </c>
    </row>
    <row r="778" spans="1:29">
      <c r="A778" t="s">
        <v>3038</v>
      </c>
      <c r="B778" s="2">
        <v>45808</v>
      </c>
      <c r="C778" t="s">
        <v>1880</v>
      </c>
      <c r="D778" t="s">
        <v>1416</v>
      </c>
      <c r="E778" t="s">
        <v>3039</v>
      </c>
      <c r="F778" t="s">
        <v>3040</v>
      </c>
      <c r="G778" t="s">
        <v>47</v>
      </c>
      <c r="H778" t="s">
        <v>418</v>
      </c>
      <c r="I778" t="s">
        <v>98</v>
      </c>
      <c r="J778" t="s">
        <v>99</v>
      </c>
      <c r="K778" t="s">
        <v>100</v>
      </c>
      <c r="L778" t="s">
        <v>132</v>
      </c>
      <c r="M778" t="s">
        <v>116</v>
      </c>
      <c r="N778" t="s">
        <v>54</v>
      </c>
      <c r="O778" s="3">
        <v>355000</v>
      </c>
      <c r="P778" s="4">
        <v>15</v>
      </c>
      <c r="Q778" s="2">
        <v>45896</v>
      </c>
      <c r="R778" s="2">
        <v>46157</v>
      </c>
      <c r="S778" s="2">
        <v>45838</v>
      </c>
      <c r="T778" s="2"/>
      <c r="U778" t="str">
        <f t="shared" si="84"/>
        <v>No</v>
      </c>
      <c r="W7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8" t="str">
        <f t="shared" ca="1" si="85"/>
        <v>Overdue</v>
      </c>
      <c r="Y778" t="str">
        <f t="shared" si="86"/>
        <v>Open</v>
      </c>
      <c r="Z778" t="str">
        <f t="shared" si="87"/>
        <v>May-2025</v>
      </c>
      <c r="AA778" t="str">
        <f t="shared" si="88"/>
        <v>Q2 2025</v>
      </c>
      <c r="AB778" s="4">
        <f t="shared" ca="1" si="89"/>
        <v>391</v>
      </c>
      <c r="AC778" t="str">
        <f t="shared" si="90"/>
        <v>High</v>
      </c>
    </row>
    <row r="779" spans="1:29">
      <c r="A779" t="s">
        <v>3041</v>
      </c>
      <c r="B779" s="2">
        <v>46082</v>
      </c>
      <c r="C779" t="s">
        <v>2939</v>
      </c>
      <c r="D779" t="s">
        <v>327</v>
      </c>
      <c r="E779" t="s">
        <v>3042</v>
      </c>
      <c r="F779" t="s">
        <v>3043</v>
      </c>
      <c r="G779" t="s">
        <v>34</v>
      </c>
      <c r="H779" t="s">
        <v>173</v>
      </c>
      <c r="I779" t="s">
        <v>141</v>
      </c>
      <c r="J779" t="s">
        <v>62</v>
      </c>
      <c r="K779" t="s">
        <v>38</v>
      </c>
      <c r="L779" t="s">
        <v>142</v>
      </c>
      <c r="M779" t="s">
        <v>73</v>
      </c>
      <c r="N779" t="s">
        <v>73</v>
      </c>
      <c r="O779" s="3">
        <v>375000</v>
      </c>
      <c r="P779" s="4">
        <v>75</v>
      </c>
      <c r="Q779" s="2">
        <v>46153</v>
      </c>
      <c r="R779" s="2">
        <v>46190</v>
      </c>
      <c r="S779" s="2">
        <v>46087</v>
      </c>
      <c r="T779" s="2"/>
      <c r="U779" t="str">
        <f t="shared" si="84"/>
        <v>No</v>
      </c>
      <c r="W7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79" t="str">
        <f t="shared" ca="1" si="85"/>
        <v>Overdue</v>
      </c>
      <c r="Y779" t="str">
        <f t="shared" si="86"/>
        <v>Open</v>
      </c>
      <c r="Z779" t="str">
        <f t="shared" si="87"/>
        <v>Mar-2026</v>
      </c>
      <c r="AA779" t="str">
        <f t="shared" si="88"/>
        <v>Q1 2026</v>
      </c>
      <c r="AB779" s="4">
        <f t="shared" ca="1" si="89"/>
        <v>117</v>
      </c>
      <c r="AC779" t="str">
        <f t="shared" si="90"/>
        <v>High</v>
      </c>
    </row>
    <row r="780" spans="1:29">
      <c r="A780" t="s">
        <v>3044</v>
      </c>
      <c r="B780" s="2">
        <v>46031</v>
      </c>
      <c r="C780" t="s">
        <v>1143</v>
      </c>
      <c r="D780" t="s">
        <v>407</v>
      </c>
      <c r="E780" t="s">
        <v>3045</v>
      </c>
      <c r="F780" t="s">
        <v>3046</v>
      </c>
      <c r="G780" t="s">
        <v>179</v>
      </c>
      <c r="H780" t="s">
        <v>436</v>
      </c>
      <c r="I780" t="s">
        <v>141</v>
      </c>
      <c r="J780" t="s">
        <v>124</v>
      </c>
      <c r="K780" t="s">
        <v>194</v>
      </c>
      <c r="L780" t="s">
        <v>239</v>
      </c>
      <c r="M780" t="s">
        <v>90</v>
      </c>
      <c r="N780" t="s">
        <v>91</v>
      </c>
      <c r="O780" s="3">
        <v>100000</v>
      </c>
      <c r="P780" s="4">
        <v>55</v>
      </c>
      <c r="Q780" s="2">
        <v>46113</v>
      </c>
      <c r="R780" s="2">
        <v>46224</v>
      </c>
      <c r="S780" s="2">
        <v>46040</v>
      </c>
      <c r="T780" s="2"/>
      <c r="U780" t="str">
        <f t="shared" si="84"/>
        <v>No</v>
      </c>
      <c r="W7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0" t="str">
        <f t="shared" ca="1" si="85"/>
        <v>Due/Open</v>
      </c>
      <c r="Y780" t="str">
        <f t="shared" si="86"/>
        <v>Open</v>
      </c>
      <c r="Z780" t="str">
        <f t="shared" si="87"/>
        <v>Jan-2026</v>
      </c>
      <c r="AA780" t="str">
        <f t="shared" si="88"/>
        <v>Q1 2026</v>
      </c>
      <c r="AB780" s="4">
        <f t="shared" ca="1" si="89"/>
        <v>168</v>
      </c>
      <c r="AC780" t="str">
        <f t="shared" si="90"/>
        <v>Low</v>
      </c>
    </row>
    <row r="781" spans="1:29">
      <c r="A781" t="s">
        <v>3047</v>
      </c>
      <c r="B781" s="2">
        <v>45974</v>
      </c>
      <c r="C781" t="s">
        <v>3048</v>
      </c>
      <c r="D781" t="s">
        <v>926</v>
      </c>
      <c r="E781" t="s">
        <v>3049</v>
      </c>
      <c r="F781" t="s">
        <v>3050</v>
      </c>
      <c r="G781" t="s">
        <v>34</v>
      </c>
      <c r="H781" t="s">
        <v>160</v>
      </c>
      <c r="I781" t="s">
        <v>36</v>
      </c>
      <c r="J781" t="s">
        <v>62</v>
      </c>
      <c r="K781" t="s">
        <v>194</v>
      </c>
      <c r="L781" t="s">
        <v>52</v>
      </c>
      <c r="M781" t="s">
        <v>40</v>
      </c>
      <c r="N781" t="s">
        <v>41</v>
      </c>
      <c r="O781" s="3">
        <v>100000</v>
      </c>
      <c r="P781" s="4">
        <v>100</v>
      </c>
      <c r="Q781" s="2">
        <v>45996</v>
      </c>
      <c r="R781" s="2"/>
      <c r="S781" s="2">
        <v>45980</v>
      </c>
      <c r="T781" s="2">
        <v>45996</v>
      </c>
      <c r="U781" t="str">
        <f t="shared" si="84"/>
        <v>Yes</v>
      </c>
      <c r="W7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22</v>
      </c>
      <c r="X781" t="str">
        <f t="shared" ca="1" si="85"/>
        <v>Closed</v>
      </c>
      <c r="Y781" t="str">
        <f t="shared" si="86"/>
        <v>Closed</v>
      </c>
      <c r="Z781" t="str">
        <f t="shared" si="87"/>
        <v>Nov-2025</v>
      </c>
      <c r="AA781" t="str">
        <f t="shared" si="88"/>
        <v>Q4 2025</v>
      </c>
      <c r="AB781" s="4">
        <f t="shared" ca="1" si="89"/>
        <v>225</v>
      </c>
      <c r="AC781" t="str">
        <f t="shared" si="90"/>
        <v>Low</v>
      </c>
    </row>
    <row r="782" spans="1:29">
      <c r="A782" t="s">
        <v>3051</v>
      </c>
      <c r="B782" s="2">
        <v>45978</v>
      </c>
      <c r="C782" t="s">
        <v>2358</v>
      </c>
      <c r="D782" t="s">
        <v>31</v>
      </c>
      <c r="E782" t="s">
        <v>3052</v>
      </c>
      <c r="F782" t="s">
        <v>3053</v>
      </c>
      <c r="G782" t="s">
        <v>79</v>
      </c>
      <c r="H782" t="s">
        <v>217</v>
      </c>
      <c r="I782" t="s">
        <v>49</v>
      </c>
      <c r="J782" t="s">
        <v>37</v>
      </c>
      <c r="K782" t="s">
        <v>51</v>
      </c>
      <c r="L782" t="s">
        <v>154</v>
      </c>
      <c r="M782" t="s">
        <v>116</v>
      </c>
      <c r="N782" t="s">
        <v>54</v>
      </c>
      <c r="O782" s="3">
        <v>70000</v>
      </c>
      <c r="P782" s="4">
        <v>25</v>
      </c>
      <c r="Q782" s="2">
        <v>46026</v>
      </c>
      <c r="R782" s="2">
        <v>46222</v>
      </c>
      <c r="S782" s="2">
        <v>45983</v>
      </c>
      <c r="T782" s="2"/>
      <c r="U782" t="str">
        <f t="shared" si="84"/>
        <v>No</v>
      </c>
      <c r="W7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2" t="str">
        <f t="shared" ca="1" si="85"/>
        <v>Due/Open</v>
      </c>
      <c r="Y782" t="str">
        <f t="shared" si="86"/>
        <v>Open</v>
      </c>
      <c r="Z782" t="str">
        <f t="shared" si="87"/>
        <v>Nov-2025</v>
      </c>
      <c r="AA782" t="str">
        <f t="shared" si="88"/>
        <v>Q4 2025</v>
      </c>
      <c r="AB782" s="4">
        <f t="shared" ca="1" si="89"/>
        <v>221</v>
      </c>
      <c r="AC782" t="str">
        <f t="shared" si="90"/>
        <v>Low</v>
      </c>
    </row>
    <row r="783" spans="1:29">
      <c r="A783" t="s">
        <v>3054</v>
      </c>
      <c r="B783" s="2">
        <v>45757</v>
      </c>
      <c r="C783" t="s">
        <v>393</v>
      </c>
      <c r="D783" t="s">
        <v>943</v>
      </c>
      <c r="E783" t="s">
        <v>3055</v>
      </c>
      <c r="F783" t="s">
        <v>3056</v>
      </c>
      <c r="G783" t="s">
        <v>34</v>
      </c>
      <c r="H783" t="s">
        <v>446</v>
      </c>
      <c r="I783" t="s">
        <v>49</v>
      </c>
      <c r="J783" t="s">
        <v>50</v>
      </c>
      <c r="K783" t="s">
        <v>114</v>
      </c>
      <c r="L783" t="s">
        <v>154</v>
      </c>
      <c r="M783" t="s">
        <v>90</v>
      </c>
      <c r="N783" t="s">
        <v>91</v>
      </c>
      <c r="O783" s="3">
        <v>465000</v>
      </c>
      <c r="P783" s="4">
        <v>55</v>
      </c>
      <c r="Q783" s="2">
        <v>45847</v>
      </c>
      <c r="R783" s="2">
        <v>46201</v>
      </c>
      <c r="S783" s="2">
        <v>45770</v>
      </c>
      <c r="T783" s="2"/>
      <c r="U783" t="str">
        <f t="shared" si="84"/>
        <v>No</v>
      </c>
      <c r="W7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3" t="str">
        <f t="shared" ca="1" si="85"/>
        <v>Due/Open</v>
      </c>
      <c r="Y783" t="str">
        <f t="shared" si="86"/>
        <v>Open</v>
      </c>
      <c r="Z783" t="str">
        <f t="shared" si="87"/>
        <v>Apr-2025</v>
      </c>
      <c r="AA783" t="str">
        <f t="shared" si="88"/>
        <v>Q2 2025</v>
      </c>
      <c r="AB783" s="4">
        <f t="shared" ca="1" si="89"/>
        <v>442</v>
      </c>
      <c r="AC783" t="str">
        <f t="shared" si="90"/>
        <v>High</v>
      </c>
    </row>
    <row r="784" spans="1:29">
      <c r="A784" t="s">
        <v>3057</v>
      </c>
      <c r="B784" s="2">
        <v>46178</v>
      </c>
      <c r="C784" t="s">
        <v>3058</v>
      </c>
      <c r="D784" t="s">
        <v>1560</v>
      </c>
      <c r="E784" t="s">
        <v>3059</v>
      </c>
      <c r="F784" t="s">
        <v>3060</v>
      </c>
      <c r="G784" t="s">
        <v>34</v>
      </c>
      <c r="H784" t="s">
        <v>35</v>
      </c>
      <c r="I784" t="s">
        <v>49</v>
      </c>
      <c r="J784" t="s">
        <v>99</v>
      </c>
      <c r="K784" t="s">
        <v>71</v>
      </c>
      <c r="L784" t="s">
        <v>154</v>
      </c>
      <c r="M784" t="s">
        <v>73</v>
      </c>
      <c r="N784" t="s">
        <v>73</v>
      </c>
      <c r="O784" s="3">
        <v>615000</v>
      </c>
      <c r="P784" s="4">
        <v>80</v>
      </c>
      <c r="Q784" s="2">
        <v>46221</v>
      </c>
      <c r="R784" s="2">
        <v>46211</v>
      </c>
      <c r="S784" s="2">
        <v>46192</v>
      </c>
      <c r="T784" s="2"/>
      <c r="U784" t="str">
        <f t="shared" si="84"/>
        <v>No</v>
      </c>
      <c r="W7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4" t="str">
        <f t="shared" ca="1" si="85"/>
        <v>Due/Open</v>
      </c>
      <c r="Y784" t="str">
        <f t="shared" si="86"/>
        <v>Open</v>
      </c>
      <c r="Z784" t="str">
        <f t="shared" si="87"/>
        <v>Jun-2026</v>
      </c>
      <c r="AA784" t="str">
        <f t="shared" si="88"/>
        <v>Q2 2026</v>
      </c>
      <c r="AB784" s="4">
        <f t="shared" ca="1" si="89"/>
        <v>21</v>
      </c>
      <c r="AC784" t="str">
        <f t="shared" si="90"/>
        <v>High</v>
      </c>
    </row>
    <row r="785" spans="1:29">
      <c r="A785" t="s">
        <v>3061</v>
      </c>
      <c r="B785" s="2">
        <v>45914</v>
      </c>
      <c r="C785" t="s">
        <v>2358</v>
      </c>
      <c r="D785" t="s">
        <v>926</v>
      </c>
      <c r="E785" t="s">
        <v>3062</v>
      </c>
      <c r="F785" t="s">
        <v>3063</v>
      </c>
      <c r="G785" t="s">
        <v>69</v>
      </c>
      <c r="H785" t="s">
        <v>270</v>
      </c>
      <c r="I785" t="s">
        <v>49</v>
      </c>
      <c r="J785" t="s">
        <v>62</v>
      </c>
      <c r="K785" t="s">
        <v>100</v>
      </c>
      <c r="L785" t="s">
        <v>132</v>
      </c>
      <c r="M785" t="s">
        <v>53</v>
      </c>
      <c r="N785" t="s">
        <v>54</v>
      </c>
      <c r="O785" s="3">
        <v>450000</v>
      </c>
      <c r="P785" s="4">
        <v>25</v>
      </c>
      <c r="Q785" s="2">
        <v>45982</v>
      </c>
      <c r="R785" s="2">
        <v>46227</v>
      </c>
      <c r="S785" s="2">
        <v>45933</v>
      </c>
      <c r="T785" s="2"/>
      <c r="U785" t="str">
        <f t="shared" si="84"/>
        <v>No</v>
      </c>
      <c r="W7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5" t="str">
        <f t="shared" ca="1" si="85"/>
        <v>Due/Open</v>
      </c>
      <c r="Y785" t="str">
        <f t="shared" si="86"/>
        <v>Open</v>
      </c>
      <c r="Z785" t="str">
        <f t="shared" si="87"/>
        <v>Sep-2025</v>
      </c>
      <c r="AA785" t="str">
        <f t="shared" si="88"/>
        <v>Q3 2025</v>
      </c>
      <c r="AB785" s="4">
        <f t="shared" ca="1" si="89"/>
        <v>285</v>
      </c>
      <c r="AC785" t="str">
        <f t="shared" si="90"/>
        <v>High</v>
      </c>
    </row>
    <row r="786" spans="1:29">
      <c r="A786" t="s">
        <v>3064</v>
      </c>
      <c r="B786" s="2">
        <v>45685</v>
      </c>
      <c r="C786" t="s">
        <v>3065</v>
      </c>
      <c r="D786" t="s">
        <v>332</v>
      </c>
      <c r="E786" t="s">
        <v>3066</v>
      </c>
      <c r="F786" t="s">
        <v>3067</v>
      </c>
      <c r="G786" t="s">
        <v>79</v>
      </c>
      <c r="H786" t="s">
        <v>217</v>
      </c>
      <c r="I786" t="s">
        <v>141</v>
      </c>
      <c r="J786" t="s">
        <v>131</v>
      </c>
      <c r="K786" t="s">
        <v>114</v>
      </c>
      <c r="L786" t="s">
        <v>39</v>
      </c>
      <c r="M786" t="s">
        <v>53</v>
      </c>
      <c r="N786" t="s">
        <v>54</v>
      </c>
      <c r="O786" s="3">
        <v>325000</v>
      </c>
      <c r="P786" s="4">
        <v>30</v>
      </c>
      <c r="Q786" s="2">
        <v>45732</v>
      </c>
      <c r="R786" s="2">
        <v>46200</v>
      </c>
      <c r="S786" s="2">
        <v>45705</v>
      </c>
      <c r="T786" s="2"/>
      <c r="U786" t="str">
        <f t="shared" si="84"/>
        <v>No</v>
      </c>
      <c r="W7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6" t="str">
        <f t="shared" ca="1" si="85"/>
        <v>Due/Open</v>
      </c>
      <c r="Y786" t="str">
        <f t="shared" si="86"/>
        <v>Open</v>
      </c>
      <c r="Z786" t="str">
        <f t="shared" si="87"/>
        <v>Jan-2025</v>
      </c>
      <c r="AA786" t="str">
        <f t="shared" si="88"/>
        <v>Q1 2025</v>
      </c>
      <c r="AB786" s="4">
        <f t="shared" ca="1" si="89"/>
        <v>514</v>
      </c>
      <c r="AC786" t="str">
        <f t="shared" si="90"/>
        <v>High</v>
      </c>
    </row>
    <row r="787" spans="1:29">
      <c r="A787" t="s">
        <v>3068</v>
      </c>
      <c r="B787" s="2">
        <v>46006</v>
      </c>
      <c r="C787" t="s">
        <v>3069</v>
      </c>
      <c r="D787" t="s">
        <v>565</v>
      </c>
      <c r="E787" t="s">
        <v>3070</v>
      </c>
      <c r="F787" t="s">
        <v>3071</v>
      </c>
      <c r="G787" t="s">
        <v>47</v>
      </c>
      <c r="H787" t="s">
        <v>122</v>
      </c>
      <c r="I787" t="s">
        <v>36</v>
      </c>
      <c r="J787" t="s">
        <v>62</v>
      </c>
      <c r="K787" t="s">
        <v>38</v>
      </c>
      <c r="L787" t="s">
        <v>142</v>
      </c>
      <c r="M787" t="s">
        <v>166</v>
      </c>
      <c r="N787" t="s">
        <v>167</v>
      </c>
      <c r="O787" s="3">
        <v>165000</v>
      </c>
      <c r="P787" s="4">
        <v>70</v>
      </c>
      <c r="Q787" s="2">
        <v>46041</v>
      </c>
      <c r="R787" s="2">
        <v>46230</v>
      </c>
      <c r="S787" s="2">
        <v>46025</v>
      </c>
      <c r="T787" s="2"/>
      <c r="U787" t="str">
        <f t="shared" si="84"/>
        <v>No</v>
      </c>
      <c r="W7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7" t="str">
        <f t="shared" ca="1" si="85"/>
        <v>Due/Open</v>
      </c>
      <c r="Y787" t="str">
        <f t="shared" si="86"/>
        <v>Open</v>
      </c>
      <c r="Z787" t="str">
        <f t="shared" si="87"/>
        <v>Dec-2025</v>
      </c>
      <c r="AA787" t="str">
        <f t="shared" si="88"/>
        <v>Q4 2025</v>
      </c>
      <c r="AB787" s="4">
        <f t="shared" ca="1" si="89"/>
        <v>193</v>
      </c>
      <c r="AC787" t="str">
        <f t="shared" si="90"/>
        <v>Medium</v>
      </c>
    </row>
    <row r="788" spans="1:29">
      <c r="A788" t="s">
        <v>3072</v>
      </c>
      <c r="B788" s="2">
        <v>46022</v>
      </c>
      <c r="C788" t="s">
        <v>2935</v>
      </c>
      <c r="D788" t="s">
        <v>684</v>
      </c>
      <c r="E788" t="s">
        <v>3073</v>
      </c>
      <c r="F788" t="s">
        <v>3074</v>
      </c>
      <c r="G788" t="s">
        <v>69</v>
      </c>
      <c r="H788" t="s">
        <v>200</v>
      </c>
      <c r="I788" t="s">
        <v>148</v>
      </c>
      <c r="J788" t="s">
        <v>37</v>
      </c>
      <c r="K788" t="s">
        <v>38</v>
      </c>
      <c r="L788" t="s">
        <v>63</v>
      </c>
      <c r="M788" t="s">
        <v>53</v>
      </c>
      <c r="N788" t="s">
        <v>54</v>
      </c>
      <c r="O788" s="3">
        <v>150000</v>
      </c>
      <c r="P788" s="4">
        <v>25</v>
      </c>
      <c r="Q788" s="2">
        <v>46045</v>
      </c>
      <c r="R788" s="2">
        <v>46187</v>
      </c>
      <c r="S788" s="2">
        <v>46050</v>
      </c>
      <c r="T788" s="2"/>
      <c r="U788" t="str">
        <f t="shared" si="84"/>
        <v>No</v>
      </c>
      <c r="W7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8" t="str">
        <f t="shared" ca="1" si="85"/>
        <v>Overdue</v>
      </c>
      <c r="Y788" t="str">
        <f t="shared" si="86"/>
        <v>Open</v>
      </c>
      <c r="Z788" t="str">
        <f t="shared" si="87"/>
        <v>Dec-2025</v>
      </c>
      <c r="AA788" t="str">
        <f t="shared" si="88"/>
        <v>Q4 2025</v>
      </c>
      <c r="AB788" s="4">
        <f t="shared" ca="1" si="89"/>
        <v>177</v>
      </c>
      <c r="AC788" t="str">
        <f t="shared" si="90"/>
        <v>Medium</v>
      </c>
    </row>
    <row r="789" spans="1:29">
      <c r="A789" t="s">
        <v>3075</v>
      </c>
      <c r="B789" s="2">
        <v>46032</v>
      </c>
      <c r="C789" t="s">
        <v>3076</v>
      </c>
      <c r="D789" t="s">
        <v>357</v>
      </c>
      <c r="E789" t="s">
        <v>3077</v>
      </c>
      <c r="F789" t="s">
        <v>3078</v>
      </c>
      <c r="G789" t="s">
        <v>47</v>
      </c>
      <c r="H789" t="s">
        <v>122</v>
      </c>
      <c r="I789" t="s">
        <v>49</v>
      </c>
      <c r="J789" t="s">
        <v>37</v>
      </c>
      <c r="K789" t="s">
        <v>51</v>
      </c>
      <c r="L789" t="s">
        <v>107</v>
      </c>
      <c r="M789" t="s">
        <v>53</v>
      </c>
      <c r="N789" t="s">
        <v>54</v>
      </c>
      <c r="O789" s="3">
        <v>45000</v>
      </c>
      <c r="P789" s="4">
        <v>35</v>
      </c>
      <c r="Q789" s="2">
        <v>46107</v>
      </c>
      <c r="R789" s="2">
        <v>46194</v>
      </c>
      <c r="S789" s="2">
        <v>46041</v>
      </c>
      <c r="T789" s="2"/>
      <c r="U789" t="str">
        <f t="shared" si="84"/>
        <v>No</v>
      </c>
      <c r="W7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89" t="str">
        <f t="shared" ca="1" si="85"/>
        <v>Overdue</v>
      </c>
      <c r="Y789" t="str">
        <f t="shared" si="86"/>
        <v>Open</v>
      </c>
      <c r="Z789" t="str">
        <f t="shared" si="87"/>
        <v>Jan-2026</v>
      </c>
      <c r="AA789" t="str">
        <f t="shared" si="88"/>
        <v>Q1 2026</v>
      </c>
      <c r="AB789" s="4">
        <f t="shared" ca="1" si="89"/>
        <v>167</v>
      </c>
      <c r="AC789" t="str">
        <f t="shared" si="90"/>
        <v>Low</v>
      </c>
    </row>
    <row r="790" spans="1:29">
      <c r="A790" t="s">
        <v>3079</v>
      </c>
      <c r="B790" s="2">
        <v>46154</v>
      </c>
      <c r="C790" t="s">
        <v>65</v>
      </c>
      <c r="D790" t="s">
        <v>779</v>
      </c>
      <c r="E790" t="s">
        <v>3080</v>
      </c>
      <c r="F790" t="s">
        <v>3081</v>
      </c>
      <c r="G790" t="s">
        <v>179</v>
      </c>
      <c r="H790" t="s">
        <v>436</v>
      </c>
      <c r="I790" t="s">
        <v>98</v>
      </c>
      <c r="J790" t="s">
        <v>124</v>
      </c>
      <c r="K790" t="s">
        <v>100</v>
      </c>
      <c r="L790" t="s">
        <v>115</v>
      </c>
      <c r="M790" t="s">
        <v>116</v>
      </c>
      <c r="N790" t="s">
        <v>54</v>
      </c>
      <c r="O790" s="3">
        <v>325000</v>
      </c>
      <c r="P790" s="4">
        <v>25</v>
      </c>
      <c r="Q790" s="2">
        <v>46246</v>
      </c>
      <c r="R790" s="2">
        <v>46200</v>
      </c>
      <c r="S790" s="2">
        <v>46184</v>
      </c>
      <c r="T790" s="2"/>
      <c r="U790" t="str">
        <f t="shared" si="84"/>
        <v>No</v>
      </c>
      <c r="W7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0" t="str">
        <f t="shared" ca="1" si="85"/>
        <v>Due/Open</v>
      </c>
      <c r="Y790" t="str">
        <f t="shared" si="86"/>
        <v>Open</v>
      </c>
      <c r="Z790" t="str">
        <f t="shared" si="87"/>
        <v>May-2026</v>
      </c>
      <c r="AA790" t="str">
        <f t="shared" si="88"/>
        <v>Q2 2026</v>
      </c>
      <c r="AB790" s="4">
        <f t="shared" ca="1" si="89"/>
        <v>45</v>
      </c>
      <c r="AC790" t="str">
        <f t="shared" si="90"/>
        <v>High</v>
      </c>
    </row>
    <row r="791" spans="1:29">
      <c r="A791" t="s">
        <v>3082</v>
      </c>
      <c r="B791" s="2">
        <v>46054</v>
      </c>
      <c r="C791" t="s">
        <v>2525</v>
      </c>
      <c r="D791" t="s">
        <v>76</v>
      </c>
      <c r="E791" t="s">
        <v>3083</v>
      </c>
      <c r="F791" t="s">
        <v>3084</v>
      </c>
      <c r="G791" t="s">
        <v>79</v>
      </c>
      <c r="H791" t="s">
        <v>97</v>
      </c>
      <c r="I791" t="s">
        <v>36</v>
      </c>
      <c r="J791" t="s">
        <v>124</v>
      </c>
      <c r="K791" t="s">
        <v>51</v>
      </c>
      <c r="L791" t="s">
        <v>72</v>
      </c>
      <c r="M791" t="s">
        <v>90</v>
      </c>
      <c r="N791" t="s">
        <v>91</v>
      </c>
      <c r="O791" s="3">
        <v>230000</v>
      </c>
      <c r="P791" s="4">
        <v>50</v>
      </c>
      <c r="Q791" s="2">
        <v>46136</v>
      </c>
      <c r="R791" s="2">
        <v>46211</v>
      </c>
      <c r="S791" s="2">
        <v>46060</v>
      </c>
      <c r="T791" s="2"/>
      <c r="U791" t="str">
        <f t="shared" si="84"/>
        <v>No</v>
      </c>
      <c r="W7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1" t="str">
        <f t="shared" ca="1" si="85"/>
        <v>Due/Open</v>
      </c>
      <c r="Y791" t="str">
        <f t="shared" si="86"/>
        <v>Open</v>
      </c>
      <c r="Z791" t="str">
        <f t="shared" si="87"/>
        <v>Feb-2026</v>
      </c>
      <c r="AA791" t="str">
        <f t="shared" si="88"/>
        <v>Q1 2026</v>
      </c>
      <c r="AB791" s="4">
        <f t="shared" ca="1" si="89"/>
        <v>145</v>
      </c>
      <c r="AC791" t="str">
        <f t="shared" si="90"/>
        <v>Medium</v>
      </c>
    </row>
    <row r="792" spans="1:29">
      <c r="A792" t="s">
        <v>3085</v>
      </c>
      <c r="B792" s="2">
        <v>45660</v>
      </c>
      <c r="C792" t="s">
        <v>1323</v>
      </c>
      <c r="D792" t="s">
        <v>586</v>
      </c>
      <c r="E792" t="s">
        <v>3086</v>
      </c>
      <c r="F792" t="s">
        <v>3087</v>
      </c>
      <c r="G792" t="s">
        <v>69</v>
      </c>
      <c r="H792" t="s">
        <v>312</v>
      </c>
      <c r="I792" t="s">
        <v>36</v>
      </c>
      <c r="J792" t="s">
        <v>50</v>
      </c>
      <c r="K792" t="s">
        <v>114</v>
      </c>
      <c r="L792" t="s">
        <v>52</v>
      </c>
      <c r="M792" t="s">
        <v>210</v>
      </c>
      <c r="N792" t="s">
        <v>134</v>
      </c>
      <c r="O792" s="3">
        <v>540000</v>
      </c>
      <c r="P792" s="4">
        <v>0</v>
      </c>
      <c r="Q792" s="2">
        <v>45680</v>
      </c>
      <c r="R792" s="2"/>
      <c r="S792" s="2">
        <v>45690</v>
      </c>
      <c r="T792" s="2">
        <v>45680</v>
      </c>
      <c r="U792" t="str">
        <f t="shared" si="84"/>
        <v>No</v>
      </c>
      <c r="V792" t="s">
        <v>319</v>
      </c>
      <c r="W79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792" t="str">
        <f t="shared" ca="1" si="85"/>
        <v>Closed</v>
      </c>
      <c r="Y792" t="str">
        <f t="shared" si="86"/>
        <v>Closed</v>
      </c>
      <c r="Z792" t="str">
        <f t="shared" si="87"/>
        <v>Jan-2025</v>
      </c>
      <c r="AA792" t="str">
        <f t="shared" si="88"/>
        <v>Q1 2025</v>
      </c>
      <c r="AB792" s="4">
        <f t="shared" ca="1" si="89"/>
        <v>539</v>
      </c>
      <c r="AC792" t="str">
        <f t="shared" si="90"/>
        <v>High</v>
      </c>
    </row>
    <row r="793" spans="1:29">
      <c r="A793" t="s">
        <v>3088</v>
      </c>
      <c r="B793" s="2">
        <v>46155</v>
      </c>
      <c r="C793" t="s">
        <v>805</v>
      </c>
      <c r="D793" t="s">
        <v>304</v>
      </c>
      <c r="E793" t="s">
        <v>3089</v>
      </c>
      <c r="F793" t="s">
        <v>3090</v>
      </c>
      <c r="G793" t="s">
        <v>47</v>
      </c>
      <c r="H793" t="s">
        <v>113</v>
      </c>
      <c r="I793" t="s">
        <v>123</v>
      </c>
      <c r="J793" t="s">
        <v>62</v>
      </c>
      <c r="K793" t="s">
        <v>38</v>
      </c>
      <c r="L793" t="s">
        <v>125</v>
      </c>
      <c r="M793" t="s">
        <v>40</v>
      </c>
      <c r="N793" t="s">
        <v>41</v>
      </c>
      <c r="O793" s="3">
        <v>350000</v>
      </c>
      <c r="P793" s="4">
        <v>100</v>
      </c>
      <c r="Q793" s="2">
        <v>46187</v>
      </c>
      <c r="R793" s="2"/>
      <c r="S793" s="2">
        <v>46182</v>
      </c>
      <c r="T793" s="2">
        <v>46187</v>
      </c>
      <c r="U793" t="str">
        <f t="shared" si="84"/>
        <v>Yes</v>
      </c>
      <c r="W79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793" t="str">
        <f t="shared" ca="1" si="85"/>
        <v>Closed</v>
      </c>
      <c r="Y793" t="str">
        <f t="shared" si="86"/>
        <v>Closed</v>
      </c>
      <c r="Z793" t="str">
        <f t="shared" si="87"/>
        <v>May-2026</v>
      </c>
      <c r="AA793" t="str">
        <f t="shared" si="88"/>
        <v>Q2 2026</v>
      </c>
      <c r="AB793" s="4">
        <f t="shared" ca="1" si="89"/>
        <v>44</v>
      </c>
      <c r="AC793" t="str">
        <f t="shared" si="90"/>
        <v>High</v>
      </c>
    </row>
    <row r="794" spans="1:29">
      <c r="A794" t="s">
        <v>3091</v>
      </c>
      <c r="B794" s="2">
        <v>46051</v>
      </c>
      <c r="C794" t="s">
        <v>530</v>
      </c>
      <c r="D794" t="s">
        <v>831</v>
      </c>
      <c r="E794" t="s">
        <v>3092</v>
      </c>
      <c r="F794" t="s">
        <v>3093</v>
      </c>
      <c r="G794" t="s">
        <v>79</v>
      </c>
      <c r="H794" t="s">
        <v>80</v>
      </c>
      <c r="I794" t="s">
        <v>36</v>
      </c>
      <c r="J794" t="s">
        <v>131</v>
      </c>
      <c r="K794" t="s">
        <v>100</v>
      </c>
      <c r="L794" t="s">
        <v>72</v>
      </c>
      <c r="M794" t="s">
        <v>90</v>
      </c>
      <c r="N794" t="s">
        <v>91</v>
      </c>
      <c r="O794" s="3">
        <v>310000</v>
      </c>
      <c r="P794" s="4">
        <v>55</v>
      </c>
      <c r="Q794" s="2">
        <v>46130</v>
      </c>
      <c r="R794" s="2">
        <v>46238</v>
      </c>
      <c r="S794" s="2">
        <v>46057</v>
      </c>
      <c r="T794" s="2"/>
      <c r="U794" t="str">
        <f t="shared" si="84"/>
        <v>No</v>
      </c>
      <c r="W7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4" t="str">
        <f t="shared" ca="1" si="85"/>
        <v>Due/Open</v>
      </c>
      <c r="Y794" t="str">
        <f t="shared" si="86"/>
        <v>Open</v>
      </c>
      <c r="Z794" t="str">
        <f t="shared" si="87"/>
        <v>Jan-2026</v>
      </c>
      <c r="AA794" t="str">
        <f t="shared" si="88"/>
        <v>Q1 2026</v>
      </c>
      <c r="AB794" s="4">
        <f t="shared" ca="1" si="89"/>
        <v>148</v>
      </c>
      <c r="AC794" t="str">
        <f t="shared" si="90"/>
        <v>High</v>
      </c>
    </row>
    <row r="795" spans="1:29">
      <c r="A795" t="s">
        <v>3094</v>
      </c>
      <c r="B795" s="2">
        <v>46193</v>
      </c>
      <c r="C795" t="s">
        <v>3095</v>
      </c>
      <c r="D795" t="s">
        <v>2897</v>
      </c>
      <c r="E795" t="s">
        <v>3096</v>
      </c>
      <c r="F795" t="s">
        <v>3097</v>
      </c>
      <c r="G795" t="s">
        <v>179</v>
      </c>
      <c r="H795" t="s">
        <v>436</v>
      </c>
      <c r="I795" t="s">
        <v>36</v>
      </c>
      <c r="J795" t="s">
        <v>131</v>
      </c>
      <c r="K795" t="s">
        <v>38</v>
      </c>
      <c r="L795" t="s">
        <v>63</v>
      </c>
      <c r="M795" t="s">
        <v>166</v>
      </c>
      <c r="N795" t="s">
        <v>167</v>
      </c>
      <c r="O795" s="3">
        <v>310000</v>
      </c>
      <c r="P795" s="4">
        <v>60</v>
      </c>
      <c r="Q795" s="2">
        <v>46259</v>
      </c>
      <c r="R795" s="2">
        <v>46180</v>
      </c>
      <c r="S795" s="2">
        <v>46196</v>
      </c>
      <c r="T795" s="2"/>
      <c r="U795" t="str">
        <f t="shared" si="84"/>
        <v>No</v>
      </c>
      <c r="W7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5" t="str">
        <f t="shared" ca="1" si="85"/>
        <v>Overdue</v>
      </c>
      <c r="Y795" t="str">
        <f t="shared" si="86"/>
        <v>Open</v>
      </c>
      <c r="Z795" t="str">
        <f t="shared" si="87"/>
        <v>Jun-2026</v>
      </c>
      <c r="AA795" t="str">
        <f t="shared" si="88"/>
        <v>Q2 2026</v>
      </c>
      <c r="AB795" s="4">
        <f t="shared" ca="1" si="89"/>
        <v>6</v>
      </c>
      <c r="AC795" t="str">
        <f t="shared" si="90"/>
        <v>High</v>
      </c>
    </row>
    <row r="796" spans="1:29">
      <c r="A796" t="s">
        <v>3098</v>
      </c>
      <c r="B796" s="2">
        <v>46083</v>
      </c>
      <c r="C796" t="s">
        <v>1253</v>
      </c>
      <c r="D796" t="s">
        <v>1876</v>
      </c>
      <c r="E796" t="s">
        <v>3099</v>
      </c>
      <c r="F796" t="s">
        <v>3100</v>
      </c>
      <c r="G796" t="s">
        <v>47</v>
      </c>
      <c r="H796" t="s">
        <v>113</v>
      </c>
      <c r="I796" t="s">
        <v>49</v>
      </c>
      <c r="J796" t="s">
        <v>131</v>
      </c>
      <c r="K796" t="s">
        <v>51</v>
      </c>
      <c r="L796" t="s">
        <v>154</v>
      </c>
      <c r="M796" t="s">
        <v>90</v>
      </c>
      <c r="N796" t="s">
        <v>91</v>
      </c>
      <c r="O796" s="3">
        <v>95000</v>
      </c>
      <c r="P796" s="4">
        <v>55</v>
      </c>
      <c r="Q796" s="2">
        <v>46171</v>
      </c>
      <c r="R796" s="2">
        <v>46211</v>
      </c>
      <c r="S796" s="2">
        <v>46092</v>
      </c>
      <c r="T796" s="2"/>
      <c r="U796" t="str">
        <f t="shared" si="84"/>
        <v>No</v>
      </c>
      <c r="W7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6" t="str">
        <f t="shared" ca="1" si="85"/>
        <v>Due/Open</v>
      </c>
      <c r="Y796" t="str">
        <f t="shared" si="86"/>
        <v>Open</v>
      </c>
      <c r="Z796" t="str">
        <f t="shared" si="87"/>
        <v>Mar-2026</v>
      </c>
      <c r="AA796" t="str">
        <f t="shared" si="88"/>
        <v>Q1 2026</v>
      </c>
      <c r="AB796" s="4">
        <f t="shared" ca="1" si="89"/>
        <v>116</v>
      </c>
      <c r="AC796" t="str">
        <f t="shared" si="90"/>
        <v>Low</v>
      </c>
    </row>
    <row r="797" spans="1:29">
      <c r="A797" t="s">
        <v>3101</v>
      </c>
      <c r="B797" s="2">
        <v>45843</v>
      </c>
      <c r="C797" t="s">
        <v>843</v>
      </c>
      <c r="D797" t="s">
        <v>2704</v>
      </c>
      <c r="E797" t="s">
        <v>3102</v>
      </c>
      <c r="F797" t="s">
        <v>3103</v>
      </c>
      <c r="G797" t="s">
        <v>69</v>
      </c>
      <c r="H797" t="s">
        <v>193</v>
      </c>
      <c r="I797" t="s">
        <v>36</v>
      </c>
      <c r="J797" t="s">
        <v>62</v>
      </c>
      <c r="K797" t="s">
        <v>114</v>
      </c>
      <c r="L797" t="s">
        <v>239</v>
      </c>
      <c r="M797" t="s">
        <v>90</v>
      </c>
      <c r="N797" t="s">
        <v>91</v>
      </c>
      <c r="O797" s="3">
        <v>150000</v>
      </c>
      <c r="P797" s="4">
        <v>55</v>
      </c>
      <c r="Q797" s="2">
        <v>45931</v>
      </c>
      <c r="R797" s="2">
        <v>46220</v>
      </c>
      <c r="S797" s="2">
        <v>45848</v>
      </c>
      <c r="T797" s="2"/>
      <c r="U797" t="str">
        <f t="shared" si="84"/>
        <v>No</v>
      </c>
      <c r="W7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797" t="str">
        <f t="shared" ca="1" si="85"/>
        <v>Due/Open</v>
      </c>
      <c r="Y797" t="str">
        <f t="shared" si="86"/>
        <v>Open</v>
      </c>
      <c r="Z797" t="str">
        <f t="shared" si="87"/>
        <v>Jul-2025</v>
      </c>
      <c r="AA797" t="str">
        <f t="shared" si="88"/>
        <v>Q3 2025</v>
      </c>
      <c r="AB797" s="4">
        <f t="shared" ca="1" si="89"/>
        <v>356</v>
      </c>
      <c r="AC797" t="str">
        <f t="shared" si="90"/>
        <v>Medium</v>
      </c>
    </row>
    <row r="798" spans="1:29">
      <c r="A798" t="s">
        <v>3104</v>
      </c>
      <c r="B798" s="2">
        <v>46179</v>
      </c>
      <c r="C798" t="s">
        <v>1297</v>
      </c>
      <c r="D798" t="s">
        <v>145</v>
      </c>
      <c r="E798" t="s">
        <v>3105</v>
      </c>
      <c r="F798" t="s">
        <v>3106</v>
      </c>
      <c r="G798" t="s">
        <v>69</v>
      </c>
      <c r="H798" t="s">
        <v>312</v>
      </c>
      <c r="I798" t="s">
        <v>123</v>
      </c>
      <c r="J798" t="s">
        <v>99</v>
      </c>
      <c r="K798" t="s">
        <v>114</v>
      </c>
      <c r="L798" t="s">
        <v>72</v>
      </c>
      <c r="M798" t="s">
        <v>133</v>
      </c>
      <c r="N798" t="s">
        <v>134</v>
      </c>
      <c r="O798" s="3">
        <v>695000</v>
      </c>
      <c r="P798" s="4">
        <v>0</v>
      </c>
      <c r="Q798" s="2">
        <v>46196</v>
      </c>
      <c r="R798" s="2"/>
      <c r="S798" s="2">
        <v>46192</v>
      </c>
      <c r="T798" s="2">
        <v>46196</v>
      </c>
      <c r="U798" t="str">
        <f t="shared" si="84"/>
        <v>No</v>
      </c>
      <c r="V798" t="s">
        <v>276</v>
      </c>
      <c r="W7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798" t="str">
        <f t="shared" ca="1" si="85"/>
        <v>Closed</v>
      </c>
      <c r="Y798" t="str">
        <f t="shared" si="86"/>
        <v>Closed</v>
      </c>
      <c r="Z798" t="str">
        <f t="shared" si="87"/>
        <v>Jun-2026</v>
      </c>
      <c r="AA798" t="str">
        <f t="shared" si="88"/>
        <v>Q2 2026</v>
      </c>
      <c r="AB798" s="4">
        <f t="shared" ca="1" si="89"/>
        <v>20</v>
      </c>
      <c r="AC798" t="str">
        <f t="shared" si="90"/>
        <v>High</v>
      </c>
    </row>
    <row r="799" spans="1:29">
      <c r="A799" t="s">
        <v>3107</v>
      </c>
      <c r="B799" s="2">
        <v>46013</v>
      </c>
      <c r="C799" t="s">
        <v>872</v>
      </c>
      <c r="D799" t="s">
        <v>252</v>
      </c>
      <c r="E799" t="s">
        <v>3108</v>
      </c>
      <c r="F799" t="s">
        <v>3109</v>
      </c>
      <c r="G799" t="s">
        <v>34</v>
      </c>
      <c r="H799" t="s">
        <v>35</v>
      </c>
      <c r="I799" t="s">
        <v>36</v>
      </c>
      <c r="J799" t="s">
        <v>99</v>
      </c>
      <c r="K799" t="s">
        <v>71</v>
      </c>
      <c r="L799" t="s">
        <v>39</v>
      </c>
      <c r="M799" t="s">
        <v>40</v>
      </c>
      <c r="N799" t="s">
        <v>41</v>
      </c>
      <c r="O799" s="3">
        <v>250000</v>
      </c>
      <c r="P799" s="4">
        <v>100</v>
      </c>
      <c r="Q799" s="2">
        <v>46027</v>
      </c>
      <c r="R799" s="2"/>
      <c r="S799" s="2">
        <v>46031</v>
      </c>
      <c r="T799" s="2">
        <v>46027</v>
      </c>
      <c r="U799" t="str">
        <f t="shared" si="84"/>
        <v>Yes</v>
      </c>
      <c r="W7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799" t="str">
        <f t="shared" ca="1" si="85"/>
        <v>Closed</v>
      </c>
      <c r="Y799" t="str">
        <f t="shared" si="86"/>
        <v>Closed</v>
      </c>
      <c r="Z799" t="str">
        <f t="shared" si="87"/>
        <v>Dec-2025</v>
      </c>
      <c r="AA799" t="str">
        <f t="shared" si="88"/>
        <v>Q4 2025</v>
      </c>
      <c r="AB799" s="4">
        <f t="shared" ca="1" si="89"/>
        <v>186</v>
      </c>
      <c r="AC799" t="str">
        <f t="shared" si="90"/>
        <v>Medium</v>
      </c>
    </row>
    <row r="800" spans="1:29">
      <c r="A800" t="s">
        <v>3110</v>
      </c>
      <c r="B800" s="2">
        <v>45881</v>
      </c>
      <c r="C800" t="s">
        <v>925</v>
      </c>
      <c r="D800" t="s">
        <v>1343</v>
      </c>
      <c r="E800" t="s">
        <v>3111</v>
      </c>
      <c r="F800" t="s">
        <v>3112</v>
      </c>
      <c r="G800" t="s">
        <v>47</v>
      </c>
      <c r="H800" t="s">
        <v>418</v>
      </c>
      <c r="I800" t="s">
        <v>187</v>
      </c>
      <c r="J800" t="s">
        <v>124</v>
      </c>
      <c r="K800" t="s">
        <v>51</v>
      </c>
      <c r="L800" t="s">
        <v>142</v>
      </c>
      <c r="M800" t="s">
        <v>82</v>
      </c>
      <c r="N800" t="s">
        <v>83</v>
      </c>
      <c r="O800" s="3">
        <v>340000</v>
      </c>
      <c r="P800" s="4">
        <v>5</v>
      </c>
      <c r="Q800" s="2">
        <v>45937</v>
      </c>
      <c r="R800" s="2">
        <v>46242</v>
      </c>
      <c r="S800" s="2">
        <v>45909</v>
      </c>
      <c r="T800" s="2"/>
      <c r="U800" t="str">
        <f t="shared" si="84"/>
        <v>No</v>
      </c>
      <c r="W8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0" t="str">
        <f t="shared" ca="1" si="85"/>
        <v>Due/Open</v>
      </c>
      <c r="Y800" t="str">
        <f t="shared" si="86"/>
        <v>Open</v>
      </c>
      <c r="Z800" t="str">
        <f t="shared" si="87"/>
        <v>Aug-2025</v>
      </c>
      <c r="AA800" t="str">
        <f t="shared" si="88"/>
        <v>Q3 2025</v>
      </c>
      <c r="AB800" s="4">
        <f t="shared" ca="1" si="89"/>
        <v>318</v>
      </c>
      <c r="AC800" t="str">
        <f t="shared" si="90"/>
        <v>High</v>
      </c>
    </row>
    <row r="801" spans="1:29">
      <c r="A801" t="s">
        <v>3113</v>
      </c>
      <c r="B801" s="2">
        <v>45909</v>
      </c>
      <c r="C801" t="s">
        <v>538</v>
      </c>
      <c r="D801" t="s">
        <v>895</v>
      </c>
      <c r="E801" t="s">
        <v>3114</v>
      </c>
      <c r="F801" t="s">
        <v>3115</v>
      </c>
      <c r="G801" t="s">
        <v>69</v>
      </c>
      <c r="H801" t="s">
        <v>70</v>
      </c>
      <c r="I801" t="s">
        <v>36</v>
      </c>
      <c r="J801" t="s">
        <v>99</v>
      </c>
      <c r="K801" t="s">
        <v>114</v>
      </c>
      <c r="L801" t="s">
        <v>107</v>
      </c>
      <c r="M801" t="s">
        <v>116</v>
      </c>
      <c r="N801" t="s">
        <v>54</v>
      </c>
      <c r="O801" s="3">
        <v>585000</v>
      </c>
      <c r="P801" s="4">
        <v>25</v>
      </c>
      <c r="Q801" s="2">
        <v>45936</v>
      </c>
      <c r="R801" s="2">
        <v>46181</v>
      </c>
      <c r="S801" s="2">
        <v>45939</v>
      </c>
      <c r="T801" s="2"/>
      <c r="U801" t="str">
        <f t="shared" si="84"/>
        <v>No</v>
      </c>
      <c r="W8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1" t="str">
        <f t="shared" ca="1" si="85"/>
        <v>Overdue</v>
      </c>
      <c r="Y801" t="str">
        <f t="shared" si="86"/>
        <v>Open</v>
      </c>
      <c r="Z801" t="str">
        <f t="shared" si="87"/>
        <v>Sep-2025</v>
      </c>
      <c r="AA801" t="str">
        <f t="shared" si="88"/>
        <v>Q3 2025</v>
      </c>
      <c r="AB801" s="4">
        <f t="shared" ca="1" si="89"/>
        <v>290</v>
      </c>
      <c r="AC801" t="str">
        <f t="shared" si="90"/>
        <v>High</v>
      </c>
    </row>
    <row r="802" spans="1:29">
      <c r="A802" t="s">
        <v>3116</v>
      </c>
      <c r="B802" s="2">
        <v>46033</v>
      </c>
      <c r="C802" t="s">
        <v>3117</v>
      </c>
      <c r="D802" t="s">
        <v>1017</v>
      </c>
      <c r="E802" t="s">
        <v>3118</v>
      </c>
      <c r="F802" t="s">
        <v>3119</v>
      </c>
      <c r="G802" t="s">
        <v>69</v>
      </c>
      <c r="H802" t="s">
        <v>200</v>
      </c>
      <c r="I802" t="s">
        <v>98</v>
      </c>
      <c r="J802" t="s">
        <v>37</v>
      </c>
      <c r="K802" t="s">
        <v>71</v>
      </c>
      <c r="L802" t="s">
        <v>115</v>
      </c>
      <c r="M802" t="s">
        <v>166</v>
      </c>
      <c r="N802" t="s">
        <v>167</v>
      </c>
      <c r="O802" s="3">
        <v>160000</v>
      </c>
      <c r="P802" s="4">
        <v>60</v>
      </c>
      <c r="Q802" s="2">
        <v>46059</v>
      </c>
      <c r="R802" s="2">
        <v>46189</v>
      </c>
      <c r="S802" s="2">
        <v>46061</v>
      </c>
      <c r="T802" s="2"/>
      <c r="U802" t="str">
        <f t="shared" si="84"/>
        <v>No</v>
      </c>
      <c r="W8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2" t="str">
        <f t="shared" ca="1" si="85"/>
        <v>Overdue</v>
      </c>
      <c r="Y802" t="str">
        <f t="shared" si="86"/>
        <v>Open</v>
      </c>
      <c r="Z802" t="str">
        <f t="shared" si="87"/>
        <v>Jan-2026</v>
      </c>
      <c r="AA802" t="str">
        <f t="shared" si="88"/>
        <v>Q1 2026</v>
      </c>
      <c r="AB802" s="4">
        <f t="shared" ca="1" si="89"/>
        <v>166</v>
      </c>
      <c r="AC802" t="str">
        <f t="shared" si="90"/>
        <v>Medium</v>
      </c>
    </row>
    <row r="803" spans="1:29">
      <c r="A803" t="s">
        <v>3120</v>
      </c>
      <c r="B803" s="2">
        <v>45867</v>
      </c>
      <c r="C803" t="s">
        <v>3121</v>
      </c>
      <c r="D803" t="s">
        <v>1701</v>
      </c>
      <c r="E803" t="s">
        <v>3122</v>
      </c>
      <c r="F803" t="s">
        <v>3123</v>
      </c>
      <c r="G803" t="s">
        <v>34</v>
      </c>
      <c r="H803" t="s">
        <v>160</v>
      </c>
      <c r="I803" t="s">
        <v>61</v>
      </c>
      <c r="J803" t="s">
        <v>131</v>
      </c>
      <c r="K803" t="s">
        <v>100</v>
      </c>
      <c r="L803" t="s">
        <v>125</v>
      </c>
      <c r="M803" t="s">
        <v>40</v>
      </c>
      <c r="N803" t="s">
        <v>41</v>
      </c>
      <c r="O803" s="3">
        <v>220000</v>
      </c>
      <c r="P803" s="4">
        <v>100</v>
      </c>
      <c r="Q803" s="2">
        <v>45924</v>
      </c>
      <c r="R803" s="2"/>
      <c r="S803" s="2">
        <v>45871</v>
      </c>
      <c r="T803" s="2">
        <v>45924</v>
      </c>
      <c r="U803" t="str">
        <f t="shared" si="84"/>
        <v>Yes</v>
      </c>
      <c r="W80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803" t="str">
        <f t="shared" ca="1" si="85"/>
        <v>Closed</v>
      </c>
      <c r="Y803" t="str">
        <f t="shared" si="86"/>
        <v>Closed</v>
      </c>
      <c r="Z803" t="str">
        <f t="shared" si="87"/>
        <v>Jul-2025</v>
      </c>
      <c r="AA803" t="str">
        <f t="shared" si="88"/>
        <v>Q3 2025</v>
      </c>
      <c r="AB803" s="4">
        <f t="shared" ca="1" si="89"/>
        <v>332</v>
      </c>
      <c r="AC803" t="str">
        <f t="shared" si="90"/>
        <v>Medium</v>
      </c>
    </row>
    <row r="804" spans="1:29">
      <c r="A804" t="s">
        <v>3124</v>
      </c>
      <c r="B804" s="2">
        <v>46113</v>
      </c>
      <c r="C804" t="s">
        <v>326</v>
      </c>
      <c r="D804" t="s">
        <v>1043</v>
      </c>
      <c r="E804" t="s">
        <v>3125</v>
      </c>
      <c r="F804" t="s">
        <v>3126</v>
      </c>
      <c r="G804" t="s">
        <v>34</v>
      </c>
      <c r="H804" t="s">
        <v>173</v>
      </c>
      <c r="I804" t="s">
        <v>148</v>
      </c>
      <c r="J804" t="s">
        <v>99</v>
      </c>
      <c r="K804" t="s">
        <v>100</v>
      </c>
      <c r="L804" t="s">
        <v>39</v>
      </c>
      <c r="M804" t="s">
        <v>82</v>
      </c>
      <c r="N804" t="s">
        <v>83</v>
      </c>
      <c r="O804" s="3">
        <v>505000</v>
      </c>
      <c r="P804" s="4">
        <v>5</v>
      </c>
      <c r="Q804" s="2">
        <v>46185</v>
      </c>
      <c r="R804" s="2">
        <v>46180</v>
      </c>
      <c r="S804" s="2">
        <v>46125</v>
      </c>
      <c r="T804" s="2"/>
      <c r="U804" t="str">
        <f t="shared" si="84"/>
        <v>No</v>
      </c>
      <c r="W8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4" t="str">
        <f t="shared" ca="1" si="85"/>
        <v>Overdue</v>
      </c>
      <c r="Y804" t="str">
        <f t="shared" si="86"/>
        <v>Open</v>
      </c>
      <c r="Z804" t="str">
        <f t="shared" si="87"/>
        <v>Apr-2026</v>
      </c>
      <c r="AA804" t="str">
        <f t="shared" si="88"/>
        <v>Q2 2026</v>
      </c>
      <c r="AB804" s="4">
        <f t="shared" ca="1" si="89"/>
        <v>86</v>
      </c>
      <c r="AC804" t="str">
        <f t="shared" si="90"/>
        <v>High</v>
      </c>
    </row>
    <row r="805" spans="1:29">
      <c r="A805" t="s">
        <v>3127</v>
      </c>
      <c r="B805" s="2">
        <v>45672</v>
      </c>
      <c r="C805" t="s">
        <v>1131</v>
      </c>
      <c r="D805" t="s">
        <v>1343</v>
      </c>
      <c r="E805" t="s">
        <v>3128</v>
      </c>
      <c r="F805" t="s">
        <v>3129</v>
      </c>
      <c r="G805" t="s">
        <v>179</v>
      </c>
      <c r="H805" t="s">
        <v>186</v>
      </c>
      <c r="I805" t="s">
        <v>49</v>
      </c>
      <c r="J805" t="s">
        <v>37</v>
      </c>
      <c r="K805" t="s">
        <v>38</v>
      </c>
      <c r="L805" t="s">
        <v>115</v>
      </c>
      <c r="M805" t="s">
        <v>210</v>
      </c>
      <c r="N805" t="s">
        <v>134</v>
      </c>
      <c r="O805" s="3">
        <v>105000</v>
      </c>
      <c r="P805" s="4">
        <v>0</v>
      </c>
      <c r="Q805" s="2">
        <v>45708</v>
      </c>
      <c r="R805" s="2"/>
      <c r="S805" s="2">
        <v>45680</v>
      </c>
      <c r="T805" s="2">
        <v>45708</v>
      </c>
      <c r="U805" t="str">
        <f t="shared" si="84"/>
        <v>No</v>
      </c>
      <c r="V805" t="s">
        <v>1105</v>
      </c>
      <c r="W80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805" t="str">
        <f t="shared" ca="1" si="85"/>
        <v>Closed</v>
      </c>
      <c r="Y805" t="str">
        <f t="shared" si="86"/>
        <v>Closed</v>
      </c>
      <c r="Z805" t="str">
        <f t="shared" si="87"/>
        <v>Jan-2025</v>
      </c>
      <c r="AA805" t="str">
        <f t="shared" si="88"/>
        <v>Q1 2025</v>
      </c>
      <c r="AB805" s="4">
        <f t="shared" ca="1" si="89"/>
        <v>527</v>
      </c>
      <c r="AC805" t="str">
        <f t="shared" si="90"/>
        <v>Low</v>
      </c>
    </row>
    <row r="806" spans="1:29">
      <c r="A806" t="s">
        <v>3130</v>
      </c>
      <c r="B806" s="2">
        <v>46101</v>
      </c>
      <c r="C806" t="s">
        <v>1682</v>
      </c>
      <c r="D806" t="s">
        <v>103</v>
      </c>
      <c r="E806" t="s">
        <v>3131</v>
      </c>
      <c r="F806" t="s">
        <v>3132</v>
      </c>
      <c r="G806" t="s">
        <v>79</v>
      </c>
      <c r="H806" t="s">
        <v>106</v>
      </c>
      <c r="I806" t="s">
        <v>187</v>
      </c>
      <c r="J806" t="s">
        <v>37</v>
      </c>
      <c r="K806" t="s">
        <v>194</v>
      </c>
      <c r="L806" t="s">
        <v>107</v>
      </c>
      <c r="M806" t="s">
        <v>82</v>
      </c>
      <c r="N806" t="s">
        <v>83</v>
      </c>
      <c r="O806" s="3">
        <v>145000</v>
      </c>
      <c r="P806" s="4">
        <v>10</v>
      </c>
      <c r="Q806" s="2">
        <v>46171</v>
      </c>
      <c r="R806" s="2">
        <v>46240</v>
      </c>
      <c r="S806" s="2">
        <v>46125</v>
      </c>
      <c r="T806" s="2"/>
      <c r="U806" t="str">
        <f t="shared" si="84"/>
        <v>No</v>
      </c>
      <c r="W8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6" t="str">
        <f t="shared" ca="1" si="85"/>
        <v>Due/Open</v>
      </c>
      <c r="Y806" t="str">
        <f t="shared" si="86"/>
        <v>Open</v>
      </c>
      <c r="Z806" t="str">
        <f t="shared" si="87"/>
        <v>Mar-2026</v>
      </c>
      <c r="AA806" t="str">
        <f t="shared" si="88"/>
        <v>Q1 2026</v>
      </c>
      <c r="AB806" s="4">
        <f t="shared" ca="1" si="89"/>
        <v>98</v>
      </c>
      <c r="AC806" t="str">
        <f t="shared" si="90"/>
        <v>Medium</v>
      </c>
    </row>
    <row r="807" spans="1:29">
      <c r="A807" t="s">
        <v>3133</v>
      </c>
      <c r="B807" s="2">
        <v>45729</v>
      </c>
      <c r="C807" t="s">
        <v>3134</v>
      </c>
      <c r="D807" t="s">
        <v>775</v>
      </c>
      <c r="E807" t="s">
        <v>3135</v>
      </c>
      <c r="F807" t="s">
        <v>3136</v>
      </c>
      <c r="G807" t="s">
        <v>69</v>
      </c>
      <c r="H807" t="s">
        <v>70</v>
      </c>
      <c r="I807" t="s">
        <v>36</v>
      </c>
      <c r="J807" t="s">
        <v>37</v>
      </c>
      <c r="K807" t="s">
        <v>71</v>
      </c>
      <c r="L807" t="s">
        <v>63</v>
      </c>
      <c r="M807" t="s">
        <v>40</v>
      </c>
      <c r="N807" t="s">
        <v>41</v>
      </c>
      <c r="O807" s="3">
        <v>60000</v>
      </c>
      <c r="P807" s="4">
        <v>100</v>
      </c>
      <c r="Q807" s="2">
        <v>45808</v>
      </c>
      <c r="R807" s="2"/>
      <c r="S807" s="2">
        <v>45744</v>
      </c>
      <c r="T807" s="2">
        <v>45808</v>
      </c>
      <c r="U807" t="str">
        <f t="shared" si="84"/>
        <v>Yes</v>
      </c>
      <c r="W80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79</v>
      </c>
      <c r="X807" t="str">
        <f t="shared" ca="1" si="85"/>
        <v>Closed</v>
      </c>
      <c r="Y807" t="str">
        <f t="shared" si="86"/>
        <v>Closed</v>
      </c>
      <c r="Z807" t="str">
        <f t="shared" si="87"/>
        <v>Mar-2025</v>
      </c>
      <c r="AA807" t="str">
        <f t="shared" si="88"/>
        <v>Q1 2025</v>
      </c>
      <c r="AB807" s="4">
        <f t="shared" ca="1" si="89"/>
        <v>470</v>
      </c>
      <c r="AC807" t="str">
        <f t="shared" si="90"/>
        <v>Low</v>
      </c>
    </row>
    <row r="808" spans="1:29">
      <c r="A808" t="s">
        <v>3137</v>
      </c>
      <c r="B808" s="2">
        <v>45924</v>
      </c>
      <c r="C808" t="s">
        <v>3138</v>
      </c>
      <c r="D808" t="s">
        <v>1343</v>
      </c>
      <c r="E808" t="s">
        <v>3139</v>
      </c>
      <c r="F808" t="s">
        <v>3140</v>
      </c>
      <c r="G808" t="s">
        <v>34</v>
      </c>
      <c r="H808" t="s">
        <v>60</v>
      </c>
      <c r="I808" t="s">
        <v>61</v>
      </c>
      <c r="J808" t="s">
        <v>62</v>
      </c>
      <c r="K808" t="s">
        <v>100</v>
      </c>
      <c r="L808" t="s">
        <v>107</v>
      </c>
      <c r="M808" t="s">
        <v>133</v>
      </c>
      <c r="N808" t="s">
        <v>134</v>
      </c>
      <c r="O808" s="3">
        <v>190000</v>
      </c>
      <c r="P808" s="4">
        <v>0</v>
      </c>
      <c r="Q808" s="2">
        <v>45957</v>
      </c>
      <c r="R808" s="2"/>
      <c r="S808" s="2">
        <v>45934</v>
      </c>
      <c r="T808" s="2">
        <v>45957</v>
      </c>
      <c r="U808" t="str">
        <f t="shared" si="84"/>
        <v>No</v>
      </c>
      <c r="V808" t="s">
        <v>276</v>
      </c>
      <c r="W80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33</v>
      </c>
      <c r="X808" t="str">
        <f t="shared" ca="1" si="85"/>
        <v>Closed</v>
      </c>
      <c r="Y808" t="str">
        <f t="shared" si="86"/>
        <v>Closed</v>
      </c>
      <c r="Z808" t="str">
        <f t="shared" si="87"/>
        <v>Sep-2025</v>
      </c>
      <c r="AA808" t="str">
        <f t="shared" si="88"/>
        <v>Q3 2025</v>
      </c>
      <c r="AB808" s="4">
        <f t="shared" ca="1" si="89"/>
        <v>275</v>
      </c>
      <c r="AC808" t="str">
        <f t="shared" si="90"/>
        <v>Medium</v>
      </c>
    </row>
    <row r="809" spans="1:29">
      <c r="A809" t="s">
        <v>3141</v>
      </c>
      <c r="B809" s="2">
        <v>45885</v>
      </c>
      <c r="C809" t="s">
        <v>144</v>
      </c>
      <c r="D809" t="s">
        <v>852</v>
      </c>
      <c r="E809" t="s">
        <v>3142</v>
      </c>
      <c r="F809" t="s">
        <v>3143</v>
      </c>
      <c r="G809" t="s">
        <v>79</v>
      </c>
      <c r="H809" t="s">
        <v>228</v>
      </c>
      <c r="I809" t="s">
        <v>123</v>
      </c>
      <c r="J809" t="s">
        <v>50</v>
      </c>
      <c r="K809" t="s">
        <v>71</v>
      </c>
      <c r="L809" t="s">
        <v>154</v>
      </c>
      <c r="M809" t="s">
        <v>53</v>
      </c>
      <c r="N809" t="s">
        <v>54</v>
      </c>
      <c r="O809" s="3">
        <v>495000</v>
      </c>
      <c r="P809" s="4">
        <v>25</v>
      </c>
      <c r="Q809" s="2">
        <v>45915</v>
      </c>
      <c r="R809" s="2">
        <v>46208</v>
      </c>
      <c r="S809" s="2">
        <v>45889</v>
      </c>
      <c r="T809" s="2"/>
      <c r="U809" t="str">
        <f t="shared" si="84"/>
        <v>No</v>
      </c>
      <c r="W8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09" t="str">
        <f t="shared" ca="1" si="85"/>
        <v>Due/Open</v>
      </c>
      <c r="Y809" t="str">
        <f t="shared" si="86"/>
        <v>Open</v>
      </c>
      <c r="Z809" t="str">
        <f t="shared" si="87"/>
        <v>Aug-2025</v>
      </c>
      <c r="AA809" t="str">
        <f t="shared" si="88"/>
        <v>Q3 2025</v>
      </c>
      <c r="AB809" s="4">
        <f t="shared" ca="1" si="89"/>
        <v>314</v>
      </c>
      <c r="AC809" t="str">
        <f t="shared" si="90"/>
        <v>High</v>
      </c>
    </row>
    <row r="810" spans="1:29">
      <c r="A810" t="s">
        <v>3144</v>
      </c>
      <c r="B810" s="2">
        <v>45937</v>
      </c>
      <c r="C810" t="s">
        <v>1265</v>
      </c>
      <c r="D810" t="s">
        <v>375</v>
      </c>
      <c r="E810" t="s">
        <v>3145</v>
      </c>
      <c r="F810" t="s">
        <v>3146</v>
      </c>
      <c r="G810" t="s">
        <v>34</v>
      </c>
      <c r="H810" t="s">
        <v>60</v>
      </c>
      <c r="I810" t="s">
        <v>148</v>
      </c>
      <c r="J810" t="s">
        <v>50</v>
      </c>
      <c r="K810" t="s">
        <v>51</v>
      </c>
      <c r="L810" t="s">
        <v>52</v>
      </c>
      <c r="M810" t="s">
        <v>73</v>
      </c>
      <c r="N810" t="s">
        <v>73</v>
      </c>
      <c r="O810" s="3">
        <v>295000</v>
      </c>
      <c r="P810" s="4">
        <v>75</v>
      </c>
      <c r="Q810" s="2">
        <v>45968</v>
      </c>
      <c r="R810" s="2">
        <v>46211</v>
      </c>
      <c r="S810" s="2">
        <v>45946</v>
      </c>
      <c r="T810" s="2"/>
      <c r="U810" t="str">
        <f t="shared" si="84"/>
        <v>No</v>
      </c>
      <c r="W8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0" t="str">
        <f t="shared" ca="1" si="85"/>
        <v>Due/Open</v>
      </c>
      <c r="Y810" t="str">
        <f t="shared" si="86"/>
        <v>Open</v>
      </c>
      <c r="Z810" t="str">
        <f t="shared" si="87"/>
        <v>Oct-2025</v>
      </c>
      <c r="AA810" t="str">
        <f t="shared" si="88"/>
        <v>Q4 2025</v>
      </c>
      <c r="AB810" s="4">
        <f t="shared" ca="1" si="89"/>
        <v>262</v>
      </c>
      <c r="AC810" t="str">
        <f t="shared" si="90"/>
        <v>Medium</v>
      </c>
    </row>
    <row r="811" spans="1:29">
      <c r="A811" t="s">
        <v>3147</v>
      </c>
      <c r="B811" s="2">
        <v>45992</v>
      </c>
      <c r="C811" t="s">
        <v>3148</v>
      </c>
      <c r="D811" t="s">
        <v>384</v>
      </c>
      <c r="E811" t="s">
        <v>3149</v>
      </c>
      <c r="F811" t="s">
        <v>3150</v>
      </c>
      <c r="G811" t="s">
        <v>179</v>
      </c>
      <c r="H811" t="s">
        <v>487</v>
      </c>
      <c r="I811" t="s">
        <v>61</v>
      </c>
      <c r="J811" t="s">
        <v>131</v>
      </c>
      <c r="K811" t="s">
        <v>38</v>
      </c>
      <c r="L811" t="s">
        <v>239</v>
      </c>
      <c r="M811" t="s">
        <v>133</v>
      </c>
      <c r="N811" t="s">
        <v>134</v>
      </c>
      <c r="O811" s="3">
        <v>320000</v>
      </c>
      <c r="P811" s="4">
        <v>0</v>
      </c>
      <c r="Q811" s="2">
        <v>46054</v>
      </c>
      <c r="R811" s="2"/>
      <c r="S811" s="2">
        <v>46003</v>
      </c>
      <c r="T811" s="2">
        <v>46054</v>
      </c>
      <c r="U811" t="str">
        <f t="shared" si="84"/>
        <v>No</v>
      </c>
      <c r="V811" t="s">
        <v>276</v>
      </c>
      <c r="W8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62</v>
      </c>
      <c r="X811" t="str">
        <f t="shared" ca="1" si="85"/>
        <v>Closed</v>
      </c>
      <c r="Y811" t="str">
        <f t="shared" si="86"/>
        <v>Closed</v>
      </c>
      <c r="Z811" t="str">
        <f t="shared" si="87"/>
        <v>Dec-2025</v>
      </c>
      <c r="AA811" t="str">
        <f t="shared" si="88"/>
        <v>Q4 2025</v>
      </c>
      <c r="AB811" s="4">
        <f t="shared" ca="1" si="89"/>
        <v>207</v>
      </c>
      <c r="AC811" t="str">
        <f t="shared" si="90"/>
        <v>High</v>
      </c>
    </row>
    <row r="812" spans="1:29">
      <c r="A812" t="s">
        <v>3151</v>
      </c>
      <c r="B812" s="2">
        <v>45705</v>
      </c>
      <c r="C812" t="s">
        <v>402</v>
      </c>
      <c r="D812" t="s">
        <v>547</v>
      </c>
      <c r="E812" t="s">
        <v>3152</v>
      </c>
      <c r="F812" t="s">
        <v>3153</v>
      </c>
      <c r="G812" t="s">
        <v>69</v>
      </c>
      <c r="H812" t="s">
        <v>193</v>
      </c>
      <c r="I812" t="s">
        <v>141</v>
      </c>
      <c r="J812" t="s">
        <v>131</v>
      </c>
      <c r="K812" t="s">
        <v>100</v>
      </c>
      <c r="L812" t="s">
        <v>142</v>
      </c>
      <c r="M812" t="s">
        <v>166</v>
      </c>
      <c r="N812" t="s">
        <v>167</v>
      </c>
      <c r="O812" s="3">
        <v>220000</v>
      </c>
      <c r="P812" s="4">
        <v>70</v>
      </c>
      <c r="Q812" s="2">
        <v>45789</v>
      </c>
      <c r="R812" s="2">
        <v>46183</v>
      </c>
      <c r="S812" s="2">
        <v>45732</v>
      </c>
      <c r="T812" s="2"/>
      <c r="U812" t="str">
        <f t="shared" si="84"/>
        <v>No</v>
      </c>
      <c r="W8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2" t="str">
        <f t="shared" ca="1" si="85"/>
        <v>Overdue</v>
      </c>
      <c r="Y812" t="str">
        <f t="shared" si="86"/>
        <v>Open</v>
      </c>
      <c r="Z812" t="str">
        <f t="shared" si="87"/>
        <v>Feb-2025</v>
      </c>
      <c r="AA812" t="str">
        <f t="shared" si="88"/>
        <v>Q1 2025</v>
      </c>
      <c r="AB812" s="4">
        <f t="shared" ca="1" si="89"/>
        <v>494</v>
      </c>
      <c r="AC812" t="str">
        <f t="shared" si="90"/>
        <v>Medium</v>
      </c>
    </row>
    <row r="813" spans="1:29">
      <c r="A813" t="s">
        <v>3154</v>
      </c>
      <c r="B813" s="2">
        <v>45882</v>
      </c>
      <c r="C813" t="s">
        <v>1893</v>
      </c>
      <c r="D813" t="s">
        <v>831</v>
      </c>
      <c r="E813" t="s">
        <v>3155</v>
      </c>
      <c r="F813" t="s">
        <v>3156</v>
      </c>
      <c r="G813" t="s">
        <v>47</v>
      </c>
      <c r="H813" t="s">
        <v>122</v>
      </c>
      <c r="I813" t="s">
        <v>36</v>
      </c>
      <c r="J813" t="s">
        <v>37</v>
      </c>
      <c r="K813" t="s">
        <v>71</v>
      </c>
      <c r="L813" t="s">
        <v>107</v>
      </c>
      <c r="M813" t="s">
        <v>166</v>
      </c>
      <c r="N813" t="s">
        <v>167</v>
      </c>
      <c r="O813" s="3">
        <v>65000</v>
      </c>
      <c r="P813" s="4">
        <v>60</v>
      </c>
      <c r="Q813" s="2">
        <v>45903</v>
      </c>
      <c r="R813" s="2">
        <v>46163</v>
      </c>
      <c r="S813" s="2">
        <v>45889</v>
      </c>
      <c r="T813" s="2"/>
      <c r="U813" t="str">
        <f t="shared" si="84"/>
        <v>No</v>
      </c>
      <c r="W8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3" t="str">
        <f t="shared" ca="1" si="85"/>
        <v>Overdue</v>
      </c>
      <c r="Y813" t="str">
        <f t="shared" si="86"/>
        <v>Open</v>
      </c>
      <c r="Z813" t="str">
        <f t="shared" si="87"/>
        <v>Aug-2025</v>
      </c>
      <c r="AA813" t="str">
        <f t="shared" si="88"/>
        <v>Q3 2025</v>
      </c>
      <c r="AB813" s="4">
        <f t="shared" ca="1" si="89"/>
        <v>317</v>
      </c>
      <c r="AC813" t="str">
        <f t="shared" si="90"/>
        <v>Low</v>
      </c>
    </row>
    <row r="814" spans="1:29">
      <c r="A814" t="s">
        <v>3157</v>
      </c>
      <c r="B814" s="2">
        <v>45880</v>
      </c>
      <c r="C814" t="s">
        <v>3158</v>
      </c>
      <c r="D814" t="s">
        <v>1127</v>
      </c>
      <c r="E814" t="s">
        <v>3159</v>
      </c>
      <c r="F814" t="s">
        <v>3160</v>
      </c>
      <c r="G814" t="s">
        <v>179</v>
      </c>
      <c r="H814" t="s">
        <v>180</v>
      </c>
      <c r="I814" t="s">
        <v>49</v>
      </c>
      <c r="J814" t="s">
        <v>50</v>
      </c>
      <c r="K814" t="s">
        <v>194</v>
      </c>
      <c r="L814" t="s">
        <v>72</v>
      </c>
      <c r="M814" t="s">
        <v>166</v>
      </c>
      <c r="N814" t="s">
        <v>167</v>
      </c>
      <c r="O814" s="3">
        <v>215000</v>
      </c>
      <c r="P814" s="4">
        <v>70</v>
      </c>
      <c r="Q814" s="2">
        <v>45913</v>
      </c>
      <c r="R814" s="2">
        <v>46230</v>
      </c>
      <c r="S814" s="2">
        <v>45906</v>
      </c>
      <c r="T814" s="2"/>
      <c r="U814" t="str">
        <f t="shared" si="84"/>
        <v>No</v>
      </c>
      <c r="W8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4" t="str">
        <f t="shared" ca="1" si="85"/>
        <v>Due/Open</v>
      </c>
      <c r="Y814" t="str">
        <f t="shared" si="86"/>
        <v>Open</v>
      </c>
      <c r="Z814" t="str">
        <f t="shared" si="87"/>
        <v>Aug-2025</v>
      </c>
      <c r="AA814" t="str">
        <f t="shared" si="88"/>
        <v>Q3 2025</v>
      </c>
      <c r="AB814" s="4">
        <f t="shared" ca="1" si="89"/>
        <v>319</v>
      </c>
      <c r="AC814" t="str">
        <f t="shared" si="90"/>
        <v>Medium</v>
      </c>
    </row>
    <row r="815" spans="1:29">
      <c r="A815" t="s">
        <v>3161</v>
      </c>
      <c r="B815" s="2">
        <v>46009</v>
      </c>
      <c r="C815" t="s">
        <v>1365</v>
      </c>
      <c r="D815" t="s">
        <v>904</v>
      </c>
      <c r="E815" t="s">
        <v>3162</v>
      </c>
      <c r="F815" t="s">
        <v>3163</v>
      </c>
      <c r="G815" t="s">
        <v>34</v>
      </c>
      <c r="H815" t="s">
        <v>446</v>
      </c>
      <c r="I815" t="s">
        <v>141</v>
      </c>
      <c r="J815" t="s">
        <v>124</v>
      </c>
      <c r="K815" t="s">
        <v>114</v>
      </c>
      <c r="L815" t="s">
        <v>52</v>
      </c>
      <c r="M815" t="s">
        <v>53</v>
      </c>
      <c r="N815" t="s">
        <v>54</v>
      </c>
      <c r="O815" s="3">
        <v>285000</v>
      </c>
      <c r="P815" s="4">
        <v>25</v>
      </c>
      <c r="Q815" s="2">
        <v>46058</v>
      </c>
      <c r="R815" s="2">
        <v>46234</v>
      </c>
      <c r="S815" s="2">
        <v>46029</v>
      </c>
      <c r="T815" s="2"/>
      <c r="U815" t="str">
        <f t="shared" si="84"/>
        <v>No</v>
      </c>
      <c r="W8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5" t="str">
        <f t="shared" ca="1" si="85"/>
        <v>Due/Open</v>
      </c>
      <c r="Y815" t="str">
        <f t="shared" si="86"/>
        <v>Open</v>
      </c>
      <c r="Z815" t="str">
        <f t="shared" si="87"/>
        <v>Dec-2025</v>
      </c>
      <c r="AA815" t="str">
        <f t="shared" si="88"/>
        <v>Q4 2025</v>
      </c>
      <c r="AB815" s="4">
        <f t="shared" ca="1" si="89"/>
        <v>190</v>
      </c>
      <c r="AC815" t="str">
        <f t="shared" si="90"/>
        <v>Medium</v>
      </c>
    </row>
    <row r="816" spans="1:29">
      <c r="A816" t="s">
        <v>3164</v>
      </c>
      <c r="B816" s="2">
        <v>46167</v>
      </c>
      <c r="C816" t="s">
        <v>2215</v>
      </c>
      <c r="D816" t="s">
        <v>322</v>
      </c>
      <c r="E816" t="s">
        <v>3165</v>
      </c>
      <c r="F816" t="s">
        <v>3166</v>
      </c>
      <c r="G816" t="s">
        <v>69</v>
      </c>
      <c r="H816" t="s">
        <v>200</v>
      </c>
      <c r="I816" t="s">
        <v>141</v>
      </c>
      <c r="J816" t="s">
        <v>131</v>
      </c>
      <c r="K816" t="s">
        <v>194</v>
      </c>
      <c r="L816" t="s">
        <v>239</v>
      </c>
      <c r="M816" t="s">
        <v>82</v>
      </c>
      <c r="N816" t="s">
        <v>83</v>
      </c>
      <c r="O816" s="3">
        <v>165000</v>
      </c>
      <c r="P816" s="4">
        <v>10</v>
      </c>
      <c r="Q816" s="2">
        <v>46223</v>
      </c>
      <c r="R816" s="2">
        <v>46172</v>
      </c>
      <c r="S816" s="2">
        <v>46181</v>
      </c>
      <c r="T816" s="2"/>
      <c r="U816" t="str">
        <f t="shared" si="84"/>
        <v>No</v>
      </c>
      <c r="W8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6" t="str">
        <f t="shared" ca="1" si="85"/>
        <v>Overdue</v>
      </c>
      <c r="Y816" t="str">
        <f t="shared" si="86"/>
        <v>Open</v>
      </c>
      <c r="Z816" t="str">
        <f t="shared" si="87"/>
        <v>May-2026</v>
      </c>
      <c r="AA816" t="str">
        <f t="shared" si="88"/>
        <v>Q2 2026</v>
      </c>
      <c r="AB816" s="4">
        <f t="shared" ca="1" si="89"/>
        <v>32</v>
      </c>
      <c r="AC816" t="str">
        <f t="shared" si="90"/>
        <v>Medium</v>
      </c>
    </row>
    <row r="817" spans="1:29">
      <c r="A817" t="s">
        <v>3167</v>
      </c>
      <c r="B817" s="2">
        <v>46115</v>
      </c>
      <c r="C817" t="s">
        <v>3058</v>
      </c>
      <c r="D817" t="s">
        <v>676</v>
      </c>
      <c r="E817" t="s">
        <v>3168</v>
      </c>
      <c r="F817" t="s">
        <v>3169</v>
      </c>
      <c r="G817" t="s">
        <v>69</v>
      </c>
      <c r="H817" t="s">
        <v>270</v>
      </c>
      <c r="I817" t="s">
        <v>187</v>
      </c>
      <c r="J817" t="s">
        <v>131</v>
      </c>
      <c r="K817" t="s">
        <v>51</v>
      </c>
      <c r="L817" t="s">
        <v>239</v>
      </c>
      <c r="M817" t="s">
        <v>53</v>
      </c>
      <c r="N817" t="s">
        <v>54</v>
      </c>
      <c r="O817" s="3">
        <v>315000</v>
      </c>
      <c r="P817" s="4">
        <v>25</v>
      </c>
      <c r="Q817" s="2">
        <v>46204</v>
      </c>
      <c r="R817" s="2">
        <v>46218</v>
      </c>
      <c r="S817" s="2">
        <v>46132</v>
      </c>
      <c r="T817" s="2"/>
      <c r="U817" t="str">
        <f t="shared" si="84"/>
        <v>No</v>
      </c>
      <c r="W8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7" t="str">
        <f t="shared" ca="1" si="85"/>
        <v>Due/Open</v>
      </c>
      <c r="Y817" t="str">
        <f t="shared" si="86"/>
        <v>Open</v>
      </c>
      <c r="Z817" t="str">
        <f t="shared" si="87"/>
        <v>Apr-2026</v>
      </c>
      <c r="AA817" t="str">
        <f t="shared" si="88"/>
        <v>Q2 2026</v>
      </c>
      <c r="AB817" s="4">
        <f t="shared" ca="1" si="89"/>
        <v>84</v>
      </c>
      <c r="AC817" t="str">
        <f t="shared" si="90"/>
        <v>High</v>
      </c>
    </row>
    <row r="818" spans="1:29">
      <c r="A818" t="s">
        <v>3170</v>
      </c>
      <c r="B818" s="2">
        <v>45986</v>
      </c>
      <c r="C818" t="s">
        <v>3171</v>
      </c>
      <c r="D818" t="s">
        <v>394</v>
      </c>
      <c r="E818" t="s">
        <v>3172</v>
      </c>
      <c r="F818" t="s">
        <v>3173</v>
      </c>
      <c r="G818" t="s">
        <v>69</v>
      </c>
      <c r="H818" t="s">
        <v>200</v>
      </c>
      <c r="I818" t="s">
        <v>61</v>
      </c>
      <c r="J818" t="s">
        <v>50</v>
      </c>
      <c r="K818" t="s">
        <v>194</v>
      </c>
      <c r="L818" t="s">
        <v>154</v>
      </c>
      <c r="M818" t="s">
        <v>40</v>
      </c>
      <c r="N818" t="s">
        <v>41</v>
      </c>
      <c r="O818" s="3">
        <v>395000</v>
      </c>
      <c r="P818" s="4">
        <v>100</v>
      </c>
      <c r="Q818" s="2">
        <v>46002</v>
      </c>
      <c r="R818" s="2"/>
      <c r="S818" s="2">
        <v>45998</v>
      </c>
      <c r="T818" s="2">
        <v>46002</v>
      </c>
      <c r="U818" t="str">
        <f t="shared" si="84"/>
        <v>Yes</v>
      </c>
      <c r="W81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818" t="str">
        <f t="shared" ca="1" si="85"/>
        <v>Closed</v>
      </c>
      <c r="Y818" t="str">
        <f t="shared" si="86"/>
        <v>Closed</v>
      </c>
      <c r="Z818" t="str">
        <f t="shared" si="87"/>
        <v>Nov-2025</v>
      </c>
      <c r="AA818" t="str">
        <f t="shared" si="88"/>
        <v>Q4 2025</v>
      </c>
      <c r="AB818" s="4">
        <f t="shared" ca="1" si="89"/>
        <v>213</v>
      </c>
      <c r="AC818" t="str">
        <f t="shared" si="90"/>
        <v>High</v>
      </c>
    </row>
    <row r="819" spans="1:29">
      <c r="A819" t="s">
        <v>3174</v>
      </c>
      <c r="B819" s="2">
        <v>45770</v>
      </c>
      <c r="C819" t="s">
        <v>1215</v>
      </c>
      <c r="D819" t="s">
        <v>1245</v>
      </c>
      <c r="E819" t="s">
        <v>3175</v>
      </c>
      <c r="F819" t="s">
        <v>3176</v>
      </c>
      <c r="G819" t="s">
        <v>179</v>
      </c>
      <c r="H819" t="s">
        <v>487</v>
      </c>
      <c r="I819" t="s">
        <v>61</v>
      </c>
      <c r="J819" t="s">
        <v>62</v>
      </c>
      <c r="K819" t="s">
        <v>51</v>
      </c>
      <c r="L819" t="s">
        <v>239</v>
      </c>
      <c r="M819" t="s">
        <v>73</v>
      </c>
      <c r="N819" t="s">
        <v>73</v>
      </c>
      <c r="O819" s="3">
        <v>450000</v>
      </c>
      <c r="P819" s="4">
        <v>85</v>
      </c>
      <c r="Q819" s="2">
        <v>45825</v>
      </c>
      <c r="R819" s="2">
        <v>46217</v>
      </c>
      <c r="S819" s="2">
        <v>45777</v>
      </c>
      <c r="T819" s="2"/>
      <c r="U819" t="str">
        <f t="shared" si="84"/>
        <v>No</v>
      </c>
      <c r="W8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19" t="str">
        <f t="shared" ca="1" si="85"/>
        <v>Due/Open</v>
      </c>
      <c r="Y819" t="str">
        <f t="shared" si="86"/>
        <v>Open</v>
      </c>
      <c r="Z819" t="str">
        <f t="shared" si="87"/>
        <v>Apr-2025</v>
      </c>
      <c r="AA819" t="str">
        <f t="shared" si="88"/>
        <v>Q2 2025</v>
      </c>
      <c r="AB819" s="4">
        <f t="shared" ca="1" si="89"/>
        <v>429</v>
      </c>
      <c r="AC819" t="str">
        <f t="shared" si="90"/>
        <v>High</v>
      </c>
    </row>
    <row r="820" spans="1:29">
      <c r="A820" t="s">
        <v>3177</v>
      </c>
      <c r="B820" s="2">
        <v>46105</v>
      </c>
      <c r="C820" t="s">
        <v>3178</v>
      </c>
      <c r="D820" t="s">
        <v>1315</v>
      </c>
      <c r="E820" t="s">
        <v>3179</v>
      </c>
      <c r="F820" t="s">
        <v>3180</v>
      </c>
      <c r="G820" t="s">
        <v>47</v>
      </c>
      <c r="H820" t="s">
        <v>418</v>
      </c>
      <c r="I820" t="s">
        <v>148</v>
      </c>
      <c r="J820" t="s">
        <v>131</v>
      </c>
      <c r="K820" t="s">
        <v>194</v>
      </c>
      <c r="L820" t="s">
        <v>39</v>
      </c>
      <c r="M820" t="s">
        <v>116</v>
      </c>
      <c r="N820" t="s">
        <v>54</v>
      </c>
      <c r="O820" s="3">
        <v>220000</v>
      </c>
      <c r="P820" s="4">
        <v>25</v>
      </c>
      <c r="Q820" s="2">
        <v>46181</v>
      </c>
      <c r="R820" s="2">
        <v>46197</v>
      </c>
      <c r="S820" s="2">
        <v>46115</v>
      </c>
      <c r="T820" s="2"/>
      <c r="U820" t="str">
        <f t="shared" si="84"/>
        <v>No</v>
      </c>
      <c r="W8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0" t="str">
        <f t="shared" ca="1" si="85"/>
        <v>Overdue</v>
      </c>
      <c r="Y820" t="str">
        <f t="shared" si="86"/>
        <v>Open</v>
      </c>
      <c r="Z820" t="str">
        <f t="shared" si="87"/>
        <v>Mar-2026</v>
      </c>
      <c r="AA820" t="str">
        <f t="shared" si="88"/>
        <v>Q1 2026</v>
      </c>
      <c r="AB820" s="4">
        <f t="shared" ca="1" si="89"/>
        <v>94</v>
      </c>
      <c r="AC820" t="str">
        <f t="shared" si="90"/>
        <v>Medium</v>
      </c>
    </row>
    <row r="821" spans="1:29">
      <c r="A821" t="s">
        <v>3181</v>
      </c>
      <c r="B821" s="2">
        <v>45936</v>
      </c>
      <c r="C821" t="s">
        <v>993</v>
      </c>
      <c r="D821" t="s">
        <v>784</v>
      </c>
      <c r="E821" t="s">
        <v>3182</v>
      </c>
      <c r="F821" t="s">
        <v>3183</v>
      </c>
      <c r="G821" t="s">
        <v>179</v>
      </c>
      <c r="H821" t="s">
        <v>180</v>
      </c>
      <c r="I821" t="s">
        <v>61</v>
      </c>
      <c r="J821" t="s">
        <v>50</v>
      </c>
      <c r="K821" t="s">
        <v>100</v>
      </c>
      <c r="L821" t="s">
        <v>132</v>
      </c>
      <c r="M821" t="s">
        <v>82</v>
      </c>
      <c r="N821" t="s">
        <v>83</v>
      </c>
      <c r="O821" s="3">
        <v>505000</v>
      </c>
      <c r="P821" s="4">
        <v>5</v>
      </c>
      <c r="Q821" s="2">
        <v>45968</v>
      </c>
      <c r="R821" s="2">
        <v>46165</v>
      </c>
      <c r="S821" s="2">
        <v>45957</v>
      </c>
      <c r="T821" s="2"/>
      <c r="U821" t="str">
        <f t="shared" si="84"/>
        <v>No</v>
      </c>
      <c r="W8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1" t="str">
        <f t="shared" ca="1" si="85"/>
        <v>Overdue</v>
      </c>
      <c r="Y821" t="str">
        <f t="shared" si="86"/>
        <v>Open</v>
      </c>
      <c r="Z821" t="str">
        <f t="shared" si="87"/>
        <v>Oct-2025</v>
      </c>
      <c r="AA821" t="str">
        <f t="shared" si="88"/>
        <v>Q4 2025</v>
      </c>
      <c r="AB821" s="4">
        <f t="shared" ca="1" si="89"/>
        <v>263</v>
      </c>
      <c r="AC821" t="str">
        <f t="shared" si="90"/>
        <v>High</v>
      </c>
    </row>
    <row r="822" spans="1:29">
      <c r="A822" t="s">
        <v>3184</v>
      </c>
      <c r="B822" s="2">
        <v>45736</v>
      </c>
      <c r="C822" t="s">
        <v>1740</v>
      </c>
      <c r="D822" t="s">
        <v>586</v>
      </c>
      <c r="E822" t="s">
        <v>3185</v>
      </c>
      <c r="F822" t="s">
        <v>3186</v>
      </c>
      <c r="G822" t="s">
        <v>79</v>
      </c>
      <c r="H822" t="s">
        <v>106</v>
      </c>
      <c r="I822" t="s">
        <v>49</v>
      </c>
      <c r="J822" t="s">
        <v>37</v>
      </c>
      <c r="K822" t="s">
        <v>114</v>
      </c>
      <c r="L822" t="s">
        <v>63</v>
      </c>
      <c r="M822" t="s">
        <v>90</v>
      </c>
      <c r="N822" t="s">
        <v>91</v>
      </c>
      <c r="O822" s="3">
        <v>135000</v>
      </c>
      <c r="P822" s="4">
        <v>40</v>
      </c>
      <c r="Q822" s="2">
        <v>45810</v>
      </c>
      <c r="R822" s="2">
        <v>46241</v>
      </c>
      <c r="S822" s="2">
        <v>45764</v>
      </c>
      <c r="T822" s="2"/>
      <c r="U822" t="str">
        <f t="shared" si="84"/>
        <v>No</v>
      </c>
      <c r="W8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2" t="str">
        <f t="shared" ca="1" si="85"/>
        <v>Due/Open</v>
      </c>
      <c r="Y822" t="str">
        <f t="shared" si="86"/>
        <v>Open</v>
      </c>
      <c r="Z822" t="str">
        <f t="shared" si="87"/>
        <v>Mar-2025</v>
      </c>
      <c r="AA822" t="str">
        <f t="shared" si="88"/>
        <v>Q1 2025</v>
      </c>
      <c r="AB822" s="4">
        <f t="shared" ca="1" si="89"/>
        <v>463</v>
      </c>
      <c r="AC822" t="str">
        <f t="shared" si="90"/>
        <v>Medium</v>
      </c>
    </row>
    <row r="823" spans="1:29">
      <c r="A823" t="s">
        <v>3187</v>
      </c>
      <c r="B823" s="2">
        <v>46131</v>
      </c>
      <c r="C823" t="s">
        <v>2872</v>
      </c>
      <c r="D823" t="s">
        <v>1717</v>
      </c>
      <c r="E823" t="s">
        <v>3188</v>
      </c>
      <c r="F823" t="s">
        <v>3189</v>
      </c>
      <c r="G823" t="s">
        <v>79</v>
      </c>
      <c r="H823" t="s">
        <v>97</v>
      </c>
      <c r="I823" t="s">
        <v>36</v>
      </c>
      <c r="J823" t="s">
        <v>124</v>
      </c>
      <c r="K823" t="s">
        <v>194</v>
      </c>
      <c r="L823" t="s">
        <v>107</v>
      </c>
      <c r="M823" t="s">
        <v>90</v>
      </c>
      <c r="N823" t="s">
        <v>91</v>
      </c>
      <c r="O823" s="3">
        <v>170000</v>
      </c>
      <c r="P823" s="4">
        <v>40</v>
      </c>
      <c r="Q823" s="2">
        <v>46181</v>
      </c>
      <c r="R823" s="2">
        <v>46209</v>
      </c>
      <c r="S823" s="2">
        <v>46152</v>
      </c>
      <c r="T823" s="2"/>
      <c r="U823" t="str">
        <f t="shared" si="84"/>
        <v>No</v>
      </c>
      <c r="W8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3" t="str">
        <f t="shared" ca="1" si="85"/>
        <v>Due/Open</v>
      </c>
      <c r="Y823" t="str">
        <f t="shared" si="86"/>
        <v>Open</v>
      </c>
      <c r="Z823" t="str">
        <f t="shared" si="87"/>
        <v>Apr-2026</v>
      </c>
      <c r="AA823" t="str">
        <f t="shared" si="88"/>
        <v>Q2 2026</v>
      </c>
      <c r="AB823" s="4">
        <f t="shared" ca="1" si="89"/>
        <v>68</v>
      </c>
      <c r="AC823" t="str">
        <f t="shared" si="90"/>
        <v>Medium</v>
      </c>
    </row>
    <row r="824" spans="1:29">
      <c r="A824" t="s">
        <v>3190</v>
      </c>
      <c r="B824" s="2">
        <v>46012</v>
      </c>
      <c r="C824" t="s">
        <v>622</v>
      </c>
      <c r="D824" t="s">
        <v>742</v>
      </c>
      <c r="E824" t="s">
        <v>3191</v>
      </c>
      <c r="F824" t="s">
        <v>3192</v>
      </c>
      <c r="G824" t="s">
        <v>47</v>
      </c>
      <c r="H824" t="s">
        <v>418</v>
      </c>
      <c r="I824" t="s">
        <v>148</v>
      </c>
      <c r="J824" t="s">
        <v>124</v>
      </c>
      <c r="K824" t="s">
        <v>100</v>
      </c>
      <c r="L824" t="s">
        <v>63</v>
      </c>
      <c r="M824" t="s">
        <v>53</v>
      </c>
      <c r="N824" t="s">
        <v>54</v>
      </c>
      <c r="O824" s="3">
        <v>285000</v>
      </c>
      <c r="P824" s="4">
        <v>25</v>
      </c>
      <c r="Q824" s="2">
        <v>46072</v>
      </c>
      <c r="R824" s="2">
        <v>46160</v>
      </c>
      <c r="S824" s="2">
        <v>46041</v>
      </c>
      <c r="T824" s="2"/>
      <c r="U824" t="str">
        <f t="shared" si="84"/>
        <v>No</v>
      </c>
      <c r="W8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4" t="str">
        <f t="shared" ca="1" si="85"/>
        <v>Overdue</v>
      </c>
      <c r="Y824" t="str">
        <f t="shared" si="86"/>
        <v>Open</v>
      </c>
      <c r="Z824" t="str">
        <f t="shared" si="87"/>
        <v>Dec-2025</v>
      </c>
      <c r="AA824" t="str">
        <f t="shared" si="88"/>
        <v>Q4 2025</v>
      </c>
      <c r="AB824" s="4">
        <f t="shared" ca="1" si="89"/>
        <v>187</v>
      </c>
      <c r="AC824" t="str">
        <f t="shared" si="90"/>
        <v>Medium</v>
      </c>
    </row>
    <row r="825" spans="1:29">
      <c r="A825" t="s">
        <v>3193</v>
      </c>
      <c r="B825" s="2">
        <v>45661</v>
      </c>
      <c r="C825" t="s">
        <v>3194</v>
      </c>
      <c r="D825" t="s">
        <v>459</v>
      </c>
      <c r="E825" t="s">
        <v>3195</v>
      </c>
      <c r="F825" t="s">
        <v>3196</v>
      </c>
      <c r="G825" t="s">
        <v>47</v>
      </c>
      <c r="H825" t="s">
        <v>89</v>
      </c>
      <c r="I825" t="s">
        <v>148</v>
      </c>
      <c r="J825" t="s">
        <v>131</v>
      </c>
      <c r="K825" t="s">
        <v>114</v>
      </c>
      <c r="L825" t="s">
        <v>239</v>
      </c>
      <c r="M825" t="s">
        <v>73</v>
      </c>
      <c r="N825" t="s">
        <v>73</v>
      </c>
      <c r="O825" s="3">
        <v>165000</v>
      </c>
      <c r="P825" s="4">
        <v>85</v>
      </c>
      <c r="Q825" s="2">
        <v>45731</v>
      </c>
      <c r="R825" s="2">
        <v>46225</v>
      </c>
      <c r="S825" s="2">
        <v>45666</v>
      </c>
      <c r="T825" s="2"/>
      <c r="U825" t="str">
        <f t="shared" si="84"/>
        <v>No</v>
      </c>
      <c r="W8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5" t="str">
        <f t="shared" ca="1" si="85"/>
        <v>Due/Open</v>
      </c>
      <c r="Y825" t="str">
        <f t="shared" si="86"/>
        <v>Open</v>
      </c>
      <c r="Z825" t="str">
        <f t="shared" si="87"/>
        <v>Jan-2025</v>
      </c>
      <c r="AA825" t="str">
        <f t="shared" si="88"/>
        <v>Q1 2025</v>
      </c>
      <c r="AB825" s="4">
        <f t="shared" ca="1" si="89"/>
        <v>538</v>
      </c>
      <c r="AC825" t="str">
        <f t="shared" si="90"/>
        <v>Medium</v>
      </c>
    </row>
    <row r="826" spans="1:29">
      <c r="A826" t="s">
        <v>3197</v>
      </c>
      <c r="B826" s="2">
        <v>45931</v>
      </c>
      <c r="C826" t="s">
        <v>3198</v>
      </c>
      <c r="D826" t="s">
        <v>288</v>
      </c>
      <c r="E826" t="s">
        <v>3199</v>
      </c>
      <c r="F826" t="s">
        <v>3200</v>
      </c>
      <c r="G826" t="s">
        <v>79</v>
      </c>
      <c r="H826" t="s">
        <v>217</v>
      </c>
      <c r="I826" t="s">
        <v>49</v>
      </c>
      <c r="J826" t="s">
        <v>50</v>
      </c>
      <c r="K826" t="s">
        <v>38</v>
      </c>
      <c r="L826" t="s">
        <v>125</v>
      </c>
      <c r="M826" t="s">
        <v>133</v>
      </c>
      <c r="N826" t="s">
        <v>134</v>
      </c>
      <c r="O826" s="3">
        <v>405000</v>
      </c>
      <c r="P826" s="4">
        <v>0</v>
      </c>
      <c r="Q826" s="2">
        <v>45981</v>
      </c>
      <c r="R826" s="2"/>
      <c r="S826" s="2">
        <v>45950</v>
      </c>
      <c r="T826" s="2">
        <v>45981</v>
      </c>
      <c r="U826" t="str">
        <f t="shared" si="84"/>
        <v>No</v>
      </c>
      <c r="V826" t="s">
        <v>452</v>
      </c>
      <c r="W82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826" t="str">
        <f t="shared" ca="1" si="85"/>
        <v>Closed</v>
      </c>
      <c r="Y826" t="str">
        <f t="shared" si="86"/>
        <v>Closed</v>
      </c>
      <c r="Z826" t="str">
        <f t="shared" si="87"/>
        <v>Oct-2025</v>
      </c>
      <c r="AA826" t="str">
        <f t="shared" si="88"/>
        <v>Q4 2025</v>
      </c>
      <c r="AB826" s="4">
        <f t="shared" ca="1" si="89"/>
        <v>268</v>
      </c>
      <c r="AC826" t="str">
        <f t="shared" si="90"/>
        <v>High</v>
      </c>
    </row>
    <row r="827" spans="1:29">
      <c r="A827" t="s">
        <v>3201</v>
      </c>
      <c r="B827" s="2">
        <v>46141</v>
      </c>
      <c r="C827" t="s">
        <v>56</v>
      </c>
      <c r="D827" t="s">
        <v>1366</v>
      </c>
      <c r="E827" t="s">
        <v>3202</v>
      </c>
      <c r="F827" t="s">
        <v>3203</v>
      </c>
      <c r="G827" t="s">
        <v>179</v>
      </c>
      <c r="H827" t="s">
        <v>318</v>
      </c>
      <c r="I827" t="s">
        <v>49</v>
      </c>
      <c r="J827" t="s">
        <v>99</v>
      </c>
      <c r="K827" t="s">
        <v>51</v>
      </c>
      <c r="L827" t="s">
        <v>39</v>
      </c>
      <c r="M827" t="s">
        <v>90</v>
      </c>
      <c r="N827" t="s">
        <v>91</v>
      </c>
      <c r="O827" s="3">
        <v>360000</v>
      </c>
      <c r="P827" s="4">
        <v>40</v>
      </c>
      <c r="Q827" s="2">
        <v>46190</v>
      </c>
      <c r="R827" s="2">
        <v>46169</v>
      </c>
      <c r="S827" s="2">
        <v>46165</v>
      </c>
      <c r="T827" s="2"/>
      <c r="U827" t="str">
        <f t="shared" si="84"/>
        <v>No</v>
      </c>
      <c r="W8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7" t="str">
        <f t="shared" ca="1" si="85"/>
        <v>Overdue</v>
      </c>
      <c r="Y827" t="str">
        <f t="shared" si="86"/>
        <v>Open</v>
      </c>
      <c r="Z827" t="str">
        <f t="shared" si="87"/>
        <v>Apr-2026</v>
      </c>
      <c r="AA827" t="str">
        <f t="shared" si="88"/>
        <v>Q2 2026</v>
      </c>
      <c r="AB827" s="4">
        <f t="shared" ca="1" si="89"/>
        <v>58</v>
      </c>
      <c r="AC827" t="str">
        <f t="shared" si="90"/>
        <v>High</v>
      </c>
    </row>
    <row r="828" spans="1:29">
      <c r="A828" t="s">
        <v>3204</v>
      </c>
      <c r="B828" s="2">
        <v>46116</v>
      </c>
      <c r="C828" t="s">
        <v>1071</v>
      </c>
      <c r="D828" t="s">
        <v>484</v>
      </c>
      <c r="E828" t="s">
        <v>3205</v>
      </c>
      <c r="F828" t="s">
        <v>3206</v>
      </c>
      <c r="G828" t="s">
        <v>79</v>
      </c>
      <c r="H828" t="s">
        <v>260</v>
      </c>
      <c r="I828" t="s">
        <v>187</v>
      </c>
      <c r="J828" t="s">
        <v>50</v>
      </c>
      <c r="K828" t="s">
        <v>38</v>
      </c>
      <c r="L828" t="s">
        <v>154</v>
      </c>
      <c r="M828" t="s">
        <v>90</v>
      </c>
      <c r="N828" t="s">
        <v>91</v>
      </c>
      <c r="O828" s="3">
        <v>130000</v>
      </c>
      <c r="P828" s="4">
        <v>55</v>
      </c>
      <c r="Q828" s="2">
        <v>46148</v>
      </c>
      <c r="R828" s="2">
        <v>46202</v>
      </c>
      <c r="S828" s="2">
        <v>46144</v>
      </c>
      <c r="T828" s="2"/>
      <c r="U828" t="str">
        <f t="shared" si="84"/>
        <v>No</v>
      </c>
      <c r="W8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8" t="str">
        <f t="shared" ca="1" si="85"/>
        <v>Due/Open</v>
      </c>
      <c r="Y828" t="str">
        <f t="shared" si="86"/>
        <v>Open</v>
      </c>
      <c r="Z828" t="str">
        <f t="shared" si="87"/>
        <v>Apr-2026</v>
      </c>
      <c r="AA828" t="str">
        <f t="shared" si="88"/>
        <v>Q2 2026</v>
      </c>
      <c r="AB828" s="4">
        <f t="shared" ca="1" si="89"/>
        <v>83</v>
      </c>
      <c r="AC828" t="str">
        <f t="shared" si="90"/>
        <v>Medium</v>
      </c>
    </row>
    <row r="829" spans="1:29">
      <c r="A829" t="s">
        <v>3207</v>
      </c>
      <c r="B829" s="2">
        <v>46188</v>
      </c>
      <c r="C829" t="s">
        <v>3208</v>
      </c>
      <c r="D829" t="s">
        <v>701</v>
      </c>
      <c r="E829" t="s">
        <v>3209</v>
      </c>
      <c r="F829" t="s">
        <v>3210</v>
      </c>
      <c r="G829" t="s">
        <v>179</v>
      </c>
      <c r="H829" t="s">
        <v>180</v>
      </c>
      <c r="I829" t="s">
        <v>36</v>
      </c>
      <c r="J829" t="s">
        <v>37</v>
      </c>
      <c r="K829" t="s">
        <v>114</v>
      </c>
      <c r="L829" t="s">
        <v>154</v>
      </c>
      <c r="M829" t="s">
        <v>90</v>
      </c>
      <c r="N829" t="s">
        <v>91</v>
      </c>
      <c r="O829" s="3">
        <v>175000</v>
      </c>
      <c r="P829" s="4">
        <v>55</v>
      </c>
      <c r="Q829" s="2">
        <v>46266</v>
      </c>
      <c r="R829" s="2">
        <v>46236</v>
      </c>
      <c r="S829" s="2">
        <v>46195</v>
      </c>
      <c r="T829" s="2"/>
      <c r="U829" t="str">
        <f t="shared" si="84"/>
        <v>No</v>
      </c>
      <c r="W8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29" t="str">
        <f t="shared" ca="1" si="85"/>
        <v>Due/Open</v>
      </c>
      <c r="Y829" t="str">
        <f t="shared" si="86"/>
        <v>Open</v>
      </c>
      <c r="Z829" t="str">
        <f t="shared" si="87"/>
        <v>Jun-2026</v>
      </c>
      <c r="AA829" t="str">
        <f t="shared" si="88"/>
        <v>Q2 2026</v>
      </c>
      <c r="AB829" s="4">
        <f t="shared" ca="1" si="89"/>
        <v>11</v>
      </c>
      <c r="AC829" t="str">
        <f t="shared" si="90"/>
        <v>Medium</v>
      </c>
    </row>
    <row r="830" spans="1:29">
      <c r="A830" t="s">
        <v>3211</v>
      </c>
      <c r="B830" s="2">
        <v>45713</v>
      </c>
      <c r="C830" t="s">
        <v>144</v>
      </c>
      <c r="D830" t="s">
        <v>512</v>
      </c>
      <c r="E830" t="s">
        <v>3212</v>
      </c>
      <c r="F830" t="s">
        <v>3213</v>
      </c>
      <c r="G830" t="s">
        <v>34</v>
      </c>
      <c r="H830" t="s">
        <v>60</v>
      </c>
      <c r="I830" t="s">
        <v>98</v>
      </c>
      <c r="J830" t="s">
        <v>99</v>
      </c>
      <c r="K830" t="s">
        <v>100</v>
      </c>
      <c r="L830" t="s">
        <v>52</v>
      </c>
      <c r="M830" t="s">
        <v>133</v>
      </c>
      <c r="N830" t="s">
        <v>134</v>
      </c>
      <c r="O830" s="3">
        <v>485000</v>
      </c>
      <c r="P830" s="4">
        <v>0</v>
      </c>
      <c r="Q830" s="2">
        <v>45722</v>
      </c>
      <c r="R830" s="2"/>
      <c r="S830" s="2">
        <v>45718</v>
      </c>
      <c r="T830" s="2">
        <v>45722</v>
      </c>
      <c r="U830" t="str">
        <f t="shared" si="84"/>
        <v>No</v>
      </c>
      <c r="V830" t="s">
        <v>1105</v>
      </c>
      <c r="W83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9</v>
      </c>
      <c r="X830" t="str">
        <f t="shared" ca="1" si="85"/>
        <v>Closed</v>
      </c>
      <c r="Y830" t="str">
        <f t="shared" si="86"/>
        <v>Closed</v>
      </c>
      <c r="Z830" t="str">
        <f t="shared" si="87"/>
        <v>Feb-2025</v>
      </c>
      <c r="AA830" t="str">
        <f t="shared" si="88"/>
        <v>Q1 2025</v>
      </c>
      <c r="AB830" s="4">
        <f t="shared" ca="1" si="89"/>
        <v>486</v>
      </c>
      <c r="AC830" t="str">
        <f t="shared" si="90"/>
        <v>High</v>
      </c>
    </row>
    <row r="831" spans="1:29">
      <c r="A831" t="s">
        <v>3214</v>
      </c>
      <c r="B831" s="2">
        <v>46189</v>
      </c>
      <c r="C831" t="s">
        <v>1619</v>
      </c>
      <c r="D831" t="s">
        <v>775</v>
      </c>
      <c r="E831" t="s">
        <v>3215</v>
      </c>
      <c r="F831" t="s">
        <v>3216</v>
      </c>
      <c r="G831" t="s">
        <v>47</v>
      </c>
      <c r="H831" t="s">
        <v>89</v>
      </c>
      <c r="I831" t="s">
        <v>123</v>
      </c>
      <c r="J831" t="s">
        <v>50</v>
      </c>
      <c r="K831" t="s">
        <v>71</v>
      </c>
      <c r="L831" t="s">
        <v>39</v>
      </c>
      <c r="M831" t="s">
        <v>90</v>
      </c>
      <c r="N831" t="s">
        <v>91</v>
      </c>
      <c r="O831" s="3">
        <v>140000</v>
      </c>
      <c r="P831" s="4">
        <v>55</v>
      </c>
      <c r="Q831" s="2">
        <v>46238</v>
      </c>
      <c r="R831" s="2">
        <v>46166</v>
      </c>
      <c r="S831" s="2">
        <v>46195</v>
      </c>
      <c r="T831" s="2"/>
      <c r="U831" t="str">
        <f t="shared" si="84"/>
        <v>No</v>
      </c>
      <c r="W8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1" t="str">
        <f t="shared" ca="1" si="85"/>
        <v>Overdue</v>
      </c>
      <c r="Y831" t="str">
        <f t="shared" si="86"/>
        <v>Open</v>
      </c>
      <c r="Z831" t="str">
        <f t="shared" si="87"/>
        <v>Jun-2026</v>
      </c>
      <c r="AA831" t="str">
        <f t="shared" si="88"/>
        <v>Q2 2026</v>
      </c>
      <c r="AB831" s="4">
        <f t="shared" ca="1" si="89"/>
        <v>10</v>
      </c>
      <c r="AC831" t="str">
        <f t="shared" si="90"/>
        <v>Medium</v>
      </c>
    </row>
    <row r="832" spans="1:29">
      <c r="A832" t="s">
        <v>3217</v>
      </c>
      <c r="B832" s="2">
        <v>45847</v>
      </c>
      <c r="C832" t="s">
        <v>3218</v>
      </c>
      <c r="D832" t="s">
        <v>1148</v>
      </c>
      <c r="E832" t="s">
        <v>3219</v>
      </c>
      <c r="F832" t="s">
        <v>3220</v>
      </c>
      <c r="G832" t="s">
        <v>179</v>
      </c>
      <c r="H832" t="s">
        <v>318</v>
      </c>
      <c r="I832" t="s">
        <v>36</v>
      </c>
      <c r="J832" t="s">
        <v>99</v>
      </c>
      <c r="K832" t="s">
        <v>71</v>
      </c>
      <c r="L832" t="s">
        <v>72</v>
      </c>
      <c r="M832" t="s">
        <v>40</v>
      </c>
      <c r="N832" t="s">
        <v>41</v>
      </c>
      <c r="O832" s="3">
        <v>625000</v>
      </c>
      <c r="P832" s="4">
        <v>100</v>
      </c>
      <c r="Q832" s="2">
        <v>45919</v>
      </c>
      <c r="R832" s="2"/>
      <c r="S832" s="2">
        <v>45875</v>
      </c>
      <c r="T832" s="2">
        <v>45919</v>
      </c>
      <c r="U832" t="str">
        <f t="shared" si="84"/>
        <v>Yes</v>
      </c>
      <c r="W83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832" t="str">
        <f t="shared" ca="1" si="85"/>
        <v>Closed</v>
      </c>
      <c r="Y832" t="str">
        <f t="shared" si="86"/>
        <v>Closed</v>
      </c>
      <c r="Z832" t="str">
        <f t="shared" si="87"/>
        <v>Jul-2025</v>
      </c>
      <c r="AA832" t="str">
        <f t="shared" si="88"/>
        <v>Q3 2025</v>
      </c>
      <c r="AB832" s="4">
        <f t="shared" ca="1" si="89"/>
        <v>352</v>
      </c>
      <c r="AC832" t="str">
        <f t="shared" si="90"/>
        <v>High</v>
      </c>
    </row>
    <row r="833" spans="1:29">
      <c r="A833" t="s">
        <v>3221</v>
      </c>
      <c r="B833" s="2">
        <v>45931</v>
      </c>
      <c r="C833" t="s">
        <v>3222</v>
      </c>
      <c r="D833" t="s">
        <v>1868</v>
      </c>
      <c r="E833" t="s">
        <v>3223</v>
      </c>
      <c r="F833" t="s">
        <v>3224</v>
      </c>
      <c r="G833" t="s">
        <v>47</v>
      </c>
      <c r="H833" t="s">
        <v>89</v>
      </c>
      <c r="I833" t="s">
        <v>49</v>
      </c>
      <c r="J833" t="s">
        <v>50</v>
      </c>
      <c r="K833" t="s">
        <v>194</v>
      </c>
      <c r="L833" t="s">
        <v>52</v>
      </c>
      <c r="M833" t="s">
        <v>116</v>
      </c>
      <c r="N833" t="s">
        <v>54</v>
      </c>
      <c r="O833" s="3">
        <v>365000</v>
      </c>
      <c r="P833" s="4">
        <v>20</v>
      </c>
      <c r="Q833" s="2">
        <v>46001</v>
      </c>
      <c r="R833" s="2">
        <v>46187</v>
      </c>
      <c r="S833" s="2">
        <v>45941</v>
      </c>
      <c r="T833" s="2"/>
      <c r="U833" t="str">
        <f t="shared" si="84"/>
        <v>No</v>
      </c>
      <c r="W8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3" t="str">
        <f t="shared" ca="1" si="85"/>
        <v>Overdue</v>
      </c>
      <c r="Y833" t="str">
        <f t="shared" si="86"/>
        <v>Open</v>
      </c>
      <c r="Z833" t="str">
        <f t="shared" si="87"/>
        <v>Oct-2025</v>
      </c>
      <c r="AA833" t="str">
        <f t="shared" si="88"/>
        <v>Q4 2025</v>
      </c>
      <c r="AB833" s="4">
        <f t="shared" ca="1" si="89"/>
        <v>268</v>
      </c>
      <c r="AC833" t="str">
        <f t="shared" si="90"/>
        <v>High</v>
      </c>
    </row>
    <row r="834" spans="1:29">
      <c r="A834" t="s">
        <v>3225</v>
      </c>
      <c r="B834" s="2">
        <v>46155</v>
      </c>
      <c r="C834" t="s">
        <v>3226</v>
      </c>
      <c r="D834" t="s">
        <v>676</v>
      </c>
      <c r="E834" t="s">
        <v>3227</v>
      </c>
      <c r="F834" t="s">
        <v>3228</v>
      </c>
      <c r="G834" t="s">
        <v>179</v>
      </c>
      <c r="H834" t="s">
        <v>487</v>
      </c>
      <c r="I834" t="s">
        <v>141</v>
      </c>
      <c r="J834" t="s">
        <v>62</v>
      </c>
      <c r="K834" t="s">
        <v>100</v>
      </c>
      <c r="L834" t="s">
        <v>107</v>
      </c>
      <c r="M834" t="s">
        <v>166</v>
      </c>
      <c r="N834" t="s">
        <v>167</v>
      </c>
      <c r="O834" s="3">
        <v>195000</v>
      </c>
      <c r="P834" s="4">
        <v>65</v>
      </c>
      <c r="Q834" s="2">
        <v>46228</v>
      </c>
      <c r="R834" s="2">
        <v>46187</v>
      </c>
      <c r="S834" s="2">
        <v>46169</v>
      </c>
      <c r="T834" s="2"/>
      <c r="U834" t="str">
        <f t="shared" ref="U834:U897" si="91">IF(M834="Converted","Yes","No")</f>
        <v>No</v>
      </c>
      <c r="W8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4" t="str">
        <f t="shared" ref="X834:X897" ca="1" si="92">IF(OR(M834="Converted",M834="Lost",M834="Not Interested"),"Closed",IF(R834&lt;TODAY(),"Overdue","Due/Open"))</f>
        <v>Overdue</v>
      </c>
      <c r="Y834" t="str">
        <f t="shared" ref="Y834:Y897" si="93">IF(OR(M834="Converted",M834="Lost",M834="Not Interested"),"Closed","Open")</f>
        <v>Open</v>
      </c>
      <c r="Z834" t="str">
        <f t="shared" ref="Z834:Z897" si="94">TEXT(B834,"mmm-yyyy")</f>
        <v>May-2026</v>
      </c>
      <c r="AA834" t="str">
        <f t="shared" ref="AA834:AA897" si="95">"Q"&amp;ROUNDUP(MONTH(B834)/3,0)&amp;" "&amp;YEAR(B834)</f>
        <v>Q2 2026</v>
      </c>
      <c r="AB834" s="4">
        <f t="shared" ref="AB834:AB897" ca="1" si="96">TODAY()-B834</f>
        <v>44</v>
      </c>
      <c r="AC834" t="str">
        <f t="shared" ref="AC834:AC897" si="97">IF(O834&gt;=300000,"High",IF(O834&gt;=120000,"Medium","Low"))</f>
        <v>Medium</v>
      </c>
    </row>
    <row r="835" spans="1:29">
      <c r="A835" t="s">
        <v>3229</v>
      </c>
      <c r="B835" s="2">
        <v>45690</v>
      </c>
      <c r="C835" t="s">
        <v>1051</v>
      </c>
      <c r="D835" t="s">
        <v>926</v>
      </c>
      <c r="E835" t="s">
        <v>3230</v>
      </c>
      <c r="F835" t="s">
        <v>3231</v>
      </c>
      <c r="G835" t="s">
        <v>179</v>
      </c>
      <c r="H835" t="s">
        <v>487</v>
      </c>
      <c r="I835" t="s">
        <v>148</v>
      </c>
      <c r="J835" t="s">
        <v>99</v>
      </c>
      <c r="K835" t="s">
        <v>71</v>
      </c>
      <c r="L835" t="s">
        <v>125</v>
      </c>
      <c r="M835" t="s">
        <v>133</v>
      </c>
      <c r="N835" t="s">
        <v>134</v>
      </c>
      <c r="O835" s="3">
        <v>335000</v>
      </c>
      <c r="P835" s="4">
        <v>0</v>
      </c>
      <c r="Q835" s="2">
        <v>45751</v>
      </c>
      <c r="R835" s="2"/>
      <c r="S835" s="2">
        <v>45704</v>
      </c>
      <c r="T835" s="2">
        <v>45751</v>
      </c>
      <c r="U835" t="str">
        <f t="shared" si="91"/>
        <v>No</v>
      </c>
      <c r="V835" t="s">
        <v>452</v>
      </c>
      <c r="W83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835" t="str">
        <f t="shared" ca="1" si="92"/>
        <v>Closed</v>
      </c>
      <c r="Y835" t="str">
        <f t="shared" si="93"/>
        <v>Closed</v>
      </c>
      <c r="Z835" t="str">
        <f t="shared" si="94"/>
        <v>Feb-2025</v>
      </c>
      <c r="AA835" t="str">
        <f t="shared" si="95"/>
        <v>Q1 2025</v>
      </c>
      <c r="AB835" s="4">
        <f t="shared" ca="1" si="96"/>
        <v>509</v>
      </c>
      <c r="AC835" t="str">
        <f t="shared" si="97"/>
        <v>High</v>
      </c>
    </row>
    <row r="836" spans="1:29">
      <c r="A836" t="s">
        <v>3232</v>
      </c>
      <c r="B836" s="2">
        <v>45671</v>
      </c>
      <c r="C836" t="s">
        <v>224</v>
      </c>
      <c r="D836" t="s">
        <v>852</v>
      </c>
      <c r="E836" t="s">
        <v>3233</v>
      </c>
      <c r="F836" t="s">
        <v>3234</v>
      </c>
      <c r="G836" t="s">
        <v>34</v>
      </c>
      <c r="H836" t="s">
        <v>173</v>
      </c>
      <c r="I836" t="s">
        <v>98</v>
      </c>
      <c r="J836" t="s">
        <v>131</v>
      </c>
      <c r="K836" t="s">
        <v>38</v>
      </c>
      <c r="L836" t="s">
        <v>239</v>
      </c>
      <c r="M836" t="s">
        <v>82</v>
      </c>
      <c r="N836" t="s">
        <v>83</v>
      </c>
      <c r="O836" s="3">
        <v>360000</v>
      </c>
      <c r="P836" s="4">
        <v>5</v>
      </c>
      <c r="Q836" s="2">
        <v>45707</v>
      </c>
      <c r="R836" s="2">
        <v>46195</v>
      </c>
      <c r="S836" s="2">
        <v>45693</v>
      </c>
      <c r="T836" s="2"/>
      <c r="U836" t="str">
        <f t="shared" si="91"/>
        <v>No</v>
      </c>
      <c r="W8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6" t="str">
        <f t="shared" ca="1" si="92"/>
        <v>Overdue</v>
      </c>
      <c r="Y836" t="str">
        <f t="shared" si="93"/>
        <v>Open</v>
      </c>
      <c r="Z836" t="str">
        <f t="shared" si="94"/>
        <v>Jan-2025</v>
      </c>
      <c r="AA836" t="str">
        <f t="shared" si="95"/>
        <v>Q1 2025</v>
      </c>
      <c r="AB836" s="4">
        <f t="shared" ca="1" si="96"/>
        <v>528</v>
      </c>
      <c r="AC836" t="str">
        <f t="shared" si="97"/>
        <v>High</v>
      </c>
    </row>
    <row r="837" spans="1:29">
      <c r="A837" t="s">
        <v>3235</v>
      </c>
      <c r="B837" s="2">
        <v>45721</v>
      </c>
      <c r="C837" t="s">
        <v>3236</v>
      </c>
      <c r="D837" t="s">
        <v>309</v>
      </c>
      <c r="E837" t="s">
        <v>3237</v>
      </c>
      <c r="F837" t="s">
        <v>3238</v>
      </c>
      <c r="G837" t="s">
        <v>69</v>
      </c>
      <c r="H837" t="s">
        <v>285</v>
      </c>
      <c r="I837" t="s">
        <v>141</v>
      </c>
      <c r="J837" t="s">
        <v>124</v>
      </c>
      <c r="K837" t="s">
        <v>51</v>
      </c>
      <c r="L837" t="s">
        <v>52</v>
      </c>
      <c r="M837" t="s">
        <v>116</v>
      </c>
      <c r="N837" t="s">
        <v>54</v>
      </c>
      <c r="O837" s="3">
        <v>295000</v>
      </c>
      <c r="P837" s="4">
        <v>25</v>
      </c>
      <c r="Q837" s="2">
        <v>45774</v>
      </c>
      <c r="R837" s="2">
        <v>46200</v>
      </c>
      <c r="S837" s="2">
        <v>45733</v>
      </c>
      <c r="T837" s="2"/>
      <c r="U837" t="str">
        <f t="shared" si="91"/>
        <v>No</v>
      </c>
      <c r="W8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7" t="str">
        <f t="shared" ca="1" si="92"/>
        <v>Due/Open</v>
      </c>
      <c r="Y837" t="str">
        <f t="shared" si="93"/>
        <v>Open</v>
      </c>
      <c r="Z837" t="str">
        <f t="shared" si="94"/>
        <v>Mar-2025</v>
      </c>
      <c r="AA837" t="str">
        <f t="shared" si="95"/>
        <v>Q1 2025</v>
      </c>
      <c r="AB837" s="4">
        <f t="shared" ca="1" si="96"/>
        <v>478</v>
      </c>
      <c r="AC837" t="str">
        <f t="shared" si="97"/>
        <v>Medium</v>
      </c>
    </row>
    <row r="838" spans="1:29">
      <c r="A838" t="s">
        <v>3239</v>
      </c>
      <c r="B838" s="2">
        <v>46123</v>
      </c>
      <c r="C838" t="s">
        <v>1825</v>
      </c>
      <c r="D838" t="s">
        <v>581</v>
      </c>
      <c r="E838" t="s">
        <v>3240</v>
      </c>
      <c r="F838" t="s">
        <v>3241</v>
      </c>
      <c r="G838" t="s">
        <v>47</v>
      </c>
      <c r="H838" t="s">
        <v>493</v>
      </c>
      <c r="I838" t="s">
        <v>49</v>
      </c>
      <c r="J838" t="s">
        <v>131</v>
      </c>
      <c r="K838" t="s">
        <v>100</v>
      </c>
      <c r="L838" t="s">
        <v>125</v>
      </c>
      <c r="M838" t="s">
        <v>116</v>
      </c>
      <c r="N838" t="s">
        <v>54</v>
      </c>
      <c r="O838" s="3">
        <v>140000</v>
      </c>
      <c r="P838" s="4">
        <v>15</v>
      </c>
      <c r="Q838" s="2">
        <v>46187</v>
      </c>
      <c r="R838" s="2">
        <v>46165</v>
      </c>
      <c r="S838" s="2">
        <v>46133</v>
      </c>
      <c r="T838" s="2"/>
      <c r="U838" t="str">
        <f t="shared" si="91"/>
        <v>No</v>
      </c>
      <c r="W8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8" t="str">
        <f t="shared" ca="1" si="92"/>
        <v>Overdue</v>
      </c>
      <c r="Y838" t="str">
        <f t="shared" si="93"/>
        <v>Open</v>
      </c>
      <c r="Z838" t="str">
        <f t="shared" si="94"/>
        <v>Apr-2026</v>
      </c>
      <c r="AA838" t="str">
        <f t="shared" si="95"/>
        <v>Q2 2026</v>
      </c>
      <c r="AB838" s="4">
        <f t="shared" ca="1" si="96"/>
        <v>76</v>
      </c>
      <c r="AC838" t="str">
        <f t="shared" si="97"/>
        <v>Medium</v>
      </c>
    </row>
    <row r="839" spans="1:29">
      <c r="A839" t="s">
        <v>3242</v>
      </c>
      <c r="B839" s="2">
        <v>45708</v>
      </c>
      <c r="C839" t="s">
        <v>3243</v>
      </c>
      <c r="D839" t="s">
        <v>1072</v>
      </c>
      <c r="E839" t="s">
        <v>3244</v>
      </c>
      <c r="F839" t="s">
        <v>3245</v>
      </c>
      <c r="G839" t="s">
        <v>34</v>
      </c>
      <c r="H839" t="s">
        <v>446</v>
      </c>
      <c r="I839" t="s">
        <v>61</v>
      </c>
      <c r="J839" t="s">
        <v>99</v>
      </c>
      <c r="K839" t="s">
        <v>38</v>
      </c>
      <c r="L839" t="s">
        <v>142</v>
      </c>
      <c r="M839" t="s">
        <v>90</v>
      </c>
      <c r="N839" t="s">
        <v>91</v>
      </c>
      <c r="O839" s="3">
        <v>365000</v>
      </c>
      <c r="P839" s="4">
        <v>40</v>
      </c>
      <c r="Q839" s="2">
        <v>45791</v>
      </c>
      <c r="R839" s="2">
        <v>46197</v>
      </c>
      <c r="S839" s="2">
        <v>45714</v>
      </c>
      <c r="T839" s="2"/>
      <c r="U839" t="str">
        <f t="shared" si="91"/>
        <v>No</v>
      </c>
      <c r="W8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39" t="str">
        <f t="shared" ca="1" si="92"/>
        <v>Overdue</v>
      </c>
      <c r="Y839" t="str">
        <f t="shared" si="93"/>
        <v>Open</v>
      </c>
      <c r="Z839" t="str">
        <f t="shared" si="94"/>
        <v>Feb-2025</v>
      </c>
      <c r="AA839" t="str">
        <f t="shared" si="95"/>
        <v>Q1 2025</v>
      </c>
      <c r="AB839" s="4">
        <f t="shared" ca="1" si="96"/>
        <v>491</v>
      </c>
      <c r="AC839" t="str">
        <f t="shared" si="97"/>
        <v>High</v>
      </c>
    </row>
    <row r="840" spans="1:29">
      <c r="A840" t="s">
        <v>3246</v>
      </c>
      <c r="B840" s="2">
        <v>46068</v>
      </c>
      <c r="C840" t="s">
        <v>2242</v>
      </c>
      <c r="D840" t="s">
        <v>327</v>
      </c>
      <c r="E840" t="s">
        <v>2243</v>
      </c>
      <c r="F840" t="s">
        <v>3247</v>
      </c>
      <c r="G840" t="s">
        <v>34</v>
      </c>
      <c r="H840" t="s">
        <v>35</v>
      </c>
      <c r="I840" t="s">
        <v>49</v>
      </c>
      <c r="J840" t="s">
        <v>62</v>
      </c>
      <c r="K840" t="s">
        <v>100</v>
      </c>
      <c r="L840" t="s">
        <v>132</v>
      </c>
      <c r="M840" t="s">
        <v>82</v>
      </c>
      <c r="N840" t="s">
        <v>83</v>
      </c>
      <c r="O840" s="3">
        <v>265000</v>
      </c>
      <c r="P840" s="4">
        <v>5</v>
      </c>
      <c r="Q840" s="2">
        <v>46119</v>
      </c>
      <c r="R840" s="2">
        <v>46215</v>
      </c>
      <c r="S840" s="2">
        <v>46084</v>
      </c>
      <c r="T840" s="2"/>
      <c r="U840" t="str">
        <f t="shared" si="91"/>
        <v>No</v>
      </c>
      <c r="W8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0" t="str">
        <f t="shared" ca="1" si="92"/>
        <v>Due/Open</v>
      </c>
      <c r="Y840" t="str">
        <f t="shared" si="93"/>
        <v>Open</v>
      </c>
      <c r="Z840" t="str">
        <f t="shared" si="94"/>
        <v>Feb-2026</v>
      </c>
      <c r="AA840" t="str">
        <f t="shared" si="95"/>
        <v>Q1 2026</v>
      </c>
      <c r="AB840" s="4">
        <f t="shared" ca="1" si="96"/>
        <v>131</v>
      </c>
      <c r="AC840" t="str">
        <f t="shared" si="97"/>
        <v>Medium</v>
      </c>
    </row>
    <row r="841" spans="1:29">
      <c r="A841" t="s">
        <v>3248</v>
      </c>
      <c r="B841" s="2">
        <v>45799</v>
      </c>
      <c r="C841" t="s">
        <v>1160</v>
      </c>
      <c r="D841" t="s">
        <v>517</v>
      </c>
      <c r="E841" t="s">
        <v>3249</v>
      </c>
      <c r="F841" t="s">
        <v>3250</v>
      </c>
      <c r="G841" t="s">
        <v>179</v>
      </c>
      <c r="H841" t="s">
        <v>436</v>
      </c>
      <c r="I841" t="s">
        <v>61</v>
      </c>
      <c r="J841" t="s">
        <v>50</v>
      </c>
      <c r="K841" t="s">
        <v>100</v>
      </c>
      <c r="L841" t="s">
        <v>81</v>
      </c>
      <c r="M841" t="s">
        <v>40</v>
      </c>
      <c r="N841" t="s">
        <v>41</v>
      </c>
      <c r="O841" s="3">
        <v>215000</v>
      </c>
      <c r="P841" s="4">
        <v>100</v>
      </c>
      <c r="Q841" s="2">
        <v>45860</v>
      </c>
      <c r="R841" s="2"/>
      <c r="S841" s="2">
        <v>45812</v>
      </c>
      <c r="T841" s="2">
        <v>45860</v>
      </c>
      <c r="U841" t="str">
        <f t="shared" si="91"/>
        <v>Yes</v>
      </c>
      <c r="W8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841" t="str">
        <f t="shared" ca="1" si="92"/>
        <v>Closed</v>
      </c>
      <c r="Y841" t="str">
        <f t="shared" si="93"/>
        <v>Closed</v>
      </c>
      <c r="Z841" t="str">
        <f t="shared" si="94"/>
        <v>May-2025</v>
      </c>
      <c r="AA841" t="str">
        <f t="shared" si="95"/>
        <v>Q2 2025</v>
      </c>
      <c r="AB841" s="4">
        <f t="shared" ca="1" si="96"/>
        <v>400</v>
      </c>
      <c r="AC841" t="str">
        <f t="shared" si="97"/>
        <v>Medium</v>
      </c>
    </row>
    <row r="842" spans="1:29">
      <c r="A842" t="s">
        <v>3251</v>
      </c>
      <c r="B842" s="2">
        <v>45854</v>
      </c>
      <c r="C842" t="s">
        <v>3252</v>
      </c>
      <c r="D842" t="s">
        <v>1815</v>
      </c>
      <c r="E842" t="s">
        <v>3253</v>
      </c>
      <c r="F842" t="s">
        <v>3254</v>
      </c>
      <c r="G842" t="s">
        <v>47</v>
      </c>
      <c r="H842" t="s">
        <v>493</v>
      </c>
      <c r="I842" t="s">
        <v>187</v>
      </c>
      <c r="J842" t="s">
        <v>124</v>
      </c>
      <c r="K842" t="s">
        <v>114</v>
      </c>
      <c r="L842" t="s">
        <v>239</v>
      </c>
      <c r="M842" t="s">
        <v>73</v>
      </c>
      <c r="N842" t="s">
        <v>73</v>
      </c>
      <c r="O842" s="3">
        <v>300000</v>
      </c>
      <c r="P842" s="4">
        <v>75</v>
      </c>
      <c r="Q842" s="2">
        <v>45886</v>
      </c>
      <c r="R842" s="2">
        <v>46166</v>
      </c>
      <c r="S842" s="2">
        <v>45879</v>
      </c>
      <c r="T842" s="2"/>
      <c r="U842" t="str">
        <f t="shared" si="91"/>
        <v>No</v>
      </c>
      <c r="W8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2" t="str">
        <f t="shared" ca="1" si="92"/>
        <v>Overdue</v>
      </c>
      <c r="Y842" t="str">
        <f t="shared" si="93"/>
        <v>Open</v>
      </c>
      <c r="Z842" t="str">
        <f t="shared" si="94"/>
        <v>Jul-2025</v>
      </c>
      <c r="AA842" t="str">
        <f t="shared" si="95"/>
        <v>Q3 2025</v>
      </c>
      <c r="AB842" s="4">
        <f t="shared" ca="1" si="96"/>
        <v>345</v>
      </c>
      <c r="AC842" t="str">
        <f t="shared" si="97"/>
        <v>High</v>
      </c>
    </row>
    <row r="843" spans="1:29">
      <c r="A843" t="s">
        <v>3255</v>
      </c>
      <c r="B843" s="2">
        <v>45907</v>
      </c>
      <c r="C843" t="s">
        <v>3256</v>
      </c>
      <c r="D843" t="s">
        <v>1933</v>
      </c>
      <c r="E843" t="s">
        <v>3257</v>
      </c>
      <c r="F843" t="s">
        <v>3258</v>
      </c>
      <c r="G843" t="s">
        <v>79</v>
      </c>
      <c r="H843" t="s">
        <v>106</v>
      </c>
      <c r="I843" t="s">
        <v>98</v>
      </c>
      <c r="J843" t="s">
        <v>62</v>
      </c>
      <c r="K843" t="s">
        <v>38</v>
      </c>
      <c r="L843" t="s">
        <v>132</v>
      </c>
      <c r="M843" t="s">
        <v>90</v>
      </c>
      <c r="N843" t="s">
        <v>91</v>
      </c>
      <c r="O843" s="3">
        <v>445000</v>
      </c>
      <c r="P843" s="4">
        <v>55</v>
      </c>
      <c r="Q843" s="2">
        <v>45940</v>
      </c>
      <c r="R843" s="2">
        <v>46201</v>
      </c>
      <c r="S843" s="2">
        <v>45912</v>
      </c>
      <c r="T843" s="2"/>
      <c r="U843" t="str">
        <f t="shared" si="91"/>
        <v>No</v>
      </c>
      <c r="W8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3" t="str">
        <f t="shared" ca="1" si="92"/>
        <v>Due/Open</v>
      </c>
      <c r="Y843" t="str">
        <f t="shared" si="93"/>
        <v>Open</v>
      </c>
      <c r="Z843" t="str">
        <f t="shared" si="94"/>
        <v>Sep-2025</v>
      </c>
      <c r="AA843" t="str">
        <f t="shared" si="95"/>
        <v>Q3 2025</v>
      </c>
      <c r="AB843" s="4">
        <f t="shared" ca="1" si="96"/>
        <v>292</v>
      </c>
      <c r="AC843" t="str">
        <f t="shared" si="97"/>
        <v>High</v>
      </c>
    </row>
    <row r="844" spans="1:29">
      <c r="A844" t="s">
        <v>3259</v>
      </c>
      <c r="B844" s="2">
        <v>45983</v>
      </c>
      <c r="C844" t="s">
        <v>298</v>
      </c>
      <c r="D844" t="s">
        <v>1416</v>
      </c>
      <c r="E844" t="s">
        <v>3260</v>
      </c>
      <c r="F844" t="s">
        <v>3261</v>
      </c>
      <c r="G844" t="s">
        <v>179</v>
      </c>
      <c r="H844" t="s">
        <v>186</v>
      </c>
      <c r="I844" t="s">
        <v>98</v>
      </c>
      <c r="J844" t="s">
        <v>124</v>
      </c>
      <c r="K844" t="s">
        <v>100</v>
      </c>
      <c r="L844" t="s">
        <v>72</v>
      </c>
      <c r="M844" t="s">
        <v>133</v>
      </c>
      <c r="N844" t="s">
        <v>134</v>
      </c>
      <c r="O844" s="3">
        <v>320000</v>
      </c>
      <c r="P844" s="4">
        <v>0</v>
      </c>
      <c r="Q844" s="2">
        <v>46033</v>
      </c>
      <c r="R844" s="2"/>
      <c r="S844" s="2">
        <v>45994</v>
      </c>
      <c r="T844" s="2">
        <v>46033</v>
      </c>
      <c r="U844" t="str">
        <f t="shared" si="91"/>
        <v>No</v>
      </c>
      <c r="V844" t="s">
        <v>319</v>
      </c>
      <c r="W84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844" t="str">
        <f t="shared" ca="1" si="92"/>
        <v>Closed</v>
      </c>
      <c r="Y844" t="str">
        <f t="shared" si="93"/>
        <v>Closed</v>
      </c>
      <c r="Z844" t="str">
        <f t="shared" si="94"/>
        <v>Nov-2025</v>
      </c>
      <c r="AA844" t="str">
        <f t="shared" si="95"/>
        <v>Q4 2025</v>
      </c>
      <c r="AB844" s="4">
        <f t="shared" ca="1" si="96"/>
        <v>216</v>
      </c>
      <c r="AC844" t="str">
        <f t="shared" si="97"/>
        <v>High</v>
      </c>
    </row>
    <row r="845" spans="1:29">
      <c r="A845" t="s">
        <v>3262</v>
      </c>
      <c r="B845" s="2">
        <v>46168</v>
      </c>
      <c r="C845" t="s">
        <v>3263</v>
      </c>
      <c r="D845" t="s">
        <v>1717</v>
      </c>
      <c r="E845" t="s">
        <v>3264</v>
      </c>
      <c r="F845" t="s">
        <v>3265</v>
      </c>
      <c r="G845" t="s">
        <v>34</v>
      </c>
      <c r="H845" t="s">
        <v>60</v>
      </c>
      <c r="I845" t="s">
        <v>36</v>
      </c>
      <c r="J845" t="s">
        <v>50</v>
      </c>
      <c r="K845" t="s">
        <v>51</v>
      </c>
      <c r="L845" t="s">
        <v>239</v>
      </c>
      <c r="M845" t="s">
        <v>90</v>
      </c>
      <c r="N845" t="s">
        <v>91</v>
      </c>
      <c r="O845" s="3">
        <v>345000</v>
      </c>
      <c r="P845" s="4">
        <v>50</v>
      </c>
      <c r="Q845" s="2">
        <v>46194</v>
      </c>
      <c r="R845" s="2">
        <v>46227</v>
      </c>
      <c r="S845" s="2">
        <v>46193</v>
      </c>
      <c r="T845" s="2"/>
      <c r="U845" t="str">
        <f t="shared" si="91"/>
        <v>No</v>
      </c>
      <c r="W8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5" t="str">
        <f t="shared" ca="1" si="92"/>
        <v>Due/Open</v>
      </c>
      <c r="Y845" t="str">
        <f t="shared" si="93"/>
        <v>Open</v>
      </c>
      <c r="Z845" t="str">
        <f t="shared" si="94"/>
        <v>May-2026</v>
      </c>
      <c r="AA845" t="str">
        <f t="shared" si="95"/>
        <v>Q2 2026</v>
      </c>
      <c r="AB845" s="4">
        <f t="shared" ca="1" si="96"/>
        <v>31</v>
      </c>
      <c r="AC845" t="str">
        <f t="shared" si="97"/>
        <v>High</v>
      </c>
    </row>
    <row r="846" spans="1:29">
      <c r="A846" t="s">
        <v>3266</v>
      </c>
      <c r="B846" s="2">
        <v>46102</v>
      </c>
      <c r="C846" t="s">
        <v>796</v>
      </c>
      <c r="D846" t="s">
        <v>322</v>
      </c>
      <c r="E846" t="s">
        <v>3267</v>
      </c>
      <c r="F846" t="s">
        <v>3268</v>
      </c>
      <c r="G846" t="s">
        <v>47</v>
      </c>
      <c r="H846" t="s">
        <v>122</v>
      </c>
      <c r="I846" t="s">
        <v>123</v>
      </c>
      <c r="J846" t="s">
        <v>37</v>
      </c>
      <c r="K846" t="s">
        <v>100</v>
      </c>
      <c r="L846" t="s">
        <v>107</v>
      </c>
      <c r="M846" t="s">
        <v>40</v>
      </c>
      <c r="N846" t="s">
        <v>41</v>
      </c>
      <c r="O846" s="3">
        <v>130000</v>
      </c>
      <c r="P846" s="4">
        <v>100</v>
      </c>
      <c r="Q846" s="2">
        <v>46142</v>
      </c>
      <c r="R846" s="2"/>
      <c r="S846" s="2">
        <v>46106</v>
      </c>
      <c r="T846" s="2">
        <v>46142</v>
      </c>
      <c r="U846" t="str">
        <f t="shared" si="91"/>
        <v>Yes</v>
      </c>
      <c r="W8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846" t="str">
        <f t="shared" ca="1" si="92"/>
        <v>Closed</v>
      </c>
      <c r="Y846" t="str">
        <f t="shared" si="93"/>
        <v>Closed</v>
      </c>
      <c r="Z846" t="str">
        <f t="shared" si="94"/>
        <v>Mar-2026</v>
      </c>
      <c r="AA846" t="str">
        <f t="shared" si="95"/>
        <v>Q1 2026</v>
      </c>
      <c r="AB846" s="4">
        <f t="shared" ca="1" si="96"/>
        <v>97</v>
      </c>
      <c r="AC846" t="str">
        <f t="shared" si="97"/>
        <v>Medium</v>
      </c>
    </row>
    <row r="847" spans="1:29">
      <c r="A847" t="s">
        <v>3269</v>
      </c>
      <c r="B847" s="2">
        <v>45847</v>
      </c>
      <c r="C847" t="s">
        <v>1385</v>
      </c>
      <c r="D847" t="s">
        <v>1098</v>
      </c>
      <c r="E847" t="s">
        <v>3270</v>
      </c>
      <c r="F847" t="s">
        <v>3271</v>
      </c>
      <c r="G847" t="s">
        <v>79</v>
      </c>
      <c r="H847" t="s">
        <v>260</v>
      </c>
      <c r="I847" t="s">
        <v>36</v>
      </c>
      <c r="J847" t="s">
        <v>131</v>
      </c>
      <c r="K847" t="s">
        <v>100</v>
      </c>
      <c r="L847" t="s">
        <v>239</v>
      </c>
      <c r="M847" t="s">
        <v>53</v>
      </c>
      <c r="N847" t="s">
        <v>54</v>
      </c>
      <c r="O847" s="3">
        <v>135000</v>
      </c>
      <c r="P847" s="4">
        <v>25</v>
      </c>
      <c r="Q847" s="2">
        <v>45929</v>
      </c>
      <c r="R847" s="2">
        <v>46172</v>
      </c>
      <c r="S847" s="2">
        <v>45867</v>
      </c>
      <c r="T847" s="2"/>
      <c r="U847" t="str">
        <f t="shared" si="91"/>
        <v>No</v>
      </c>
      <c r="W8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7" t="str">
        <f t="shared" ca="1" si="92"/>
        <v>Overdue</v>
      </c>
      <c r="Y847" t="str">
        <f t="shared" si="93"/>
        <v>Open</v>
      </c>
      <c r="Z847" t="str">
        <f t="shared" si="94"/>
        <v>Jul-2025</v>
      </c>
      <c r="AA847" t="str">
        <f t="shared" si="95"/>
        <v>Q3 2025</v>
      </c>
      <c r="AB847" s="4">
        <f t="shared" ca="1" si="96"/>
        <v>352</v>
      </c>
      <c r="AC847" t="str">
        <f t="shared" si="97"/>
        <v>Medium</v>
      </c>
    </row>
    <row r="848" spans="1:29">
      <c r="A848" t="s">
        <v>3272</v>
      </c>
      <c r="B848" s="2">
        <v>45914</v>
      </c>
      <c r="C848" t="s">
        <v>341</v>
      </c>
      <c r="D848" t="s">
        <v>697</v>
      </c>
      <c r="E848" t="s">
        <v>918</v>
      </c>
      <c r="F848" t="s">
        <v>3273</v>
      </c>
      <c r="G848" t="s">
        <v>34</v>
      </c>
      <c r="H848" t="s">
        <v>446</v>
      </c>
      <c r="I848" t="s">
        <v>141</v>
      </c>
      <c r="J848" t="s">
        <v>50</v>
      </c>
      <c r="K848" t="s">
        <v>71</v>
      </c>
      <c r="L848" t="s">
        <v>72</v>
      </c>
      <c r="M848" t="s">
        <v>116</v>
      </c>
      <c r="N848" t="s">
        <v>54</v>
      </c>
      <c r="O848" s="3">
        <v>280000</v>
      </c>
      <c r="P848" s="4">
        <v>20</v>
      </c>
      <c r="Q848" s="2">
        <v>45991</v>
      </c>
      <c r="R848" s="2">
        <v>46227</v>
      </c>
      <c r="S848" s="2">
        <v>45917</v>
      </c>
      <c r="T848" s="2"/>
      <c r="U848" t="str">
        <f t="shared" si="91"/>
        <v>No</v>
      </c>
      <c r="W8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48" t="str">
        <f t="shared" ca="1" si="92"/>
        <v>Due/Open</v>
      </c>
      <c r="Y848" t="str">
        <f t="shared" si="93"/>
        <v>Open</v>
      </c>
      <c r="Z848" t="str">
        <f t="shared" si="94"/>
        <v>Sep-2025</v>
      </c>
      <c r="AA848" t="str">
        <f t="shared" si="95"/>
        <v>Q3 2025</v>
      </c>
      <c r="AB848" s="4">
        <f t="shared" ca="1" si="96"/>
        <v>285</v>
      </c>
      <c r="AC848" t="str">
        <f t="shared" si="97"/>
        <v>Medium</v>
      </c>
    </row>
    <row r="849" spans="1:29">
      <c r="A849" t="s">
        <v>3274</v>
      </c>
      <c r="B849" s="2">
        <v>46148</v>
      </c>
      <c r="C849" t="s">
        <v>3275</v>
      </c>
      <c r="D849" t="s">
        <v>573</v>
      </c>
      <c r="E849" t="s">
        <v>3276</v>
      </c>
      <c r="F849" t="s">
        <v>3277</v>
      </c>
      <c r="G849" t="s">
        <v>34</v>
      </c>
      <c r="H849" t="s">
        <v>60</v>
      </c>
      <c r="I849" t="s">
        <v>61</v>
      </c>
      <c r="J849" t="s">
        <v>50</v>
      </c>
      <c r="K849" t="s">
        <v>71</v>
      </c>
      <c r="L849" t="s">
        <v>39</v>
      </c>
      <c r="M849" t="s">
        <v>40</v>
      </c>
      <c r="N849" t="s">
        <v>41</v>
      </c>
      <c r="O849" s="3">
        <v>410000</v>
      </c>
      <c r="P849" s="4">
        <v>100</v>
      </c>
      <c r="Q849" s="2">
        <v>46189</v>
      </c>
      <c r="R849" s="2"/>
      <c r="S849" s="2">
        <v>46175</v>
      </c>
      <c r="T849" s="2">
        <v>46189</v>
      </c>
      <c r="U849" t="str">
        <f t="shared" si="91"/>
        <v>Yes</v>
      </c>
      <c r="W84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41</v>
      </c>
      <c r="X849" t="str">
        <f t="shared" ca="1" si="92"/>
        <v>Closed</v>
      </c>
      <c r="Y849" t="str">
        <f t="shared" si="93"/>
        <v>Closed</v>
      </c>
      <c r="Z849" t="str">
        <f t="shared" si="94"/>
        <v>May-2026</v>
      </c>
      <c r="AA849" t="str">
        <f t="shared" si="95"/>
        <v>Q2 2026</v>
      </c>
      <c r="AB849" s="4">
        <f t="shared" ca="1" si="96"/>
        <v>51</v>
      </c>
      <c r="AC849" t="str">
        <f t="shared" si="97"/>
        <v>High</v>
      </c>
    </row>
    <row r="850" spans="1:29">
      <c r="A850" t="s">
        <v>3278</v>
      </c>
      <c r="B850" s="2">
        <v>45955</v>
      </c>
      <c r="C850" t="s">
        <v>65</v>
      </c>
      <c r="D850" t="s">
        <v>1717</v>
      </c>
      <c r="E850" t="s">
        <v>3279</v>
      </c>
      <c r="F850" t="s">
        <v>3280</v>
      </c>
      <c r="G850" t="s">
        <v>179</v>
      </c>
      <c r="H850" t="s">
        <v>436</v>
      </c>
      <c r="I850" t="s">
        <v>49</v>
      </c>
      <c r="J850" t="s">
        <v>62</v>
      </c>
      <c r="K850" t="s">
        <v>100</v>
      </c>
      <c r="L850" t="s">
        <v>52</v>
      </c>
      <c r="M850" t="s">
        <v>82</v>
      </c>
      <c r="N850" t="s">
        <v>83</v>
      </c>
      <c r="O850" s="3">
        <v>105000</v>
      </c>
      <c r="P850" s="4">
        <v>5</v>
      </c>
      <c r="Q850" s="2">
        <v>46019</v>
      </c>
      <c r="R850" s="2">
        <v>46221</v>
      </c>
      <c r="S850" s="2">
        <v>45966</v>
      </c>
      <c r="T850" s="2"/>
      <c r="U850" t="str">
        <f t="shared" si="91"/>
        <v>No</v>
      </c>
      <c r="W8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0" t="str">
        <f t="shared" ca="1" si="92"/>
        <v>Due/Open</v>
      </c>
      <c r="Y850" t="str">
        <f t="shared" si="93"/>
        <v>Open</v>
      </c>
      <c r="Z850" t="str">
        <f t="shared" si="94"/>
        <v>Oct-2025</v>
      </c>
      <c r="AA850" t="str">
        <f t="shared" si="95"/>
        <v>Q4 2025</v>
      </c>
      <c r="AB850" s="4">
        <f t="shared" ca="1" si="96"/>
        <v>244</v>
      </c>
      <c r="AC850" t="str">
        <f t="shared" si="97"/>
        <v>Low</v>
      </c>
    </row>
    <row r="851" spans="1:29">
      <c r="A851" t="s">
        <v>3281</v>
      </c>
      <c r="B851" s="2">
        <v>45881</v>
      </c>
      <c r="C851" t="s">
        <v>3282</v>
      </c>
      <c r="D851" t="s">
        <v>304</v>
      </c>
      <c r="E851" t="s">
        <v>3283</v>
      </c>
      <c r="F851" t="s">
        <v>3284</v>
      </c>
      <c r="G851" t="s">
        <v>47</v>
      </c>
      <c r="H851" t="s">
        <v>89</v>
      </c>
      <c r="I851" t="s">
        <v>36</v>
      </c>
      <c r="J851" t="s">
        <v>131</v>
      </c>
      <c r="K851" t="s">
        <v>71</v>
      </c>
      <c r="L851" t="s">
        <v>63</v>
      </c>
      <c r="M851" t="s">
        <v>73</v>
      </c>
      <c r="N851" t="s">
        <v>73</v>
      </c>
      <c r="O851" s="3">
        <v>120000</v>
      </c>
      <c r="P851" s="4">
        <v>80</v>
      </c>
      <c r="Q851" s="2">
        <v>45966</v>
      </c>
      <c r="R851" s="2">
        <v>46170</v>
      </c>
      <c r="S851" s="2">
        <v>45883</v>
      </c>
      <c r="T851" s="2"/>
      <c r="U851" t="str">
        <f t="shared" si="91"/>
        <v>No</v>
      </c>
      <c r="W8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1" t="str">
        <f t="shared" ca="1" si="92"/>
        <v>Overdue</v>
      </c>
      <c r="Y851" t="str">
        <f t="shared" si="93"/>
        <v>Open</v>
      </c>
      <c r="Z851" t="str">
        <f t="shared" si="94"/>
        <v>Aug-2025</v>
      </c>
      <c r="AA851" t="str">
        <f t="shared" si="95"/>
        <v>Q3 2025</v>
      </c>
      <c r="AB851" s="4">
        <f t="shared" ca="1" si="96"/>
        <v>318</v>
      </c>
      <c r="AC851" t="str">
        <f t="shared" si="97"/>
        <v>Medium</v>
      </c>
    </row>
    <row r="852" spans="1:29">
      <c r="A852" t="s">
        <v>3285</v>
      </c>
      <c r="B852" s="2">
        <v>45937</v>
      </c>
      <c r="C852" t="s">
        <v>3286</v>
      </c>
      <c r="D852" t="s">
        <v>1868</v>
      </c>
      <c r="E852" t="s">
        <v>3287</v>
      </c>
      <c r="F852" t="s">
        <v>3288</v>
      </c>
      <c r="G852" t="s">
        <v>69</v>
      </c>
      <c r="H852" t="s">
        <v>70</v>
      </c>
      <c r="I852" t="s">
        <v>187</v>
      </c>
      <c r="J852" t="s">
        <v>37</v>
      </c>
      <c r="K852" t="s">
        <v>114</v>
      </c>
      <c r="L852" t="s">
        <v>125</v>
      </c>
      <c r="M852" t="s">
        <v>53</v>
      </c>
      <c r="N852" t="s">
        <v>54</v>
      </c>
      <c r="O852" s="3">
        <v>130000</v>
      </c>
      <c r="P852" s="4">
        <v>30</v>
      </c>
      <c r="Q852" s="2">
        <v>46016</v>
      </c>
      <c r="R852" s="2">
        <v>46174</v>
      </c>
      <c r="S852" s="2">
        <v>45966</v>
      </c>
      <c r="T852" s="2"/>
      <c r="U852" t="str">
        <f t="shared" si="91"/>
        <v>No</v>
      </c>
      <c r="W8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2" t="str">
        <f t="shared" ca="1" si="92"/>
        <v>Overdue</v>
      </c>
      <c r="Y852" t="str">
        <f t="shared" si="93"/>
        <v>Open</v>
      </c>
      <c r="Z852" t="str">
        <f t="shared" si="94"/>
        <v>Oct-2025</v>
      </c>
      <c r="AA852" t="str">
        <f t="shared" si="95"/>
        <v>Q4 2025</v>
      </c>
      <c r="AB852" s="4">
        <f t="shared" ca="1" si="96"/>
        <v>262</v>
      </c>
      <c r="AC852" t="str">
        <f t="shared" si="97"/>
        <v>Medium</v>
      </c>
    </row>
    <row r="853" spans="1:29">
      <c r="A853" t="s">
        <v>3289</v>
      </c>
      <c r="B853" s="2">
        <v>46110</v>
      </c>
      <c r="C853" t="s">
        <v>2686</v>
      </c>
      <c r="D853" t="s">
        <v>273</v>
      </c>
      <c r="E853" t="s">
        <v>3290</v>
      </c>
      <c r="F853" t="s">
        <v>3291</v>
      </c>
      <c r="G853" t="s">
        <v>34</v>
      </c>
      <c r="H853" t="s">
        <v>446</v>
      </c>
      <c r="I853" t="s">
        <v>98</v>
      </c>
      <c r="J853" t="s">
        <v>62</v>
      </c>
      <c r="K853" t="s">
        <v>71</v>
      </c>
      <c r="L853" t="s">
        <v>63</v>
      </c>
      <c r="M853" t="s">
        <v>90</v>
      </c>
      <c r="N853" t="s">
        <v>91</v>
      </c>
      <c r="O853" s="3">
        <v>120000</v>
      </c>
      <c r="P853" s="4">
        <v>50</v>
      </c>
      <c r="Q853" s="2">
        <v>46145</v>
      </c>
      <c r="R853" s="2">
        <v>46222</v>
      </c>
      <c r="S853" s="2">
        <v>46113</v>
      </c>
      <c r="T853" s="2"/>
      <c r="U853" t="str">
        <f t="shared" si="91"/>
        <v>No</v>
      </c>
      <c r="W8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3" t="str">
        <f t="shared" ca="1" si="92"/>
        <v>Due/Open</v>
      </c>
      <c r="Y853" t="str">
        <f t="shared" si="93"/>
        <v>Open</v>
      </c>
      <c r="Z853" t="str">
        <f t="shared" si="94"/>
        <v>Mar-2026</v>
      </c>
      <c r="AA853" t="str">
        <f t="shared" si="95"/>
        <v>Q1 2026</v>
      </c>
      <c r="AB853" s="4">
        <f t="shared" ca="1" si="96"/>
        <v>89</v>
      </c>
      <c r="AC853" t="str">
        <f t="shared" si="97"/>
        <v>Medium</v>
      </c>
    </row>
    <row r="854" spans="1:29">
      <c r="A854" t="s">
        <v>3292</v>
      </c>
      <c r="B854" s="2">
        <v>45926</v>
      </c>
      <c r="C854" t="s">
        <v>1301</v>
      </c>
      <c r="D854" t="s">
        <v>176</v>
      </c>
      <c r="E854" t="s">
        <v>3293</v>
      </c>
      <c r="F854" t="s">
        <v>3294</v>
      </c>
      <c r="G854" t="s">
        <v>179</v>
      </c>
      <c r="H854" t="s">
        <v>487</v>
      </c>
      <c r="I854" t="s">
        <v>36</v>
      </c>
      <c r="J854" t="s">
        <v>37</v>
      </c>
      <c r="K854" t="s">
        <v>71</v>
      </c>
      <c r="L854" t="s">
        <v>63</v>
      </c>
      <c r="M854" t="s">
        <v>166</v>
      </c>
      <c r="N854" t="s">
        <v>167</v>
      </c>
      <c r="O854" s="3">
        <v>75000</v>
      </c>
      <c r="P854" s="4">
        <v>70</v>
      </c>
      <c r="Q854" s="2">
        <v>45953</v>
      </c>
      <c r="R854" s="2">
        <v>46195</v>
      </c>
      <c r="S854" s="2">
        <v>45934</v>
      </c>
      <c r="T854" s="2"/>
      <c r="U854" t="str">
        <f t="shared" si="91"/>
        <v>No</v>
      </c>
      <c r="W8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4" t="str">
        <f t="shared" ca="1" si="92"/>
        <v>Overdue</v>
      </c>
      <c r="Y854" t="str">
        <f t="shared" si="93"/>
        <v>Open</v>
      </c>
      <c r="Z854" t="str">
        <f t="shared" si="94"/>
        <v>Sep-2025</v>
      </c>
      <c r="AA854" t="str">
        <f t="shared" si="95"/>
        <v>Q3 2025</v>
      </c>
      <c r="AB854" s="4">
        <f t="shared" ca="1" si="96"/>
        <v>273</v>
      </c>
      <c r="AC854" t="str">
        <f t="shared" si="97"/>
        <v>Low</v>
      </c>
    </row>
    <row r="855" spans="1:29">
      <c r="A855" t="s">
        <v>3295</v>
      </c>
      <c r="B855" s="2">
        <v>46069</v>
      </c>
      <c r="C855" t="s">
        <v>292</v>
      </c>
      <c r="D855" t="s">
        <v>375</v>
      </c>
      <c r="E855" t="s">
        <v>3296</v>
      </c>
      <c r="F855" t="s">
        <v>3297</v>
      </c>
      <c r="G855" t="s">
        <v>34</v>
      </c>
      <c r="H855" t="s">
        <v>238</v>
      </c>
      <c r="I855" t="s">
        <v>98</v>
      </c>
      <c r="J855" t="s">
        <v>131</v>
      </c>
      <c r="K855" t="s">
        <v>71</v>
      </c>
      <c r="L855" t="s">
        <v>72</v>
      </c>
      <c r="M855" t="s">
        <v>166</v>
      </c>
      <c r="N855" t="s">
        <v>167</v>
      </c>
      <c r="O855" s="3">
        <v>135000</v>
      </c>
      <c r="P855" s="4">
        <v>60</v>
      </c>
      <c r="Q855" s="2">
        <v>46089</v>
      </c>
      <c r="R855" s="2">
        <v>46187</v>
      </c>
      <c r="S855" s="2">
        <v>46087</v>
      </c>
      <c r="T855" s="2"/>
      <c r="U855" t="str">
        <f t="shared" si="91"/>
        <v>No</v>
      </c>
      <c r="W8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5" t="str">
        <f t="shared" ca="1" si="92"/>
        <v>Overdue</v>
      </c>
      <c r="Y855" t="str">
        <f t="shared" si="93"/>
        <v>Open</v>
      </c>
      <c r="Z855" t="str">
        <f t="shared" si="94"/>
        <v>Feb-2026</v>
      </c>
      <c r="AA855" t="str">
        <f t="shared" si="95"/>
        <v>Q1 2026</v>
      </c>
      <c r="AB855" s="4">
        <f t="shared" ca="1" si="96"/>
        <v>130</v>
      </c>
      <c r="AC855" t="str">
        <f t="shared" si="97"/>
        <v>Medium</v>
      </c>
    </row>
    <row r="856" spans="1:29">
      <c r="A856" t="s">
        <v>3298</v>
      </c>
      <c r="B856" s="2">
        <v>45668</v>
      </c>
      <c r="C856" t="s">
        <v>246</v>
      </c>
      <c r="D856" t="s">
        <v>394</v>
      </c>
      <c r="E856" t="s">
        <v>3299</v>
      </c>
      <c r="F856" t="s">
        <v>3300</v>
      </c>
      <c r="G856" t="s">
        <v>79</v>
      </c>
      <c r="H856" t="s">
        <v>80</v>
      </c>
      <c r="I856" t="s">
        <v>141</v>
      </c>
      <c r="J856" t="s">
        <v>62</v>
      </c>
      <c r="K856" t="s">
        <v>100</v>
      </c>
      <c r="L856" t="s">
        <v>107</v>
      </c>
      <c r="M856" t="s">
        <v>53</v>
      </c>
      <c r="N856" t="s">
        <v>54</v>
      </c>
      <c r="O856" s="3">
        <v>170000</v>
      </c>
      <c r="P856" s="4">
        <v>35</v>
      </c>
      <c r="Q856" s="2">
        <v>45756</v>
      </c>
      <c r="R856" s="2">
        <v>46232</v>
      </c>
      <c r="S856" s="2">
        <v>45676</v>
      </c>
      <c r="T856" s="2"/>
      <c r="U856" t="str">
        <f t="shared" si="91"/>
        <v>No</v>
      </c>
      <c r="W8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6" t="str">
        <f t="shared" ca="1" si="92"/>
        <v>Due/Open</v>
      </c>
      <c r="Y856" t="str">
        <f t="shared" si="93"/>
        <v>Open</v>
      </c>
      <c r="Z856" t="str">
        <f t="shared" si="94"/>
        <v>Jan-2025</v>
      </c>
      <c r="AA856" t="str">
        <f t="shared" si="95"/>
        <v>Q1 2025</v>
      </c>
      <c r="AB856" s="4">
        <f t="shared" ca="1" si="96"/>
        <v>531</v>
      </c>
      <c r="AC856" t="str">
        <f t="shared" si="97"/>
        <v>Medium</v>
      </c>
    </row>
    <row r="857" spans="1:29">
      <c r="A857" t="s">
        <v>3301</v>
      </c>
      <c r="B857" s="2">
        <v>45869</v>
      </c>
      <c r="C857" t="s">
        <v>2662</v>
      </c>
      <c r="D857" t="s">
        <v>433</v>
      </c>
      <c r="E857" t="s">
        <v>3302</v>
      </c>
      <c r="F857" t="s">
        <v>3303</v>
      </c>
      <c r="G857" t="s">
        <v>69</v>
      </c>
      <c r="H857" t="s">
        <v>70</v>
      </c>
      <c r="I857" t="s">
        <v>61</v>
      </c>
      <c r="J857" t="s">
        <v>62</v>
      </c>
      <c r="K857" t="s">
        <v>71</v>
      </c>
      <c r="L857" t="s">
        <v>125</v>
      </c>
      <c r="M857" t="s">
        <v>90</v>
      </c>
      <c r="N857" t="s">
        <v>91</v>
      </c>
      <c r="O857" s="3">
        <v>440000</v>
      </c>
      <c r="P857" s="4">
        <v>50</v>
      </c>
      <c r="Q857" s="2">
        <v>45896</v>
      </c>
      <c r="R857" s="2">
        <v>46203</v>
      </c>
      <c r="S857" s="2">
        <v>45884</v>
      </c>
      <c r="T857" s="2"/>
      <c r="U857" t="str">
        <f t="shared" si="91"/>
        <v>No</v>
      </c>
      <c r="W8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7" t="str">
        <f t="shared" ca="1" si="92"/>
        <v>Due/Open</v>
      </c>
      <c r="Y857" t="str">
        <f t="shared" si="93"/>
        <v>Open</v>
      </c>
      <c r="Z857" t="str">
        <f t="shared" si="94"/>
        <v>Jul-2025</v>
      </c>
      <c r="AA857" t="str">
        <f t="shared" si="95"/>
        <v>Q3 2025</v>
      </c>
      <c r="AB857" s="4">
        <f t="shared" ca="1" si="96"/>
        <v>330</v>
      </c>
      <c r="AC857" t="str">
        <f t="shared" si="97"/>
        <v>High</v>
      </c>
    </row>
    <row r="858" spans="1:29">
      <c r="A858" t="s">
        <v>3304</v>
      </c>
      <c r="B858" s="2">
        <v>45911</v>
      </c>
      <c r="C858" t="s">
        <v>1436</v>
      </c>
      <c r="D858" t="s">
        <v>1254</v>
      </c>
      <c r="E858" t="s">
        <v>3305</v>
      </c>
      <c r="F858" t="s">
        <v>3306</v>
      </c>
      <c r="G858" t="s">
        <v>34</v>
      </c>
      <c r="H858" t="s">
        <v>35</v>
      </c>
      <c r="I858" t="s">
        <v>49</v>
      </c>
      <c r="J858" t="s">
        <v>99</v>
      </c>
      <c r="K858" t="s">
        <v>114</v>
      </c>
      <c r="L858" t="s">
        <v>72</v>
      </c>
      <c r="M858" t="s">
        <v>90</v>
      </c>
      <c r="N858" t="s">
        <v>91</v>
      </c>
      <c r="O858" s="3">
        <v>315000</v>
      </c>
      <c r="P858" s="4">
        <v>55</v>
      </c>
      <c r="Q858" s="2">
        <v>46001</v>
      </c>
      <c r="R858" s="2">
        <v>46199</v>
      </c>
      <c r="S858" s="2">
        <v>45924</v>
      </c>
      <c r="T858" s="2"/>
      <c r="U858" t="str">
        <f t="shared" si="91"/>
        <v>No</v>
      </c>
      <c r="W8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8" t="str">
        <f t="shared" ca="1" si="92"/>
        <v>Due/Open</v>
      </c>
      <c r="Y858" t="str">
        <f t="shared" si="93"/>
        <v>Open</v>
      </c>
      <c r="Z858" t="str">
        <f t="shared" si="94"/>
        <v>Sep-2025</v>
      </c>
      <c r="AA858" t="str">
        <f t="shared" si="95"/>
        <v>Q3 2025</v>
      </c>
      <c r="AB858" s="4">
        <f t="shared" ca="1" si="96"/>
        <v>288</v>
      </c>
      <c r="AC858" t="str">
        <f t="shared" si="97"/>
        <v>High</v>
      </c>
    </row>
    <row r="859" spans="1:29">
      <c r="A859" t="s">
        <v>3307</v>
      </c>
      <c r="B859" s="2">
        <v>45735</v>
      </c>
      <c r="C859" t="s">
        <v>1226</v>
      </c>
      <c r="D859" t="s">
        <v>526</v>
      </c>
      <c r="E859" t="s">
        <v>3308</v>
      </c>
      <c r="F859" t="s">
        <v>3309</v>
      </c>
      <c r="G859" t="s">
        <v>34</v>
      </c>
      <c r="H859" t="s">
        <v>160</v>
      </c>
      <c r="I859" t="s">
        <v>148</v>
      </c>
      <c r="J859" t="s">
        <v>37</v>
      </c>
      <c r="K859" t="s">
        <v>38</v>
      </c>
      <c r="L859" t="s">
        <v>115</v>
      </c>
      <c r="M859" t="s">
        <v>53</v>
      </c>
      <c r="N859" t="s">
        <v>54</v>
      </c>
      <c r="O859" s="3">
        <v>45000</v>
      </c>
      <c r="P859" s="4">
        <v>25</v>
      </c>
      <c r="Q859" s="2">
        <v>45801</v>
      </c>
      <c r="R859" s="2">
        <v>46234</v>
      </c>
      <c r="S859" s="2">
        <v>45760</v>
      </c>
      <c r="T859" s="2"/>
      <c r="U859" t="str">
        <f t="shared" si="91"/>
        <v>No</v>
      </c>
      <c r="W8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59" t="str">
        <f t="shared" ca="1" si="92"/>
        <v>Due/Open</v>
      </c>
      <c r="Y859" t="str">
        <f t="shared" si="93"/>
        <v>Open</v>
      </c>
      <c r="Z859" t="str">
        <f t="shared" si="94"/>
        <v>Mar-2025</v>
      </c>
      <c r="AA859" t="str">
        <f t="shared" si="95"/>
        <v>Q1 2025</v>
      </c>
      <c r="AB859" s="4">
        <f t="shared" ca="1" si="96"/>
        <v>464</v>
      </c>
      <c r="AC859" t="str">
        <f t="shared" si="97"/>
        <v>Low</v>
      </c>
    </row>
    <row r="860" spans="1:29">
      <c r="A860" t="s">
        <v>3310</v>
      </c>
      <c r="B860" s="2">
        <v>46188</v>
      </c>
      <c r="C860" t="s">
        <v>3311</v>
      </c>
      <c r="D860" t="s">
        <v>176</v>
      </c>
      <c r="E860" t="s">
        <v>3312</v>
      </c>
      <c r="F860" t="s">
        <v>3313</v>
      </c>
      <c r="G860" t="s">
        <v>34</v>
      </c>
      <c r="H860" t="s">
        <v>160</v>
      </c>
      <c r="I860" t="s">
        <v>187</v>
      </c>
      <c r="J860" t="s">
        <v>50</v>
      </c>
      <c r="K860" t="s">
        <v>51</v>
      </c>
      <c r="L860" t="s">
        <v>72</v>
      </c>
      <c r="M860" t="s">
        <v>133</v>
      </c>
      <c r="N860" t="s">
        <v>134</v>
      </c>
      <c r="O860" s="3">
        <v>380000</v>
      </c>
      <c r="P860" s="4">
        <v>0</v>
      </c>
      <c r="Q860" s="2">
        <v>46198</v>
      </c>
      <c r="R860" s="2"/>
      <c r="S860" s="2">
        <v>46191</v>
      </c>
      <c r="T860" s="2">
        <v>46198</v>
      </c>
      <c r="U860" t="str">
        <f t="shared" si="91"/>
        <v>No</v>
      </c>
      <c r="V860" t="s">
        <v>211</v>
      </c>
      <c r="W86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860" t="str">
        <f t="shared" ca="1" si="92"/>
        <v>Closed</v>
      </c>
      <c r="Y860" t="str">
        <f t="shared" si="93"/>
        <v>Closed</v>
      </c>
      <c r="Z860" t="str">
        <f t="shared" si="94"/>
        <v>Jun-2026</v>
      </c>
      <c r="AA860" t="str">
        <f t="shared" si="95"/>
        <v>Q2 2026</v>
      </c>
      <c r="AB860" s="4">
        <f t="shared" ca="1" si="96"/>
        <v>11</v>
      </c>
      <c r="AC860" t="str">
        <f t="shared" si="97"/>
        <v>High</v>
      </c>
    </row>
    <row r="861" spans="1:29">
      <c r="A861" t="s">
        <v>3314</v>
      </c>
      <c r="B861" s="2">
        <v>45970</v>
      </c>
      <c r="C861" t="s">
        <v>1494</v>
      </c>
      <c r="D861" t="s">
        <v>1315</v>
      </c>
      <c r="E861" t="s">
        <v>3315</v>
      </c>
      <c r="F861" t="s">
        <v>3316</v>
      </c>
      <c r="G861" t="s">
        <v>47</v>
      </c>
      <c r="H861" t="s">
        <v>48</v>
      </c>
      <c r="I861" t="s">
        <v>49</v>
      </c>
      <c r="J861" t="s">
        <v>99</v>
      </c>
      <c r="K861" t="s">
        <v>100</v>
      </c>
      <c r="L861" t="s">
        <v>154</v>
      </c>
      <c r="M861" t="s">
        <v>90</v>
      </c>
      <c r="N861" t="s">
        <v>91</v>
      </c>
      <c r="O861" s="3">
        <v>315000</v>
      </c>
      <c r="P861" s="4">
        <v>50</v>
      </c>
      <c r="Q861" s="2">
        <v>46020</v>
      </c>
      <c r="R861" s="2">
        <v>46208</v>
      </c>
      <c r="S861" s="2">
        <v>45971</v>
      </c>
      <c r="T861" s="2"/>
      <c r="U861" t="str">
        <f t="shared" si="91"/>
        <v>No</v>
      </c>
      <c r="W8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1" t="str">
        <f t="shared" ca="1" si="92"/>
        <v>Due/Open</v>
      </c>
      <c r="Y861" t="str">
        <f t="shared" si="93"/>
        <v>Open</v>
      </c>
      <c r="Z861" t="str">
        <f t="shared" si="94"/>
        <v>Nov-2025</v>
      </c>
      <c r="AA861" t="str">
        <f t="shared" si="95"/>
        <v>Q4 2025</v>
      </c>
      <c r="AB861" s="4">
        <f t="shared" ca="1" si="96"/>
        <v>229</v>
      </c>
      <c r="AC861" t="str">
        <f t="shared" si="97"/>
        <v>High</v>
      </c>
    </row>
    <row r="862" spans="1:29">
      <c r="A862" t="s">
        <v>3317</v>
      </c>
      <c r="B862" s="2">
        <v>45875</v>
      </c>
      <c r="C862" t="s">
        <v>2838</v>
      </c>
      <c r="D862" t="s">
        <v>464</v>
      </c>
      <c r="E862" t="s">
        <v>3318</v>
      </c>
      <c r="F862" t="s">
        <v>3319</v>
      </c>
      <c r="G862" t="s">
        <v>79</v>
      </c>
      <c r="H862" t="s">
        <v>260</v>
      </c>
      <c r="I862" t="s">
        <v>36</v>
      </c>
      <c r="J862" t="s">
        <v>62</v>
      </c>
      <c r="K862" t="s">
        <v>114</v>
      </c>
      <c r="L862" t="s">
        <v>115</v>
      </c>
      <c r="M862" t="s">
        <v>166</v>
      </c>
      <c r="N862" t="s">
        <v>167</v>
      </c>
      <c r="O862" s="3">
        <v>260000</v>
      </c>
      <c r="P862" s="4">
        <v>70</v>
      </c>
      <c r="Q862" s="2">
        <v>45958</v>
      </c>
      <c r="R862" s="2">
        <v>46183</v>
      </c>
      <c r="S862" s="2">
        <v>45895</v>
      </c>
      <c r="T862" s="2"/>
      <c r="U862" t="str">
        <f t="shared" si="91"/>
        <v>No</v>
      </c>
      <c r="W8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2" t="str">
        <f t="shared" ca="1" si="92"/>
        <v>Overdue</v>
      </c>
      <c r="Y862" t="str">
        <f t="shared" si="93"/>
        <v>Open</v>
      </c>
      <c r="Z862" t="str">
        <f t="shared" si="94"/>
        <v>Aug-2025</v>
      </c>
      <c r="AA862" t="str">
        <f t="shared" si="95"/>
        <v>Q3 2025</v>
      </c>
      <c r="AB862" s="4">
        <f t="shared" ca="1" si="96"/>
        <v>324</v>
      </c>
      <c r="AC862" t="str">
        <f t="shared" si="97"/>
        <v>Medium</v>
      </c>
    </row>
    <row r="863" spans="1:29">
      <c r="A863" t="s">
        <v>3320</v>
      </c>
      <c r="B863" s="2">
        <v>45941</v>
      </c>
      <c r="C863" t="s">
        <v>2250</v>
      </c>
      <c r="D863" t="s">
        <v>57</v>
      </c>
      <c r="E863" t="s">
        <v>3321</v>
      </c>
      <c r="F863" t="s">
        <v>3322</v>
      </c>
      <c r="G863" t="s">
        <v>34</v>
      </c>
      <c r="H863" t="s">
        <v>238</v>
      </c>
      <c r="I863" t="s">
        <v>49</v>
      </c>
      <c r="J863" t="s">
        <v>131</v>
      </c>
      <c r="K863" t="s">
        <v>194</v>
      </c>
      <c r="L863" t="s">
        <v>81</v>
      </c>
      <c r="M863" t="s">
        <v>73</v>
      </c>
      <c r="N863" t="s">
        <v>73</v>
      </c>
      <c r="O863" s="3">
        <v>230000</v>
      </c>
      <c r="P863" s="4">
        <v>85</v>
      </c>
      <c r="Q863" s="2">
        <v>46027</v>
      </c>
      <c r="R863" s="2">
        <v>46237</v>
      </c>
      <c r="S863" s="2">
        <v>45970</v>
      </c>
      <c r="T863" s="2"/>
      <c r="U863" t="str">
        <f t="shared" si="91"/>
        <v>No</v>
      </c>
      <c r="W8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3" t="str">
        <f t="shared" ca="1" si="92"/>
        <v>Due/Open</v>
      </c>
      <c r="Y863" t="str">
        <f t="shared" si="93"/>
        <v>Open</v>
      </c>
      <c r="Z863" t="str">
        <f t="shared" si="94"/>
        <v>Oct-2025</v>
      </c>
      <c r="AA863" t="str">
        <f t="shared" si="95"/>
        <v>Q4 2025</v>
      </c>
      <c r="AB863" s="4">
        <f t="shared" ca="1" si="96"/>
        <v>258</v>
      </c>
      <c r="AC863" t="str">
        <f t="shared" si="97"/>
        <v>Medium</v>
      </c>
    </row>
    <row r="864" spans="1:29">
      <c r="A864" t="s">
        <v>3323</v>
      </c>
      <c r="B864" s="2">
        <v>45824</v>
      </c>
      <c r="C864" t="s">
        <v>370</v>
      </c>
      <c r="D864" t="s">
        <v>1012</v>
      </c>
      <c r="E864" t="s">
        <v>3324</v>
      </c>
      <c r="F864" t="s">
        <v>3325</v>
      </c>
      <c r="G864" t="s">
        <v>179</v>
      </c>
      <c r="H864" t="s">
        <v>436</v>
      </c>
      <c r="I864" t="s">
        <v>61</v>
      </c>
      <c r="J864" t="s">
        <v>37</v>
      </c>
      <c r="K864" t="s">
        <v>51</v>
      </c>
      <c r="L864" t="s">
        <v>52</v>
      </c>
      <c r="M864" t="s">
        <v>90</v>
      </c>
      <c r="N864" t="s">
        <v>91</v>
      </c>
      <c r="O864" s="3">
        <v>160000</v>
      </c>
      <c r="P864" s="4">
        <v>50</v>
      </c>
      <c r="Q864" s="2">
        <v>45895</v>
      </c>
      <c r="R864" s="2">
        <v>46199</v>
      </c>
      <c r="S864" s="2">
        <v>45826</v>
      </c>
      <c r="T864" s="2"/>
      <c r="U864" t="str">
        <f t="shared" si="91"/>
        <v>No</v>
      </c>
      <c r="W8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4" t="str">
        <f t="shared" ca="1" si="92"/>
        <v>Due/Open</v>
      </c>
      <c r="Y864" t="str">
        <f t="shared" si="93"/>
        <v>Open</v>
      </c>
      <c r="Z864" t="str">
        <f t="shared" si="94"/>
        <v>Jun-2025</v>
      </c>
      <c r="AA864" t="str">
        <f t="shared" si="95"/>
        <v>Q2 2025</v>
      </c>
      <c r="AB864" s="4">
        <f t="shared" ca="1" si="96"/>
        <v>375</v>
      </c>
      <c r="AC864" t="str">
        <f t="shared" si="97"/>
        <v>Medium</v>
      </c>
    </row>
    <row r="865" spans="1:29">
      <c r="A865" t="s">
        <v>3326</v>
      </c>
      <c r="B865" s="2">
        <v>46185</v>
      </c>
      <c r="C865" t="s">
        <v>3327</v>
      </c>
      <c r="D865" t="s">
        <v>1600</v>
      </c>
      <c r="E865" t="s">
        <v>3328</v>
      </c>
      <c r="F865" t="s">
        <v>3329</v>
      </c>
      <c r="G865" t="s">
        <v>47</v>
      </c>
      <c r="H865" t="s">
        <v>113</v>
      </c>
      <c r="I865" t="s">
        <v>36</v>
      </c>
      <c r="J865" t="s">
        <v>124</v>
      </c>
      <c r="K865" t="s">
        <v>71</v>
      </c>
      <c r="L865" t="s">
        <v>115</v>
      </c>
      <c r="M865" t="s">
        <v>82</v>
      </c>
      <c r="N865" t="s">
        <v>83</v>
      </c>
      <c r="O865" s="3">
        <v>285000</v>
      </c>
      <c r="P865" s="4">
        <v>10</v>
      </c>
      <c r="Q865" s="2">
        <v>46266</v>
      </c>
      <c r="R865" s="2">
        <v>46216</v>
      </c>
      <c r="S865" s="2">
        <v>46192</v>
      </c>
      <c r="T865" s="2"/>
      <c r="U865" t="str">
        <f t="shared" si="91"/>
        <v>No</v>
      </c>
      <c r="W8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5" t="str">
        <f t="shared" ca="1" si="92"/>
        <v>Due/Open</v>
      </c>
      <c r="Y865" t="str">
        <f t="shared" si="93"/>
        <v>Open</v>
      </c>
      <c r="Z865" t="str">
        <f t="shared" si="94"/>
        <v>Jun-2026</v>
      </c>
      <c r="AA865" t="str">
        <f t="shared" si="95"/>
        <v>Q2 2026</v>
      </c>
      <c r="AB865" s="4">
        <f t="shared" ca="1" si="96"/>
        <v>14</v>
      </c>
      <c r="AC865" t="str">
        <f t="shared" si="97"/>
        <v>Medium</v>
      </c>
    </row>
    <row r="866" spans="1:29">
      <c r="A866" t="s">
        <v>3330</v>
      </c>
      <c r="B866" s="2">
        <v>45772</v>
      </c>
      <c r="C866" t="s">
        <v>2759</v>
      </c>
      <c r="D866" t="s">
        <v>128</v>
      </c>
      <c r="E866" t="s">
        <v>3331</v>
      </c>
      <c r="F866" t="s">
        <v>3332</v>
      </c>
      <c r="G866" t="s">
        <v>34</v>
      </c>
      <c r="H866" t="s">
        <v>446</v>
      </c>
      <c r="I866" t="s">
        <v>98</v>
      </c>
      <c r="J866" t="s">
        <v>131</v>
      </c>
      <c r="K866" t="s">
        <v>114</v>
      </c>
      <c r="L866" t="s">
        <v>52</v>
      </c>
      <c r="M866" t="s">
        <v>82</v>
      </c>
      <c r="N866" t="s">
        <v>83</v>
      </c>
      <c r="O866" s="3">
        <v>365000</v>
      </c>
      <c r="P866" s="4">
        <v>5</v>
      </c>
      <c r="Q866" s="2">
        <v>45840</v>
      </c>
      <c r="R866" s="2">
        <v>46158</v>
      </c>
      <c r="S866" s="2">
        <v>45785</v>
      </c>
      <c r="T866" s="2"/>
      <c r="U866" t="str">
        <f t="shared" si="91"/>
        <v>No</v>
      </c>
      <c r="W8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6" t="str">
        <f t="shared" ca="1" si="92"/>
        <v>Overdue</v>
      </c>
      <c r="Y866" t="str">
        <f t="shared" si="93"/>
        <v>Open</v>
      </c>
      <c r="Z866" t="str">
        <f t="shared" si="94"/>
        <v>Apr-2025</v>
      </c>
      <c r="AA866" t="str">
        <f t="shared" si="95"/>
        <v>Q2 2025</v>
      </c>
      <c r="AB866" s="4">
        <f t="shared" ca="1" si="96"/>
        <v>427</v>
      </c>
      <c r="AC866" t="str">
        <f t="shared" si="97"/>
        <v>High</v>
      </c>
    </row>
    <row r="867" spans="1:29">
      <c r="A867" t="s">
        <v>3333</v>
      </c>
      <c r="B867" s="2">
        <v>45840</v>
      </c>
      <c r="C867" t="s">
        <v>1672</v>
      </c>
      <c r="D867" t="s">
        <v>986</v>
      </c>
      <c r="E867" t="s">
        <v>3334</v>
      </c>
      <c r="F867" t="s">
        <v>3335</v>
      </c>
      <c r="G867" t="s">
        <v>34</v>
      </c>
      <c r="H867" t="s">
        <v>35</v>
      </c>
      <c r="I867" t="s">
        <v>98</v>
      </c>
      <c r="J867" t="s">
        <v>50</v>
      </c>
      <c r="K867" t="s">
        <v>114</v>
      </c>
      <c r="L867" t="s">
        <v>72</v>
      </c>
      <c r="M867" t="s">
        <v>40</v>
      </c>
      <c r="N867" t="s">
        <v>41</v>
      </c>
      <c r="O867" s="3">
        <v>350000</v>
      </c>
      <c r="P867" s="4">
        <v>100</v>
      </c>
      <c r="Q867" s="2">
        <v>45876</v>
      </c>
      <c r="R867" s="2"/>
      <c r="S867" s="2">
        <v>45860</v>
      </c>
      <c r="T867" s="2">
        <v>45876</v>
      </c>
      <c r="U867" t="str">
        <f t="shared" si="91"/>
        <v>Yes</v>
      </c>
      <c r="W86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867" t="str">
        <f t="shared" ca="1" si="92"/>
        <v>Closed</v>
      </c>
      <c r="Y867" t="str">
        <f t="shared" si="93"/>
        <v>Closed</v>
      </c>
      <c r="Z867" t="str">
        <f t="shared" si="94"/>
        <v>Jul-2025</v>
      </c>
      <c r="AA867" t="str">
        <f t="shared" si="95"/>
        <v>Q3 2025</v>
      </c>
      <c r="AB867" s="4">
        <f t="shared" ca="1" si="96"/>
        <v>359</v>
      </c>
      <c r="AC867" t="str">
        <f t="shared" si="97"/>
        <v>High</v>
      </c>
    </row>
    <row r="868" spans="1:29">
      <c r="A868" t="s">
        <v>3336</v>
      </c>
      <c r="B868" s="2">
        <v>46008</v>
      </c>
      <c r="C868" t="s">
        <v>577</v>
      </c>
      <c r="D868" t="s">
        <v>163</v>
      </c>
      <c r="E868" t="s">
        <v>3337</v>
      </c>
      <c r="F868" t="s">
        <v>3338</v>
      </c>
      <c r="G868" t="s">
        <v>79</v>
      </c>
      <c r="H868" t="s">
        <v>80</v>
      </c>
      <c r="I868" t="s">
        <v>148</v>
      </c>
      <c r="J868" t="s">
        <v>62</v>
      </c>
      <c r="K868" t="s">
        <v>51</v>
      </c>
      <c r="L868" t="s">
        <v>125</v>
      </c>
      <c r="M868" t="s">
        <v>40</v>
      </c>
      <c r="N868" t="s">
        <v>41</v>
      </c>
      <c r="O868" s="3">
        <v>125000</v>
      </c>
      <c r="P868" s="4">
        <v>100</v>
      </c>
      <c r="Q868" s="2">
        <v>46023</v>
      </c>
      <c r="R868" s="2"/>
      <c r="S868" s="2">
        <v>46015</v>
      </c>
      <c r="T868" s="2">
        <v>46023</v>
      </c>
      <c r="U868" t="str">
        <f t="shared" si="91"/>
        <v>Yes</v>
      </c>
      <c r="W8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15</v>
      </c>
      <c r="X868" t="str">
        <f t="shared" ca="1" si="92"/>
        <v>Closed</v>
      </c>
      <c r="Y868" t="str">
        <f t="shared" si="93"/>
        <v>Closed</v>
      </c>
      <c r="Z868" t="str">
        <f t="shared" si="94"/>
        <v>Dec-2025</v>
      </c>
      <c r="AA868" t="str">
        <f t="shared" si="95"/>
        <v>Q4 2025</v>
      </c>
      <c r="AB868" s="4">
        <f t="shared" ca="1" si="96"/>
        <v>191</v>
      </c>
      <c r="AC868" t="str">
        <f t="shared" si="97"/>
        <v>Medium</v>
      </c>
    </row>
    <row r="869" spans="1:29">
      <c r="A869" t="s">
        <v>3339</v>
      </c>
      <c r="B869" s="2">
        <v>45923</v>
      </c>
      <c r="C869" t="s">
        <v>1273</v>
      </c>
      <c r="D869" t="s">
        <v>2179</v>
      </c>
      <c r="E869" t="s">
        <v>3340</v>
      </c>
      <c r="F869" t="s">
        <v>3341</v>
      </c>
      <c r="G869" t="s">
        <v>79</v>
      </c>
      <c r="H869" t="s">
        <v>228</v>
      </c>
      <c r="I869" t="s">
        <v>49</v>
      </c>
      <c r="J869" t="s">
        <v>99</v>
      </c>
      <c r="K869" t="s">
        <v>38</v>
      </c>
      <c r="L869" t="s">
        <v>142</v>
      </c>
      <c r="M869" t="s">
        <v>53</v>
      </c>
      <c r="N869" t="s">
        <v>54</v>
      </c>
      <c r="O869" s="3">
        <v>190000</v>
      </c>
      <c r="P869" s="4">
        <v>25</v>
      </c>
      <c r="Q869" s="2">
        <v>45997</v>
      </c>
      <c r="R869" s="2">
        <v>46184</v>
      </c>
      <c r="S869" s="2">
        <v>45938</v>
      </c>
      <c r="T869" s="2"/>
      <c r="U869" t="str">
        <f t="shared" si="91"/>
        <v>No</v>
      </c>
      <c r="W8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69" t="str">
        <f t="shared" ca="1" si="92"/>
        <v>Overdue</v>
      </c>
      <c r="Y869" t="str">
        <f t="shared" si="93"/>
        <v>Open</v>
      </c>
      <c r="Z869" t="str">
        <f t="shared" si="94"/>
        <v>Sep-2025</v>
      </c>
      <c r="AA869" t="str">
        <f t="shared" si="95"/>
        <v>Q3 2025</v>
      </c>
      <c r="AB869" s="4">
        <f t="shared" ca="1" si="96"/>
        <v>276</v>
      </c>
      <c r="AC869" t="str">
        <f t="shared" si="97"/>
        <v>Medium</v>
      </c>
    </row>
    <row r="870" spans="1:29">
      <c r="A870" t="s">
        <v>3342</v>
      </c>
      <c r="B870" s="2">
        <v>45886</v>
      </c>
      <c r="C870" t="s">
        <v>3343</v>
      </c>
      <c r="D870" t="s">
        <v>1245</v>
      </c>
      <c r="E870" t="s">
        <v>3344</v>
      </c>
      <c r="F870" t="s">
        <v>3345</v>
      </c>
      <c r="G870" t="s">
        <v>79</v>
      </c>
      <c r="H870" t="s">
        <v>106</v>
      </c>
      <c r="I870" t="s">
        <v>123</v>
      </c>
      <c r="J870" t="s">
        <v>50</v>
      </c>
      <c r="K870" t="s">
        <v>100</v>
      </c>
      <c r="L870" t="s">
        <v>63</v>
      </c>
      <c r="M870" t="s">
        <v>53</v>
      </c>
      <c r="N870" t="s">
        <v>54</v>
      </c>
      <c r="O870" s="3">
        <v>380000</v>
      </c>
      <c r="P870" s="4">
        <v>25</v>
      </c>
      <c r="Q870" s="2">
        <v>45969</v>
      </c>
      <c r="R870" s="2">
        <v>46199</v>
      </c>
      <c r="S870" s="2">
        <v>45888</v>
      </c>
      <c r="T870" s="2"/>
      <c r="U870" t="str">
        <f t="shared" si="91"/>
        <v>No</v>
      </c>
      <c r="W8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0" t="str">
        <f t="shared" ca="1" si="92"/>
        <v>Due/Open</v>
      </c>
      <c r="Y870" t="str">
        <f t="shared" si="93"/>
        <v>Open</v>
      </c>
      <c r="Z870" t="str">
        <f t="shared" si="94"/>
        <v>Aug-2025</v>
      </c>
      <c r="AA870" t="str">
        <f t="shared" si="95"/>
        <v>Q3 2025</v>
      </c>
      <c r="AB870" s="4">
        <f t="shared" ca="1" si="96"/>
        <v>313</v>
      </c>
      <c r="AC870" t="str">
        <f t="shared" si="97"/>
        <v>High</v>
      </c>
    </row>
    <row r="871" spans="1:29">
      <c r="A871" t="s">
        <v>3346</v>
      </c>
      <c r="B871" s="2">
        <v>45885</v>
      </c>
      <c r="C871" t="s">
        <v>3347</v>
      </c>
      <c r="D871" t="s">
        <v>138</v>
      </c>
      <c r="E871" t="s">
        <v>3348</v>
      </c>
      <c r="F871" t="s">
        <v>3349</v>
      </c>
      <c r="G871" t="s">
        <v>47</v>
      </c>
      <c r="H871" t="s">
        <v>89</v>
      </c>
      <c r="I871" t="s">
        <v>49</v>
      </c>
      <c r="J871" t="s">
        <v>131</v>
      </c>
      <c r="K871" t="s">
        <v>38</v>
      </c>
      <c r="L871" t="s">
        <v>142</v>
      </c>
      <c r="M871" t="s">
        <v>40</v>
      </c>
      <c r="N871" t="s">
        <v>41</v>
      </c>
      <c r="O871" s="3">
        <v>125000</v>
      </c>
      <c r="P871" s="4">
        <v>100</v>
      </c>
      <c r="Q871" s="2">
        <v>45905</v>
      </c>
      <c r="R871" s="2"/>
      <c r="S871" s="2">
        <v>45911</v>
      </c>
      <c r="T871" s="2">
        <v>45905</v>
      </c>
      <c r="U871" t="str">
        <f t="shared" si="91"/>
        <v>Yes</v>
      </c>
      <c r="W87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871" t="str">
        <f t="shared" ca="1" si="92"/>
        <v>Closed</v>
      </c>
      <c r="Y871" t="str">
        <f t="shared" si="93"/>
        <v>Closed</v>
      </c>
      <c r="Z871" t="str">
        <f t="shared" si="94"/>
        <v>Aug-2025</v>
      </c>
      <c r="AA871" t="str">
        <f t="shared" si="95"/>
        <v>Q3 2025</v>
      </c>
      <c r="AB871" s="4">
        <f t="shared" ca="1" si="96"/>
        <v>314</v>
      </c>
      <c r="AC871" t="str">
        <f t="shared" si="97"/>
        <v>Medium</v>
      </c>
    </row>
    <row r="872" spans="1:29">
      <c r="A872" t="s">
        <v>3350</v>
      </c>
      <c r="B872" s="2">
        <v>45960</v>
      </c>
      <c r="C872" t="s">
        <v>2604</v>
      </c>
      <c r="D872" t="s">
        <v>484</v>
      </c>
      <c r="E872" t="s">
        <v>3351</v>
      </c>
      <c r="F872" t="s">
        <v>3352</v>
      </c>
      <c r="G872" t="s">
        <v>34</v>
      </c>
      <c r="H872" t="s">
        <v>160</v>
      </c>
      <c r="I872" t="s">
        <v>61</v>
      </c>
      <c r="J872" t="s">
        <v>50</v>
      </c>
      <c r="K872" t="s">
        <v>38</v>
      </c>
      <c r="L872" t="s">
        <v>239</v>
      </c>
      <c r="M872" t="s">
        <v>40</v>
      </c>
      <c r="N872" t="s">
        <v>41</v>
      </c>
      <c r="O872" s="3">
        <v>395000</v>
      </c>
      <c r="P872" s="4">
        <v>100</v>
      </c>
      <c r="Q872" s="2">
        <v>45998</v>
      </c>
      <c r="R872" s="2"/>
      <c r="S872" s="2">
        <v>45969</v>
      </c>
      <c r="T872" s="2">
        <v>45998</v>
      </c>
      <c r="U872" t="str">
        <f t="shared" si="91"/>
        <v>Yes</v>
      </c>
      <c r="W87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872" t="str">
        <f t="shared" ca="1" si="92"/>
        <v>Closed</v>
      </c>
      <c r="Y872" t="str">
        <f t="shared" si="93"/>
        <v>Closed</v>
      </c>
      <c r="Z872" t="str">
        <f t="shared" si="94"/>
        <v>Oct-2025</v>
      </c>
      <c r="AA872" t="str">
        <f t="shared" si="95"/>
        <v>Q4 2025</v>
      </c>
      <c r="AB872" s="4">
        <f t="shared" ca="1" si="96"/>
        <v>239</v>
      </c>
      <c r="AC872" t="str">
        <f t="shared" si="97"/>
        <v>High</v>
      </c>
    </row>
    <row r="873" spans="1:29">
      <c r="A873" t="s">
        <v>3353</v>
      </c>
      <c r="B873" s="2">
        <v>45701</v>
      </c>
      <c r="C873" t="s">
        <v>281</v>
      </c>
      <c r="D873" t="s">
        <v>247</v>
      </c>
      <c r="E873" t="s">
        <v>3354</v>
      </c>
      <c r="F873" t="s">
        <v>3355</v>
      </c>
      <c r="G873" t="s">
        <v>79</v>
      </c>
      <c r="H873" t="s">
        <v>97</v>
      </c>
      <c r="I873" t="s">
        <v>123</v>
      </c>
      <c r="J873" t="s">
        <v>37</v>
      </c>
      <c r="K873" t="s">
        <v>71</v>
      </c>
      <c r="L873" t="s">
        <v>107</v>
      </c>
      <c r="M873" t="s">
        <v>166</v>
      </c>
      <c r="N873" t="s">
        <v>167</v>
      </c>
      <c r="O873" s="3">
        <v>160000</v>
      </c>
      <c r="P873" s="4">
        <v>60</v>
      </c>
      <c r="Q873" s="2">
        <v>45750</v>
      </c>
      <c r="R873" s="2">
        <v>46202</v>
      </c>
      <c r="S873" s="2">
        <v>45729</v>
      </c>
      <c r="T873" s="2"/>
      <c r="U873" t="str">
        <f t="shared" si="91"/>
        <v>No</v>
      </c>
      <c r="W8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3" t="str">
        <f t="shared" ca="1" si="92"/>
        <v>Due/Open</v>
      </c>
      <c r="Y873" t="str">
        <f t="shared" si="93"/>
        <v>Open</v>
      </c>
      <c r="Z873" t="str">
        <f t="shared" si="94"/>
        <v>Feb-2025</v>
      </c>
      <c r="AA873" t="str">
        <f t="shared" si="95"/>
        <v>Q1 2025</v>
      </c>
      <c r="AB873" s="4">
        <f t="shared" ca="1" si="96"/>
        <v>498</v>
      </c>
      <c r="AC873" t="str">
        <f t="shared" si="97"/>
        <v>Medium</v>
      </c>
    </row>
    <row r="874" spans="1:29">
      <c r="A874" t="s">
        <v>3356</v>
      </c>
      <c r="B874" s="2">
        <v>46129</v>
      </c>
      <c r="C874" t="s">
        <v>1757</v>
      </c>
      <c r="D874" t="s">
        <v>552</v>
      </c>
      <c r="E874" t="s">
        <v>3357</v>
      </c>
      <c r="F874" t="s">
        <v>3358</v>
      </c>
      <c r="G874" t="s">
        <v>69</v>
      </c>
      <c r="H874" t="s">
        <v>193</v>
      </c>
      <c r="I874" t="s">
        <v>123</v>
      </c>
      <c r="J874" t="s">
        <v>124</v>
      </c>
      <c r="K874" t="s">
        <v>71</v>
      </c>
      <c r="L874" t="s">
        <v>52</v>
      </c>
      <c r="M874" t="s">
        <v>210</v>
      </c>
      <c r="N874" t="s">
        <v>134</v>
      </c>
      <c r="O874" s="3">
        <v>275000</v>
      </c>
      <c r="P874" s="4">
        <v>0</v>
      </c>
      <c r="Q874" s="2">
        <v>46196</v>
      </c>
      <c r="R874" s="2"/>
      <c r="S874" s="2">
        <v>46159</v>
      </c>
      <c r="T874" s="2">
        <v>46196</v>
      </c>
      <c r="U874" t="str">
        <f t="shared" si="91"/>
        <v>No</v>
      </c>
      <c r="V874" t="s">
        <v>319</v>
      </c>
      <c r="W87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874" t="str">
        <f t="shared" ca="1" si="92"/>
        <v>Closed</v>
      </c>
      <c r="Y874" t="str">
        <f t="shared" si="93"/>
        <v>Closed</v>
      </c>
      <c r="Z874" t="str">
        <f t="shared" si="94"/>
        <v>Apr-2026</v>
      </c>
      <c r="AA874" t="str">
        <f t="shared" si="95"/>
        <v>Q2 2026</v>
      </c>
      <c r="AB874" s="4">
        <f t="shared" ca="1" si="96"/>
        <v>70</v>
      </c>
      <c r="AC874" t="str">
        <f t="shared" si="97"/>
        <v>Medium</v>
      </c>
    </row>
    <row r="875" spans="1:29">
      <c r="A875" t="s">
        <v>3359</v>
      </c>
      <c r="B875" s="2">
        <v>45832</v>
      </c>
      <c r="C875" t="s">
        <v>2147</v>
      </c>
      <c r="D875" t="s">
        <v>552</v>
      </c>
      <c r="E875" t="s">
        <v>3360</v>
      </c>
      <c r="F875" t="s">
        <v>3361</v>
      </c>
      <c r="G875" t="s">
        <v>79</v>
      </c>
      <c r="H875" t="s">
        <v>106</v>
      </c>
      <c r="I875" t="s">
        <v>36</v>
      </c>
      <c r="J875" t="s">
        <v>37</v>
      </c>
      <c r="K875" t="s">
        <v>194</v>
      </c>
      <c r="L875" t="s">
        <v>142</v>
      </c>
      <c r="M875" t="s">
        <v>53</v>
      </c>
      <c r="N875" t="s">
        <v>54</v>
      </c>
      <c r="O875" s="3">
        <v>50000</v>
      </c>
      <c r="P875" s="4">
        <v>35</v>
      </c>
      <c r="Q875" s="2">
        <v>45919</v>
      </c>
      <c r="R875" s="2">
        <v>46191</v>
      </c>
      <c r="S875" s="2">
        <v>45835</v>
      </c>
      <c r="T875" s="2"/>
      <c r="U875" t="str">
        <f t="shared" si="91"/>
        <v>No</v>
      </c>
      <c r="W8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5" t="str">
        <f t="shared" ca="1" si="92"/>
        <v>Overdue</v>
      </c>
      <c r="Y875" t="str">
        <f t="shared" si="93"/>
        <v>Open</v>
      </c>
      <c r="Z875" t="str">
        <f t="shared" si="94"/>
        <v>Jun-2025</v>
      </c>
      <c r="AA875" t="str">
        <f t="shared" si="95"/>
        <v>Q2 2025</v>
      </c>
      <c r="AB875" s="4">
        <f t="shared" ca="1" si="96"/>
        <v>367</v>
      </c>
      <c r="AC875" t="str">
        <f t="shared" si="97"/>
        <v>Low</v>
      </c>
    </row>
    <row r="876" spans="1:29">
      <c r="A876" t="s">
        <v>3362</v>
      </c>
      <c r="B876" s="2">
        <v>45920</v>
      </c>
      <c r="C876" t="s">
        <v>1917</v>
      </c>
      <c r="D876" t="s">
        <v>433</v>
      </c>
      <c r="E876" t="s">
        <v>3363</v>
      </c>
      <c r="F876" t="s">
        <v>3364</v>
      </c>
      <c r="G876" t="s">
        <v>79</v>
      </c>
      <c r="H876" t="s">
        <v>260</v>
      </c>
      <c r="I876" t="s">
        <v>98</v>
      </c>
      <c r="J876" t="s">
        <v>99</v>
      </c>
      <c r="K876" t="s">
        <v>100</v>
      </c>
      <c r="L876" t="s">
        <v>142</v>
      </c>
      <c r="M876" t="s">
        <v>90</v>
      </c>
      <c r="N876" t="s">
        <v>91</v>
      </c>
      <c r="O876" s="3">
        <v>480000</v>
      </c>
      <c r="P876" s="4">
        <v>55</v>
      </c>
      <c r="Q876" s="2">
        <v>45951</v>
      </c>
      <c r="R876" s="2">
        <v>46161</v>
      </c>
      <c r="S876" s="2">
        <v>45947</v>
      </c>
      <c r="T876" s="2"/>
      <c r="U876" t="str">
        <f t="shared" si="91"/>
        <v>No</v>
      </c>
      <c r="W8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6" t="str">
        <f t="shared" ca="1" si="92"/>
        <v>Overdue</v>
      </c>
      <c r="Y876" t="str">
        <f t="shared" si="93"/>
        <v>Open</v>
      </c>
      <c r="Z876" t="str">
        <f t="shared" si="94"/>
        <v>Sep-2025</v>
      </c>
      <c r="AA876" t="str">
        <f t="shared" si="95"/>
        <v>Q3 2025</v>
      </c>
      <c r="AB876" s="4">
        <f t="shared" ca="1" si="96"/>
        <v>279</v>
      </c>
      <c r="AC876" t="str">
        <f t="shared" si="97"/>
        <v>High</v>
      </c>
    </row>
    <row r="877" spans="1:29">
      <c r="A877" t="s">
        <v>3365</v>
      </c>
      <c r="B877" s="2">
        <v>45951</v>
      </c>
      <c r="C877" t="s">
        <v>921</v>
      </c>
      <c r="D877" t="s">
        <v>1404</v>
      </c>
      <c r="E877" t="s">
        <v>3366</v>
      </c>
      <c r="F877" t="s">
        <v>3367</v>
      </c>
      <c r="G877" t="s">
        <v>179</v>
      </c>
      <c r="H877" t="s">
        <v>180</v>
      </c>
      <c r="I877" t="s">
        <v>148</v>
      </c>
      <c r="J877" t="s">
        <v>50</v>
      </c>
      <c r="K877" t="s">
        <v>114</v>
      </c>
      <c r="L877" t="s">
        <v>132</v>
      </c>
      <c r="M877" t="s">
        <v>40</v>
      </c>
      <c r="N877" t="s">
        <v>41</v>
      </c>
      <c r="O877" s="3">
        <v>380000</v>
      </c>
      <c r="P877" s="4">
        <v>100</v>
      </c>
      <c r="Q877" s="2">
        <v>46003</v>
      </c>
      <c r="R877" s="2"/>
      <c r="S877" s="2">
        <v>45956</v>
      </c>
      <c r="T877" s="2">
        <v>46003</v>
      </c>
      <c r="U877" t="str">
        <f t="shared" si="91"/>
        <v>Yes</v>
      </c>
      <c r="W8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877" t="str">
        <f t="shared" ca="1" si="92"/>
        <v>Closed</v>
      </c>
      <c r="Y877" t="str">
        <f t="shared" si="93"/>
        <v>Closed</v>
      </c>
      <c r="Z877" t="str">
        <f t="shared" si="94"/>
        <v>Oct-2025</v>
      </c>
      <c r="AA877" t="str">
        <f t="shared" si="95"/>
        <v>Q4 2025</v>
      </c>
      <c r="AB877" s="4">
        <f t="shared" ca="1" si="96"/>
        <v>248</v>
      </c>
      <c r="AC877" t="str">
        <f t="shared" si="97"/>
        <v>High</v>
      </c>
    </row>
    <row r="878" spans="1:29">
      <c r="A878" t="s">
        <v>3368</v>
      </c>
      <c r="B878" s="2">
        <v>46082</v>
      </c>
      <c r="C878" t="s">
        <v>2697</v>
      </c>
      <c r="D878" t="s">
        <v>110</v>
      </c>
      <c r="E878" t="s">
        <v>3369</v>
      </c>
      <c r="F878" t="s">
        <v>3370</v>
      </c>
      <c r="G878" t="s">
        <v>79</v>
      </c>
      <c r="H878" t="s">
        <v>217</v>
      </c>
      <c r="I878" t="s">
        <v>98</v>
      </c>
      <c r="J878" t="s">
        <v>99</v>
      </c>
      <c r="K878" t="s">
        <v>100</v>
      </c>
      <c r="L878" t="s">
        <v>81</v>
      </c>
      <c r="M878" t="s">
        <v>73</v>
      </c>
      <c r="N878" t="s">
        <v>73</v>
      </c>
      <c r="O878" s="3">
        <v>465000</v>
      </c>
      <c r="P878" s="4">
        <v>85</v>
      </c>
      <c r="Q878" s="2">
        <v>46107</v>
      </c>
      <c r="R878" s="2">
        <v>46174</v>
      </c>
      <c r="S878" s="2">
        <v>46108</v>
      </c>
      <c r="T878" s="2"/>
      <c r="U878" t="str">
        <f t="shared" si="91"/>
        <v>No</v>
      </c>
      <c r="W8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78" t="str">
        <f t="shared" ca="1" si="92"/>
        <v>Overdue</v>
      </c>
      <c r="Y878" t="str">
        <f t="shared" si="93"/>
        <v>Open</v>
      </c>
      <c r="Z878" t="str">
        <f t="shared" si="94"/>
        <v>Mar-2026</v>
      </c>
      <c r="AA878" t="str">
        <f t="shared" si="95"/>
        <v>Q1 2026</v>
      </c>
      <c r="AB878" s="4">
        <f t="shared" ca="1" si="96"/>
        <v>117</v>
      </c>
      <c r="AC878" t="str">
        <f t="shared" si="97"/>
        <v>High</v>
      </c>
    </row>
    <row r="879" spans="1:29">
      <c r="A879" t="s">
        <v>3371</v>
      </c>
      <c r="B879" s="2">
        <v>46052</v>
      </c>
      <c r="C879" t="s">
        <v>3372</v>
      </c>
      <c r="D879" t="s">
        <v>389</v>
      </c>
      <c r="E879" t="s">
        <v>3373</v>
      </c>
      <c r="F879" t="s">
        <v>3374</v>
      </c>
      <c r="G879" t="s">
        <v>79</v>
      </c>
      <c r="H879" t="s">
        <v>106</v>
      </c>
      <c r="I879" t="s">
        <v>36</v>
      </c>
      <c r="J879" t="s">
        <v>124</v>
      </c>
      <c r="K879" t="s">
        <v>100</v>
      </c>
      <c r="L879" t="s">
        <v>115</v>
      </c>
      <c r="M879" t="s">
        <v>133</v>
      </c>
      <c r="N879" t="s">
        <v>134</v>
      </c>
      <c r="O879" s="3">
        <v>305000</v>
      </c>
      <c r="P879" s="4">
        <v>0</v>
      </c>
      <c r="Q879" s="2">
        <v>46095</v>
      </c>
      <c r="R879" s="2"/>
      <c r="S879" s="2">
        <v>46061</v>
      </c>
      <c r="T879" s="2">
        <v>46095</v>
      </c>
      <c r="U879" t="str">
        <f t="shared" si="91"/>
        <v>No</v>
      </c>
      <c r="V879" t="s">
        <v>452</v>
      </c>
      <c r="W8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43</v>
      </c>
      <c r="X879" t="str">
        <f t="shared" ca="1" si="92"/>
        <v>Closed</v>
      </c>
      <c r="Y879" t="str">
        <f t="shared" si="93"/>
        <v>Closed</v>
      </c>
      <c r="Z879" t="str">
        <f t="shared" si="94"/>
        <v>Jan-2026</v>
      </c>
      <c r="AA879" t="str">
        <f t="shared" si="95"/>
        <v>Q1 2026</v>
      </c>
      <c r="AB879" s="4">
        <f t="shared" ca="1" si="96"/>
        <v>147</v>
      </c>
      <c r="AC879" t="str">
        <f t="shared" si="97"/>
        <v>High</v>
      </c>
    </row>
    <row r="880" spans="1:29">
      <c r="A880" t="s">
        <v>3375</v>
      </c>
      <c r="B880" s="2">
        <v>45879</v>
      </c>
      <c r="C880" t="s">
        <v>1265</v>
      </c>
      <c r="D880" t="s">
        <v>443</v>
      </c>
      <c r="E880" t="s">
        <v>3376</v>
      </c>
      <c r="F880" t="s">
        <v>3377</v>
      </c>
      <c r="G880" t="s">
        <v>69</v>
      </c>
      <c r="H880" t="s">
        <v>312</v>
      </c>
      <c r="I880" t="s">
        <v>98</v>
      </c>
      <c r="J880" t="s">
        <v>99</v>
      </c>
      <c r="K880" t="s">
        <v>194</v>
      </c>
      <c r="L880" t="s">
        <v>154</v>
      </c>
      <c r="M880" t="s">
        <v>210</v>
      </c>
      <c r="N880" t="s">
        <v>134</v>
      </c>
      <c r="O880" s="3">
        <v>315000</v>
      </c>
      <c r="P880" s="4">
        <v>0</v>
      </c>
      <c r="Q880" s="2">
        <v>45950</v>
      </c>
      <c r="R880" s="2"/>
      <c r="S880" s="2">
        <v>45899</v>
      </c>
      <c r="T880" s="2">
        <v>45950</v>
      </c>
      <c r="U880" t="str">
        <f t="shared" si="91"/>
        <v>No</v>
      </c>
      <c r="V880" t="s">
        <v>319</v>
      </c>
      <c r="W88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71</v>
      </c>
      <c r="X880" t="str">
        <f t="shared" ca="1" si="92"/>
        <v>Closed</v>
      </c>
      <c r="Y880" t="str">
        <f t="shared" si="93"/>
        <v>Closed</v>
      </c>
      <c r="Z880" t="str">
        <f t="shared" si="94"/>
        <v>Aug-2025</v>
      </c>
      <c r="AA880" t="str">
        <f t="shared" si="95"/>
        <v>Q3 2025</v>
      </c>
      <c r="AB880" s="4">
        <f t="shared" ca="1" si="96"/>
        <v>320</v>
      </c>
      <c r="AC880" t="str">
        <f t="shared" si="97"/>
        <v>High</v>
      </c>
    </row>
    <row r="881" spans="1:29">
      <c r="A881" t="s">
        <v>3378</v>
      </c>
      <c r="B881" s="2">
        <v>45754</v>
      </c>
      <c r="C881" t="s">
        <v>3343</v>
      </c>
      <c r="D881" t="s">
        <v>767</v>
      </c>
      <c r="E881" t="s">
        <v>3379</v>
      </c>
      <c r="F881" t="s">
        <v>3380</v>
      </c>
      <c r="G881" t="s">
        <v>34</v>
      </c>
      <c r="H881" t="s">
        <v>35</v>
      </c>
      <c r="I881" t="s">
        <v>187</v>
      </c>
      <c r="J881" t="s">
        <v>131</v>
      </c>
      <c r="K881" t="s">
        <v>51</v>
      </c>
      <c r="L881" t="s">
        <v>142</v>
      </c>
      <c r="M881" t="s">
        <v>116</v>
      </c>
      <c r="N881" t="s">
        <v>54</v>
      </c>
      <c r="O881" s="3">
        <v>155000</v>
      </c>
      <c r="P881" s="4">
        <v>20</v>
      </c>
      <c r="Q881" s="2">
        <v>45800</v>
      </c>
      <c r="R881" s="2">
        <v>46192</v>
      </c>
      <c r="S881" s="2">
        <v>45781</v>
      </c>
      <c r="T881" s="2"/>
      <c r="U881" t="str">
        <f t="shared" si="91"/>
        <v>No</v>
      </c>
      <c r="W8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1" t="str">
        <f t="shared" ca="1" si="92"/>
        <v>Overdue</v>
      </c>
      <c r="Y881" t="str">
        <f t="shared" si="93"/>
        <v>Open</v>
      </c>
      <c r="Z881" t="str">
        <f t="shared" si="94"/>
        <v>Apr-2025</v>
      </c>
      <c r="AA881" t="str">
        <f t="shared" si="95"/>
        <v>Q2 2025</v>
      </c>
      <c r="AB881" s="4">
        <f t="shared" ca="1" si="96"/>
        <v>445</v>
      </c>
      <c r="AC881" t="str">
        <f t="shared" si="97"/>
        <v>Medium</v>
      </c>
    </row>
    <row r="882" spans="1:29">
      <c r="A882" t="s">
        <v>3381</v>
      </c>
      <c r="B882" s="2">
        <v>46064</v>
      </c>
      <c r="C882" t="s">
        <v>610</v>
      </c>
      <c r="D882" t="s">
        <v>1404</v>
      </c>
      <c r="E882" t="s">
        <v>3382</v>
      </c>
      <c r="F882" t="s">
        <v>3383</v>
      </c>
      <c r="G882" t="s">
        <v>47</v>
      </c>
      <c r="H882" t="s">
        <v>48</v>
      </c>
      <c r="I882" t="s">
        <v>36</v>
      </c>
      <c r="J882" t="s">
        <v>99</v>
      </c>
      <c r="K882" t="s">
        <v>194</v>
      </c>
      <c r="L882" t="s">
        <v>39</v>
      </c>
      <c r="M882" t="s">
        <v>53</v>
      </c>
      <c r="N882" t="s">
        <v>54</v>
      </c>
      <c r="O882" s="3">
        <v>225000</v>
      </c>
      <c r="P882" s="4">
        <v>35</v>
      </c>
      <c r="Q882" s="2">
        <v>46117</v>
      </c>
      <c r="R882" s="2">
        <v>46212</v>
      </c>
      <c r="S882" s="2">
        <v>46074</v>
      </c>
      <c r="T882" s="2"/>
      <c r="U882" t="str">
        <f t="shared" si="91"/>
        <v>No</v>
      </c>
      <c r="W8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2" t="str">
        <f t="shared" ca="1" si="92"/>
        <v>Due/Open</v>
      </c>
      <c r="Y882" t="str">
        <f t="shared" si="93"/>
        <v>Open</v>
      </c>
      <c r="Z882" t="str">
        <f t="shared" si="94"/>
        <v>Feb-2026</v>
      </c>
      <c r="AA882" t="str">
        <f t="shared" si="95"/>
        <v>Q1 2026</v>
      </c>
      <c r="AB882" s="4">
        <f t="shared" ca="1" si="96"/>
        <v>135</v>
      </c>
      <c r="AC882" t="str">
        <f t="shared" si="97"/>
        <v>Medium</v>
      </c>
    </row>
    <row r="883" spans="1:29">
      <c r="A883" t="s">
        <v>3384</v>
      </c>
      <c r="B883" s="2">
        <v>46120</v>
      </c>
      <c r="C883" t="s">
        <v>3385</v>
      </c>
      <c r="D883" t="s">
        <v>627</v>
      </c>
      <c r="E883" t="s">
        <v>3386</v>
      </c>
      <c r="F883" t="s">
        <v>3387</v>
      </c>
      <c r="G883" t="s">
        <v>79</v>
      </c>
      <c r="H883" t="s">
        <v>106</v>
      </c>
      <c r="I883" t="s">
        <v>98</v>
      </c>
      <c r="J883" t="s">
        <v>131</v>
      </c>
      <c r="K883" t="s">
        <v>114</v>
      </c>
      <c r="L883" t="s">
        <v>132</v>
      </c>
      <c r="M883" t="s">
        <v>82</v>
      </c>
      <c r="N883" t="s">
        <v>83</v>
      </c>
      <c r="O883" s="3">
        <v>365000</v>
      </c>
      <c r="P883" s="4">
        <v>10</v>
      </c>
      <c r="Q883" s="2">
        <v>46163</v>
      </c>
      <c r="R883" s="2">
        <v>46241</v>
      </c>
      <c r="S883" s="2">
        <v>46133</v>
      </c>
      <c r="T883" s="2"/>
      <c r="U883" t="str">
        <f t="shared" si="91"/>
        <v>No</v>
      </c>
      <c r="W8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3" t="str">
        <f t="shared" ca="1" si="92"/>
        <v>Due/Open</v>
      </c>
      <c r="Y883" t="str">
        <f t="shared" si="93"/>
        <v>Open</v>
      </c>
      <c r="Z883" t="str">
        <f t="shared" si="94"/>
        <v>Apr-2026</v>
      </c>
      <c r="AA883" t="str">
        <f t="shared" si="95"/>
        <v>Q2 2026</v>
      </c>
      <c r="AB883" s="4">
        <f t="shared" ca="1" si="96"/>
        <v>79</v>
      </c>
      <c r="AC883" t="str">
        <f t="shared" si="97"/>
        <v>High</v>
      </c>
    </row>
    <row r="884" spans="1:29">
      <c r="A884" t="s">
        <v>3388</v>
      </c>
      <c r="B884" s="2">
        <v>46075</v>
      </c>
      <c r="C884" t="s">
        <v>2187</v>
      </c>
      <c r="D884" t="s">
        <v>2231</v>
      </c>
      <c r="E884" t="s">
        <v>3389</v>
      </c>
      <c r="F884" t="s">
        <v>3390</v>
      </c>
      <c r="G884" t="s">
        <v>47</v>
      </c>
      <c r="H884" t="s">
        <v>122</v>
      </c>
      <c r="I884" t="s">
        <v>148</v>
      </c>
      <c r="J884" t="s">
        <v>37</v>
      </c>
      <c r="K884" t="s">
        <v>114</v>
      </c>
      <c r="L884" t="s">
        <v>125</v>
      </c>
      <c r="M884" t="s">
        <v>90</v>
      </c>
      <c r="N884" t="s">
        <v>91</v>
      </c>
      <c r="O884" s="3">
        <v>40000</v>
      </c>
      <c r="P884" s="4">
        <v>55</v>
      </c>
      <c r="Q884" s="2">
        <v>46124</v>
      </c>
      <c r="R884" s="2">
        <v>46217</v>
      </c>
      <c r="S884" s="2">
        <v>46097</v>
      </c>
      <c r="T884" s="2"/>
      <c r="U884" t="str">
        <f t="shared" si="91"/>
        <v>No</v>
      </c>
      <c r="W8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4" t="str">
        <f t="shared" ca="1" si="92"/>
        <v>Due/Open</v>
      </c>
      <c r="Y884" t="str">
        <f t="shared" si="93"/>
        <v>Open</v>
      </c>
      <c r="Z884" t="str">
        <f t="shared" si="94"/>
        <v>Feb-2026</v>
      </c>
      <c r="AA884" t="str">
        <f t="shared" si="95"/>
        <v>Q1 2026</v>
      </c>
      <c r="AB884" s="4">
        <f t="shared" ca="1" si="96"/>
        <v>124</v>
      </c>
      <c r="AC884" t="str">
        <f t="shared" si="97"/>
        <v>Low</v>
      </c>
    </row>
    <row r="885" spans="1:29">
      <c r="A885" t="s">
        <v>3391</v>
      </c>
      <c r="B885" s="2">
        <v>46177</v>
      </c>
      <c r="C885" t="s">
        <v>1555</v>
      </c>
      <c r="D885" t="s">
        <v>1148</v>
      </c>
      <c r="E885" t="s">
        <v>3392</v>
      </c>
      <c r="F885" t="s">
        <v>3393</v>
      </c>
      <c r="G885" t="s">
        <v>69</v>
      </c>
      <c r="H885" t="s">
        <v>200</v>
      </c>
      <c r="I885" t="s">
        <v>187</v>
      </c>
      <c r="J885" t="s">
        <v>124</v>
      </c>
      <c r="K885" t="s">
        <v>71</v>
      </c>
      <c r="L885" t="s">
        <v>132</v>
      </c>
      <c r="M885" t="s">
        <v>116</v>
      </c>
      <c r="N885" t="s">
        <v>54</v>
      </c>
      <c r="O885" s="3">
        <v>120000</v>
      </c>
      <c r="P885" s="4">
        <v>20</v>
      </c>
      <c r="Q885" s="2">
        <v>46269</v>
      </c>
      <c r="R885" s="2">
        <v>46238</v>
      </c>
      <c r="S885" s="2">
        <v>46191</v>
      </c>
      <c r="T885" s="2"/>
      <c r="U885" t="str">
        <f t="shared" si="91"/>
        <v>No</v>
      </c>
      <c r="W8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5" t="str">
        <f t="shared" ca="1" si="92"/>
        <v>Due/Open</v>
      </c>
      <c r="Y885" t="str">
        <f t="shared" si="93"/>
        <v>Open</v>
      </c>
      <c r="Z885" t="str">
        <f t="shared" si="94"/>
        <v>Jun-2026</v>
      </c>
      <c r="AA885" t="str">
        <f t="shared" si="95"/>
        <v>Q2 2026</v>
      </c>
      <c r="AB885" s="4">
        <f t="shared" ca="1" si="96"/>
        <v>22</v>
      </c>
      <c r="AC885" t="str">
        <f t="shared" si="97"/>
        <v>Medium</v>
      </c>
    </row>
    <row r="886" spans="1:29">
      <c r="A886" t="s">
        <v>3394</v>
      </c>
      <c r="B886" s="2">
        <v>45926</v>
      </c>
      <c r="C886" t="s">
        <v>1071</v>
      </c>
      <c r="D886" t="s">
        <v>1683</v>
      </c>
      <c r="E886" t="s">
        <v>3395</v>
      </c>
      <c r="F886" t="s">
        <v>3396</v>
      </c>
      <c r="G886" t="s">
        <v>47</v>
      </c>
      <c r="H886" t="s">
        <v>48</v>
      </c>
      <c r="I886" t="s">
        <v>141</v>
      </c>
      <c r="J886" t="s">
        <v>99</v>
      </c>
      <c r="K886" t="s">
        <v>71</v>
      </c>
      <c r="L886" t="s">
        <v>132</v>
      </c>
      <c r="M886" t="s">
        <v>116</v>
      </c>
      <c r="N886" t="s">
        <v>54</v>
      </c>
      <c r="O886" s="3">
        <v>595000</v>
      </c>
      <c r="P886" s="4">
        <v>20</v>
      </c>
      <c r="Q886" s="2">
        <v>45959</v>
      </c>
      <c r="R886" s="2">
        <v>46242</v>
      </c>
      <c r="S886" s="2">
        <v>45949</v>
      </c>
      <c r="T886" s="2"/>
      <c r="U886" t="str">
        <f t="shared" si="91"/>
        <v>No</v>
      </c>
      <c r="W8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6" t="str">
        <f t="shared" ca="1" si="92"/>
        <v>Due/Open</v>
      </c>
      <c r="Y886" t="str">
        <f t="shared" si="93"/>
        <v>Open</v>
      </c>
      <c r="Z886" t="str">
        <f t="shared" si="94"/>
        <v>Sep-2025</v>
      </c>
      <c r="AA886" t="str">
        <f t="shared" si="95"/>
        <v>Q3 2025</v>
      </c>
      <c r="AB886" s="4">
        <f t="shared" ca="1" si="96"/>
        <v>273</v>
      </c>
      <c r="AC886" t="str">
        <f t="shared" si="97"/>
        <v>High</v>
      </c>
    </row>
    <row r="887" spans="1:29">
      <c r="A887" t="s">
        <v>3397</v>
      </c>
      <c r="B887" s="2">
        <v>45763</v>
      </c>
      <c r="C887" t="s">
        <v>577</v>
      </c>
      <c r="D887" t="s">
        <v>157</v>
      </c>
      <c r="E887" t="s">
        <v>3398</v>
      </c>
      <c r="F887" t="s">
        <v>3399</v>
      </c>
      <c r="G887" t="s">
        <v>79</v>
      </c>
      <c r="H887" t="s">
        <v>260</v>
      </c>
      <c r="I887" t="s">
        <v>187</v>
      </c>
      <c r="J887" t="s">
        <v>99</v>
      </c>
      <c r="K887" t="s">
        <v>51</v>
      </c>
      <c r="L887" t="s">
        <v>52</v>
      </c>
      <c r="M887" t="s">
        <v>133</v>
      </c>
      <c r="N887" t="s">
        <v>134</v>
      </c>
      <c r="O887" s="3">
        <v>235000</v>
      </c>
      <c r="P887" s="4">
        <v>0</v>
      </c>
      <c r="Q887" s="2">
        <v>45776</v>
      </c>
      <c r="R887" s="2"/>
      <c r="S887" s="2">
        <v>45770</v>
      </c>
      <c r="T887" s="2">
        <v>45776</v>
      </c>
      <c r="U887" t="str">
        <f t="shared" si="91"/>
        <v>No</v>
      </c>
      <c r="V887" t="s">
        <v>319</v>
      </c>
      <c r="W88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13</v>
      </c>
      <c r="X887" t="str">
        <f t="shared" ca="1" si="92"/>
        <v>Closed</v>
      </c>
      <c r="Y887" t="str">
        <f t="shared" si="93"/>
        <v>Closed</v>
      </c>
      <c r="Z887" t="str">
        <f t="shared" si="94"/>
        <v>Apr-2025</v>
      </c>
      <c r="AA887" t="str">
        <f t="shared" si="95"/>
        <v>Q2 2025</v>
      </c>
      <c r="AB887" s="4">
        <f t="shared" ca="1" si="96"/>
        <v>436</v>
      </c>
      <c r="AC887" t="str">
        <f t="shared" si="97"/>
        <v>Medium</v>
      </c>
    </row>
    <row r="888" spans="1:29">
      <c r="A888" t="s">
        <v>3400</v>
      </c>
      <c r="B888" s="2">
        <v>45974</v>
      </c>
      <c r="C888" t="s">
        <v>2396</v>
      </c>
      <c r="D888" t="s">
        <v>490</v>
      </c>
      <c r="E888" t="s">
        <v>3401</v>
      </c>
      <c r="F888" t="s">
        <v>3402</v>
      </c>
      <c r="G888" t="s">
        <v>79</v>
      </c>
      <c r="H888" t="s">
        <v>106</v>
      </c>
      <c r="I888" t="s">
        <v>98</v>
      </c>
      <c r="J888" t="s">
        <v>131</v>
      </c>
      <c r="K888" t="s">
        <v>38</v>
      </c>
      <c r="L888" t="s">
        <v>39</v>
      </c>
      <c r="M888" t="s">
        <v>133</v>
      </c>
      <c r="N888" t="s">
        <v>134</v>
      </c>
      <c r="O888" s="3">
        <v>320000</v>
      </c>
      <c r="P888" s="4">
        <v>0</v>
      </c>
      <c r="Q888" s="2">
        <v>46041</v>
      </c>
      <c r="R888" s="2"/>
      <c r="S888" s="2">
        <v>45998</v>
      </c>
      <c r="T888" s="2">
        <v>46041</v>
      </c>
      <c r="U888" t="str">
        <f t="shared" si="91"/>
        <v>No</v>
      </c>
      <c r="V888" t="s">
        <v>211</v>
      </c>
      <c r="W88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888" t="str">
        <f t="shared" ca="1" si="92"/>
        <v>Closed</v>
      </c>
      <c r="Y888" t="str">
        <f t="shared" si="93"/>
        <v>Closed</v>
      </c>
      <c r="Z888" t="str">
        <f t="shared" si="94"/>
        <v>Nov-2025</v>
      </c>
      <c r="AA888" t="str">
        <f t="shared" si="95"/>
        <v>Q4 2025</v>
      </c>
      <c r="AB888" s="4">
        <f t="shared" ca="1" si="96"/>
        <v>225</v>
      </c>
      <c r="AC888" t="str">
        <f t="shared" si="97"/>
        <v>High</v>
      </c>
    </row>
    <row r="889" spans="1:29">
      <c r="A889" t="s">
        <v>3403</v>
      </c>
      <c r="B889" s="2">
        <v>46012</v>
      </c>
      <c r="C889" t="s">
        <v>1782</v>
      </c>
      <c r="D889" t="s">
        <v>1249</v>
      </c>
      <c r="E889" t="s">
        <v>3404</v>
      </c>
      <c r="F889" t="s">
        <v>3405</v>
      </c>
      <c r="G889" t="s">
        <v>79</v>
      </c>
      <c r="H889" t="s">
        <v>106</v>
      </c>
      <c r="I889" t="s">
        <v>98</v>
      </c>
      <c r="J889" t="s">
        <v>37</v>
      </c>
      <c r="K889" t="s">
        <v>51</v>
      </c>
      <c r="L889" t="s">
        <v>115</v>
      </c>
      <c r="M889" t="s">
        <v>73</v>
      </c>
      <c r="N889" t="s">
        <v>73</v>
      </c>
      <c r="O889" s="3">
        <v>105000</v>
      </c>
      <c r="P889" s="4">
        <v>85</v>
      </c>
      <c r="Q889" s="2">
        <v>46066</v>
      </c>
      <c r="R889" s="2">
        <v>46222</v>
      </c>
      <c r="S889" s="2">
        <v>46027</v>
      </c>
      <c r="T889" s="2"/>
      <c r="U889" t="str">
        <f t="shared" si="91"/>
        <v>No</v>
      </c>
      <c r="W8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89" t="str">
        <f t="shared" ca="1" si="92"/>
        <v>Due/Open</v>
      </c>
      <c r="Y889" t="str">
        <f t="shared" si="93"/>
        <v>Open</v>
      </c>
      <c r="Z889" t="str">
        <f t="shared" si="94"/>
        <v>Dec-2025</v>
      </c>
      <c r="AA889" t="str">
        <f t="shared" si="95"/>
        <v>Q4 2025</v>
      </c>
      <c r="AB889" s="4">
        <f t="shared" ca="1" si="96"/>
        <v>187</v>
      </c>
      <c r="AC889" t="str">
        <f t="shared" si="97"/>
        <v>Low</v>
      </c>
    </row>
    <row r="890" spans="1:29">
      <c r="A890" t="s">
        <v>3406</v>
      </c>
      <c r="B890" s="2">
        <v>45988</v>
      </c>
      <c r="C890" t="s">
        <v>2435</v>
      </c>
      <c r="D890" t="s">
        <v>490</v>
      </c>
      <c r="E890" t="s">
        <v>3407</v>
      </c>
      <c r="F890" t="s">
        <v>3408</v>
      </c>
      <c r="G890" t="s">
        <v>179</v>
      </c>
      <c r="H890" t="s">
        <v>296</v>
      </c>
      <c r="I890" t="s">
        <v>49</v>
      </c>
      <c r="J890" t="s">
        <v>62</v>
      </c>
      <c r="K890" t="s">
        <v>194</v>
      </c>
      <c r="L890" t="s">
        <v>63</v>
      </c>
      <c r="M890" t="s">
        <v>82</v>
      </c>
      <c r="N890" t="s">
        <v>83</v>
      </c>
      <c r="O890" s="3">
        <v>165000</v>
      </c>
      <c r="P890" s="4">
        <v>5</v>
      </c>
      <c r="Q890" s="2">
        <v>46043</v>
      </c>
      <c r="R890" s="2">
        <v>46204</v>
      </c>
      <c r="S890" s="2">
        <v>46011</v>
      </c>
      <c r="T890" s="2"/>
      <c r="U890" t="str">
        <f t="shared" si="91"/>
        <v>No</v>
      </c>
      <c r="W8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0" t="str">
        <f t="shared" ca="1" si="92"/>
        <v>Due/Open</v>
      </c>
      <c r="Y890" t="str">
        <f t="shared" si="93"/>
        <v>Open</v>
      </c>
      <c r="Z890" t="str">
        <f t="shared" si="94"/>
        <v>Nov-2025</v>
      </c>
      <c r="AA890" t="str">
        <f t="shared" si="95"/>
        <v>Q4 2025</v>
      </c>
      <c r="AB890" s="4">
        <f t="shared" ca="1" si="96"/>
        <v>211</v>
      </c>
      <c r="AC890" t="str">
        <f t="shared" si="97"/>
        <v>Medium</v>
      </c>
    </row>
    <row r="891" spans="1:29">
      <c r="A891" t="s">
        <v>3409</v>
      </c>
      <c r="B891" s="2">
        <v>46009</v>
      </c>
      <c r="C891" t="s">
        <v>3410</v>
      </c>
      <c r="D891" t="s">
        <v>464</v>
      </c>
      <c r="E891" t="s">
        <v>3411</v>
      </c>
      <c r="F891" t="s">
        <v>3412</v>
      </c>
      <c r="G891" t="s">
        <v>34</v>
      </c>
      <c r="H891" t="s">
        <v>60</v>
      </c>
      <c r="I891" t="s">
        <v>187</v>
      </c>
      <c r="J891" t="s">
        <v>124</v>
      </c>
      <c r="K891" t="s">
        <v>100</v>
      </c>
      <c r="L891" t="s">
        <v>107</v>
      </c>
      <c r="M891" t="s">
        <v>166</v>
      </c>
      <c r="N891" t="s">
        <v>167</v>
      </c>
      <c r="O891" s="3">
        <v>155000</v>
      </c>
      <c r="P891" s="4">
        <v>60</v>
      </c>
      <c r="Q891" s="2">
        <v>46088</v>
      </c>
      <c r="R891" s="2">
        <v>46207</v>
      </c>
      <c r="S891" s="2">
        <v>46023</v>
      </c>
      <c r="T891" s="2"/>
      <c r="U891" t="str">
        <f t="shared" si="91"/>
        <v>No</v>
      </c>
      <c r="W8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1" t="str">
        <f t="shared" ca="1" si="92"/>
        <v>Due/Open</v>
      </c>
      <c r="Y891" t="str">
        <f t="shared" si="93"/>
        <v>Open</v>
      </c>
      <c r="Z891" t="str">
        <f t="shared" si="94"/>
        <v>Dec-2025</v>
      </c>
      <c r="AA891" t="str">
        <f t="shared" si="95"/>
        <v>Q4 2025</v>
      </c>
      <c r="AB891" s="4">
        <f t="shared" ca="1" si="96"/>
        <v>190</v>
      </c>
      <c r="AC891" t="str">
        <f t="shared" si="97"/>
        <v>Medium</v>
      </c>
    </row>
    <row r="892" spans="1:29">
      <c r="A892" t="s">
        <v>3413</v>
      </c>
      <c r="B892" s="2">
        <v>45817</v>
      </c>
      <c r="C892" t="s">
        <v>3414</v>
      </c>
      <c r="D892" t="s">
        <v>517</v>
      </c>
      <c r="E892" t="s">
        <v>3415</v>
      </c>
      <c r="F892" t="s">
        <v>3416</v>
      </c>
      <c r="G892" t="s">
        <v>69</v>
      </c>
      <c r="H892" t="s">
        <v>193</v>
      </c>
      <c r="I892" t="s">
        <v>61</v>
      </c>
      <c r="J892" t="s">
        <v>62</v>
      </c>
      <c r="K892" t="s">
        <v>194</v>
      </c>
      <c r="L892" t="s">
        <v>52</v>
      </c>
      <c r="M892" t="s">
        <v>82</v>
      </c>
      <c r="N892" t="s">
        <v>83</v>
      </c>
      <c r="O892" s="3">
        <v>305000</v>
      </c>
      <c r="P892" s="4">
        <v>10</v>
      </c>
      <c r="Q892" s="2">
        <v>45896</v>
      </c>
      <c r="R892" s="2">
        <v>46240</v>
      </c>
      <c r="S892" s="2">
        <v>45819</v>
      </c>
      <c r="T892" s="2"/>
      <c r="U892" t="str">
        <f t="shared" si="91"/>
        <v>No</v>
      </c>
      <c r="W8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2" t="str">
        <f t="shared" ca="1" si="92"/>
        <v>Due/Open</v>
      </c>
      <c r="Y892" t="str">
        <f t="shared" si="93"/>
        <v>Open</v>
      </c>
      <c r="Z892" t="str">
        <f t="shared" si="94"/>
        <v>Jun-2025</v>
      </c>
      <c r="AA892" t="str">
        <f t="shared" si="95"/>
        <v>Q2 2025</v>
      </c>
      <c r="AB892" s="4">
        <f t="shared" ca="1" si="96"/>
        <v>382</v>
      </c>
      <c r="AC892" t="str">
        <f t="shared" si="97"/>
        <v>High</v>
      </c>
    </row>
    <row r="893" spans="1:29">
      <c r="A893" t="s">
        <v>3417</v>
      </c>
      <c r="B893" s="2">
        <v>45824</v>
      </c>
      <c r="C893" t="s">
        <v>660</v>
      </c>
      <c r="D893" t="s">
        <v>309</v>
      </c>
      <c r="E893" t="s">
        <v>3418</v>
      </c>
      <c r="F893" t="s">
        <v>3419</v>
      </c>
      <c r="G893" t="s">
        <v>69</v>
      </c>
      <c r="H893" t="s">
        <v>193</v>
      </c>
      <c r="I893" t="s">
        <v>49</v>
      </c>
      <c r="J893" t="s">
        <v>99</v>
      </c>
      <c r="K893" t="s">
        <v>114</v>
      </c>
      <c r="L893" t="s">
        <v>107</v>
      </c>
      <c r="M893" t="s">
        <v>166</v>
      </c>
      <c r="N893" t="s">
        <v>167</v>
      </c>
      <c r="O893" s="3">
        <v>260000</v>
      </c>
      <c r="P893" s="4">
        <v>60</v>
      </c>
      <c r="Q893" s="2">
        <v>45847</v>
      </c>
      <c r="R893" s="2">
        <v>46207</v>
      </c>
      <c r="S893" s="2">
        <v>45851</v>
      </c>
      <c r="T893" s="2"/>
      <c r="U893" t="str">
        <f t="shared" si="91"/>
        <v>No</v>
      </c>
      <c r="W8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3" t="str">
        <f t="shared" ca="1" si="92"/>
        <v>Due/Open</v>
      </c>
      <c r="Y893" t="str">
        <f t="shared" si="93"/>
        <v>Open</v>
      </c>
      <c r="Z893" t="str">
        <f t="shared" si="94"/>
        <v>Jun-2025</v>
      </c>
      <c r="AA893" t="str">
        <f t="shared" si="95"/>
        <v>Q2 2025</v>
      </c>
      <c r="AB893" s="4">
        <f t="shared" ca="1" si="96"/>
        <v>375</v>
      </c>
      <c r="AC893" t="str">
        <f t="shared" si="97"/>
        <v>Medium</v>
      </c>
    </row>
    <row r="894" spans="1:29">
      <c r="A894" t="s">
        <v>3420</v>
      </c>
      <c r="B894" s="2">
        <v>46000</v>
      </c>
      <c r="C894" t="s">
        <v>1385</v>
      </c>
      <c r="D894" t="s">
        <v>263</v>
      </c>
      <c r="E894" t="s">
        <v>3421</v>
      </c>
      <c r="F894" t="s">
        <v>3422</v>
      </c>
      <c r="G894" t="s">
        <v>179</v>
      </c>
      <c r="H894" t="s">
        <v>318</v>
      </c>
      <c r="I894" t="s">
        <v>148</v>
      </c>
      <c r="J894" t="s">
        <v>99</v>
      </c>
      <c r="K894" t="s">
        <v>100</v>
      </c>
      <c r="L894" t="s">
        <v>142</v>
      </c>
      <c r="M894" t="s">
        <v>116</v>
      </c>
      <c r="N894" t="s">
        <v>54</v>
      </c>
      <c r="O894" s="3">
        <v>655000</v>
      </c>
      <c r="P894" s="4">
        <v>20</v>
      </c>
      <c r="Q894" s="2">
        <v>46071</v>
      </c>
      <c r="R894" s="2">
        <v>46185</v>
      </c>
      <c r="S894" s="2">
        <v>46006</v>
      </c>
      <c r="T894" s="2"/>
      <c r="U894" t="str">
        <f t="shared" si="91"/>
        <v>No</v>
      </c>
      <c r="W8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4" t="str">
        <f t="shared" ca="1" si="92"/>
        <v>Overdue</v>
      </c>
      <c r="Y894" t="str">
        <f t="shared" si="93"/>
        <v>Open</v>
      </c>
      <c r="Z894" t="str">
        <f t="shared" si="94"/>
        <v>Dec-2025</v>
      </c>
      <c r="AA894" t="str">
        <f t="shared" si="95"/>
        <v>Q4 2025</v>
      </c>
      <c r="AB894" s="4">
        <f t="shared" ca="1" si="96"/>
        <v>199</v>
      </c>
      <c r="AC894" t="str">
        <f t="shared" si="97"/>
        <v>High</v>
      </c>
    </row>
    <row r="895" spans="1:29">
      <c r="A895" t="s">
        <v>3423</v>
      </c>
      <c r="B895" s="2">
        <v>45788</v>
      </c>
      <c r="C895" t="s">
        <v>1577</v>
      </c>
      <c r="D895" t="s">
        <v>76</v>
      </c>
      <c r="E895" t="s">
        <v>3424</v>
      </c>
      <c r="F895" t="s">
        <v>3425</v>
      </c>
      <c r="G895" t="s">
        <v>179</v>
      </c>
      <c r="H895" t="s">
        <v>296</v>
      </c>
      <c r="I895" t="s">
        <v>49</v>
      </c>
      <c r="J895" t="s">
        <v>62</v>
      </c>
      <c r="K895" t="s">
        <v>194</v>
      </c>
      <c r="L895" t="s">
        <v>132</v>
      </c>
      <c r="M895" t="s">
        <v>90</v>
      </c>
      <c r="N895" t="s">
        <v>91</v>
      </c>
      <c r="O895" s="3">
        <v>365000</v>
      </c>
      <c r="P895" s="4">
        <v>55</v>
      </c>
      <c r="Q895" s="2">
        <v>45842</v>
      </c>
      <c r="R895" s="2">
        <v>46239</v>
      </c>
      <c r="S895" s="2">
        <v>45816</v>
      </c>
      <c r="T895" s="2"/>
      <c r="U895" t="str">
        <f t="shared" si="91"/>
        <v>No</v>
      </c>
      <c r="W8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5" t="str">
        <f t="shared" ca="1" si="92"/>
        <v>Due/Open</v>
      </c>
      <c r="Y895" t="str">
        <f t="shared" si="93"/>
        <v>Open</v>
      </c>
      <c r="Z895" t="str">
        <f t="shared" si="94"/>
        <v>May-2025</v>
      </c>
      <c r="AA895" t="str">
        <f t="shared" si="95"/>
        <v>Q2 2025</v>
      </c>
      <c r="AB895" s="4">
        <f t="shared" ca="1" si="96"/>
        <v>411</v>
      </c>
      <c r="AC895" t="str">
        <f t="shared" si="97"/>
        <v>High</v>
      </c>
    </row>
    <row r="896" spans="1:29">
      <c r="A896" t="s">
        <v>3426</v>
      </c>
      <c r="B896" s="2">
        <v>45801</v>
      </c>
      <c r="C896" t="s">
        <v>1932</v>
      </c>
      <c r="D896" t="s">
        <v>471</v>
      </c>
      <c r="E896" t="s">
        <v>3427</v>
      </c>
      <c r="F896" t="s">
        <v>3428</v>
      </c>
      <c r="G896" t="s">
        <v>69</v>
      </c>
      <c r="H896" t="s">
        <v>270</v>
      </c>
      <c r="I896" t="s">
        <v>141</v>
      </c>
      <c r="J896" t="s">
        <v>131</v>
      </c>
      <c r="K896" t="s">
        <v>38</v>
      </c>
      <c r="L896" t="s">
        <v>63</v>
      </c>
      <c r="M896" t="s">
        <v>40</v>
      </c>
      <c r="N896" t="s">
        <v>41</v>
      </c>
      <c r="O896" s="3">
        <v>265000</v>
      </c>
      <c r="P896" s="4">
        <v>100</v>
      </c>
      <c r="Q896" s="2">
        <v>45876</v>
      </c>
      <c r="R896" s="2"/>
      <c r="S896" s="2">
        <v>45804</v>
      </c>
      <c r="T896" s="2">
        <v>45876</v>
      </c>
      <c r="U896" t="str">
        <f t="shared" si="91"/>
        <v>Yes</v>
      </c>
      <c r="W89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896" t="str">
        <f t="shared" ca="1" si="92"/>
        <v>Closed</v>
      </c>
      <c r="Y896" t="str">
        <f t="shared" si="93"/>
        <v>Closed</v>
      </c>
      <c r="Z896" t="str">
        <f t="shared" si="94"/>
        <v>May-2025</v>
      </c>
      <c r="AA896" t="str">
        <f t="shared" si="95"/>
        <v>Q2 2025</v>
      </c>
      <c r="AB896" s="4">
        <f t="shared" ca="1" si="96"/>
        <v>398</v>
      </c>
      <c r="AC896" t="str">
        <f t="shared" si="97"/>
        <v>Medium</v>
      </c>
    </row>
    <row r="897" spans="1:29">
      <c r="A897" t="s">
        <v>3429</v>
      </c>
      <c r="B897" s="2">
        <v>45686</v>
      </c>
      <c r="C897" t="s">
        <v>3430</v>
      </c>
      <c r="D897" t="s">
        <v>1815</v>
      </c>
      <c r="E897" t="s">
        <v>3431</v>
      </c>
      <c r="F897" t="s">
        <v>3432</v>
      </c>
      <c r="G897" t="s">
        <v>69</v>
      </c>
      <c r="H897" t="s">
        <v>285</v>
      </c>
      <c r="I897" t="s">
        <v>36</v>
      </c>
      <c r="J897" t="s">
        <v>62</v>
      </c>
      <c r="K897" t="s">
        <v>100</v>
      </c>
      <c r="L897" t="s">
        <v>63</v>
      </c>
      <c r="M897" t="s">
        <v>210</v>
      </c>
      <c r="N897" t="s">
        <v>134</v>
      </c>
      <c r="O897" s="3">
        <v>375000</v>
      </c>
      <c r="P897" s="4">
        <v>0</v>
      </c>
      <c r="Q897" s="2">
        <v>45755</v>
      </c>
      <c r="R897" s="2"/>
      <c r="S897" s="2">
        <v>45690</v>
      </c>
      <c r="T897" s="2">
        <v>45755</v>
      </c>
      <c r="U897" t="str">
        <f t="shared" si="91"/>
        <v>No</v>
      </c>
      <c r="V897" t="s">
        <v>135</v>
      </c>
      <c r="W89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69</v>
      </c>
      <c r="X897" t="str">
        <f t="shared" ca="1" si="92"/>
        <v>Closed</v>
      </c>
      <c r="Y897" t="str">
        <f t="shared" si="93"/>
        <v>Closed</v>
      </c>
      <c r="Z897" t="str">
        <f t="shared" si="94"/>
        <v>Jan-2025</v>
      </c>
      <c r="AA897" t="str">
        <f t="shared" si="95"/>
        <v>Q1 2025</v>
      </c>
      <c r="AB897" s="4">
        <f t="shared" ca="1" si="96"/>
        <v>513</v>
      </c>
      <c r="AC897" t="str">
        <f t="shared" si="97"/>
        <v>High</v>
      </c>
    </row>
    <row r="898" spans="1:29">
      <c r="A898" t="s">
        <v>3433</v>
      </c>
      <c r="B898" s="2">
        <v>46021</v>
      </c>
      <c r="C898" t="s">
        <v>2697</v>
      </c>
      <c r="D898" t="s">
        <v>636</v>
      </c>
      <c r="E898" t="s">
        <v>3434</v>
      </c>
      <c r="F898" t="s">
        <v>3435</v>
      </c>
      <c r="G898" t="s">
        <v>179</v>
      </c>
      <c r="H898" t="s">
        <v>296</v>
      </c>
      <c r="I898" t="s">
        <v>123</v>
      </c>
      <c r="J898" t="s">
        <v>50</v>
      </c>
      <c r="K898" t="s">
        <v>114</v>
      </c>
      <c r="L898" t="s">
        <v>81</v>
      </c>
      <c r="M898" t="s">
        <v>166</v>
      </c>
      <c r="N898" t="s">
        <v>167</v>
      </c>
      <c r="O898" s="3">
        <v>480000</v>
      </c>
      <c r="P898" s="4">
        <v>60</v>
      </c>
      <c r="Q898" s="2">
        <v>46104</v>
      </c>
      <c r="R898" s="2">
        <v>46215</v>
      </c>
      <c r="S898" s="2">
        <v>46040</v>
      </c>
      <c r="T898" s="2"/>
      <c r="U898" t="str">
        <f t="shared" ref="U898:U961" si="98">IF(M898="Converted","Yes","No")</f>
        <v>No</v>
      </c>
      <c r="W8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8" t="str">
        <f t="shared" ref="X898:X961" ca="1" si="99">IF(OR(M898="Converted",M898="Lost",M898="Not Interested"),"Closed",IF(R898&lt;TODAY(),"Overdue","Due/Open"))</f>
        <v>Due/Open</v>
      </c>
      <c r="Y898" t="str">
        <f t="shared" ref="Y898:Y961" si="100">IF(OR(M898="Converted",M898="Lost",M898="Not Interested"),"Closed","Open")</f>
        <v>Open</v>
      </c>
      <c r="Z898" t="str">
        <f t="shared" ref="Z898:Z961" si="101">TEXT(B898,"mmm-yyyy")</f>
        <v>Dec-2025</v>
      </c>
      <c r="AA898" t="str">
        <f t="shared" ref="AA898:AA961" si="102">"Q"&amp;ROUNDUP(MONTH(B898)/3,0)&amp;" "&amp;YEAR(B898)</f>
        <v>Q4 2025</v>
      </c>
      <c r="AB898" s="4">
        <f t="shared" ref="AB898:AB961" ca="1" si="103">TODAY()-B898</f>
        <v>178</v>
      </c>
      <c r="AC898" t="str">
        <f t="shared" ref="AC898:AC961" si="104">IF(O898&gt;=300000,"High",IF(O898&gt;=120000,"Medium","Low"))</f>
        <v>High</v>
      </c>
    </row>
    <row r="899" spans="1:29">
      <c r="A899" t="s">
        <v>3436</v>
      </c>
      <c r="B899" s="2">
        <v>45983</v>
      </c>
      <c r="C899" t="s">
        <v>3437</v>
      </c>
      <c r="D899" t="s">
        <v>742</v>
      </c>
      <c r="E899" t="s">
        <v>3438</v>
      </c>
      <c r="F899" t="s">
        <v>3439</v>
      </c>
      <c r="G899" t="s">
        <v>34</v>
      </c>
      <c r="H899" t="s">
        <v>160</v>
      </c>
      <c r="I899" t="s">
        <v>36</v>
      </c>
      <c r="J899" t="s">
        <v>99</v>
      </c>
      <c r="K899" t="s">
        <v>100</v>
      </c>
      <c r="L899" t="s">
        <v>115</v>
      </c>
      <c r="M899" t="s">
        <v>53</v>
      </c>
      <c r="N899" t="s">
        <v>54</v>
      </c>
      <c r="O899" s="3">
        <v>530000</v>
      </c>
      <c r="P899" s="4">
        <v>35</v>
      </c>
      <c r="Q899" s="2">
        <v>46015</v>
      </c>
      <c r="R899" s="2">
        <v>46195</v>
      </c>
      <c r="S899" s="2">
        <v>46001</v>
      </c>
      <c r="T899" s="2"/>
      <c r="U899" t="str">
        <f t="shared" si="98"/>
        <v>No</v>
      </c>
      <c r="W8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899" t="str">
        <f t="shared" ca="1" si="99"/>
        <v>Overdue</v>
      </c>
      <c r="Y899" t="str">
        <f t="shared" si="100"/>
        <v>Open</v>
      </c>
      <c r="Z899" t="str">
        <f t="shared" si="101"/>
        <v>Nov-2025</v>
      </c>
      <c r="AA899" t="str">
        <f t="shared" si="102"/>
        <v>Q4 2025</v>
      </c>
      <c r="AB899" s="4">
        <f t="shared" ca="1" si="103"/>
        <v>216</v>
      </c>
      <c r="AC899" t="str">
        <f t="shared" si="104"/>
        <v>High</v>
      </c>
    </row>
    <row r="900" spans="1:29">
      <c r="A900" t="s">
        <v>3440</v>
      </c>
      <c r="B900" s="2">
        <v>46087</v>
      </c>
      <c r="C900" t="s">
        <v>448</v>
      </c>
      <c r="D900" t="s">
        <v>1319</v>
      </c>
      <c r="E900" t="s">
        <v>3441</v>
      </c>
      <c r="F900" t="s">
        <v>3442</v>
      </c>
      <c r="G900" t="s">
        <v>47</v>
      </c>
      <c r="H900" t="s">
        <v>122</v>
      </c>
      <c r="I900" t="s">
        <v>36</v>
      </c>
      <c r="J900" t="s">
        <v>62</v>
      </c>
      <c r="K900" t="s">
        <v>194</v>
      </c>
      <c r="L900" t="s">
        <v>154</v>
      </c>
      <c r="M900" t="s">
        <v>116</v>
      </c>
      <c r="N900" t="s">
        <v>54</v>
      </c>
      <c r="O900" s="3">
        <v>435000</v>
      </c>
      <c r="P900" s="4">
        <v>15</v>
      </c>
      <c r="Q900" s="2">
        <v>46146</v>
      </c>
      <c r="R900" s="2">
        <v>46242</v>
      </c>
      <c r="S900" s="2">
        <v>46097</v>
      </c>
      <c r="T900" s="2"/>
      <c r="U900" t="str">
        <f t="shared" si="98"/>
        <v>No</v>
      </c>
      <c r="W9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0" t="str">
        <f t="shared" ca="1" si="99"/>
        <v>Due/Open</v>
      </c>
      <c r="Y900" t="str">
        <f t="shared" si="100"/>
        <v>Open</v>
      </c>
      <c r="Z900" t="str">
        <f t="shared" si="101"/>
        <v>Mar-2026</v>
      </c>
      <c r="AA900" t="str">
        <f t="shared" si="102"/>
        <v>Q1 2026</v>
      </c>
      <c r="AB900" s="4">
        <f t="shared" ca="1" si="103"/>
        <v>112</v>
      </c>
      <c r="AC900" t="str">
        <f t="shared" si="104"/>
        <v>High</v>
      </c>
    </row>
    <row r="901" spans="1:29">
      <c r="A901" t="s">
        <v>3443</v>
      </c>
      <c r="B901" s="2">
        <v>46073</v>
      </c>
      <c r="C901" t="s">
        <v>3444</v>
      </c>
      <c r="D901" t="s">
        <v>214</v>
      </c>
      <c r="E901" t="s">
        <v>3445</v>
      </c>
      <c r="F901" t="s">
        <v>3446</v>
      </c>
      <c r="G901" t="s">
        <v>69</v>
      </c>
      <c r="H901" t="s">
        <v>193</v>
      </c>
      <c r="I901" t="s">
        <v>61</v>
      </c>
      <c r="J901" t="s">
        <v>62</v>
      </c>
      <c r="K901" t="s">
        <v>114</v>
      </c>
      <c r="L901" t="s">
        <v>125</v>
      </c>
      <c r="M901" t="s">
        <v>82</v>
      </c>
      <c r="N901" t="s">
        <v>83</v>
      </c>
      <c r="O901" s="3">
        <v>110000</v>
      </c>
      <c r="P901" s="4">
        <v>5</v>
      </c>
      <c r="Q901" s="2">
        <v>46116</v>
      </c>
      <c r="R901" s="2">
        <v>46171</v>
      </c>
      <c r="S901" s="2">
        <v>46076</v>
      </c>
      <c r="T901" s="2"/>
      <c r="U901" t="str">
        <f t="shared" si="98"/>
        <v>No</v>
      </c>
      <c r="W9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1" t="str">
        <f t="shared" ca="1" si="99"/>
        <v>Overdue</v>
      </c>
      <c r="Y901" t="str">
        <f t="shared" si="100"/>
        <v>Open</v>
      </c>
      <c r="Z901" t="str">
        <f t="shared" si="101"/>
        <v>Feb-2026</v>
      </c>
      <c r="AA901" t="str">
        <f t="shared" si="102"/>
        <v>Q1 2026</v>
      </c>
      <c r="AB901" s="4">
        <f t="shared" ca="1" si="103"/>
        <v>126</v>
      </c>
      <c r="AC901" t="str">
        <f t="shared" si="104"/>
        <v>Low</v>
      </c>
    </row>
    <row r="902" spans="1:29">
      <c r="A902" t="s">
        <v>3447</v>
      </c>
      <c r="B902" s="2">
        <v>45807</v>
      </c>
      <c r="C902" t="s">
        <v>1415</v>
      </c>
      <c r="D902" t="s">
        <v>590</v>
      </c>
      <c r="E902" t="s">
        <v>3448</v>
      </c>
      <c r="F902" t="s">
        <v>3449</v>
      </c>
      <c r="G902" t="s">
        <v>69</v>
      </c>
      <c r="H902" t="s">
        <v>70</v>
      </c>
      <c r="I902" t="s">
        <v>61</v>
      </c>
      <c r="J902" t="s">
        <v>62</v>
      </c>
      <c r="K902" t="s">
        <v>100</v>
      </c>
      <c r="L902" t="s">
        <v>107</v>
      </c>
      <c r="M902" t="s">
        <v>116</v>
      </c>
      <c r="N902" t="s">
        <v>54</v>
      </c>
      <c r="O902" s="3">
        <v>405000</v>
      </c>
      <c r="P902" s="4">
        <v>25</v>
      </c>
      <c r="Q902" s="2">
        <v>45830</v>
      </c>
      <c r="R902" s="2">
        <v>46175</v>
      </c>
      <c r="S902" s="2">
        <v>45818</v>
      </c>
      <c r="T902" s="2"/>
      <c r="U902" t="str">
        <f t="shared" si="98"/>
        <v>No</v>
      </c>
      <c r="W9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2" t="str">
        <f t="shared" ca="1" si="99"/>
        <v>Overdue</v>
      </c>
      <c r="Y902" t="str">
        <f t="shared" si="100"/>
        <v>Open</v>
      </c>
      <c r="Z902" t="str">
        <f t="shared" si="101"/>
        <v>May-2025</v>
      </c>
      <c r="AA902" t="str">
        <f t="shared" si="102"/>
        <v>Q2 2025</v>
      </c>
      <c r="AB902" s="4">
        <f t="shared" ca="1" si="103"/>
        <v>392</v>
      </c>
      <c r="AC902" t="str">
        <f t="shared" si="104"/>
        <v>High</v>
      </c>
    </row>
    <row r="903" spans="1:29">
      <c r="A903" t="s">
        <v>3450</v>
      </c>
      <c r="B903" s="2">
        <v>45921</v>
      </c>
      <c r="C903" t="s">
        <v>1509</v>
      </c>
      <c r="D903" t="s">
        <v>352</v>
      </c>
      <c r="E903" t="s">
        <v>3451</v>
      </c>
      <c r="F903" t="s">
        <v>3452</v>
      </c>
      <c r="G903" t="s">
        <v>179</v>
      </c>
      <c r="H903" t="s">
        <v>487</v>
      </c>
      <c r="I903" t="s">
        <v>36</v>
      </c>
      <c r="J903" t="s">
        <v>99</v>
      </c>
      <c r="K903" t="s">
        <v>71</v>
      </c>
      <c r="L903" t="s">
        <v>125</v>
      </c>
      <c r="M903" t="s">
        <v>82</v>
      </c>
      <c r="N903" t="s">
        <v>83</v>
      </c>
      <c r="O903" s="3">
        <v>660000</v>
      </c>
      <c r="P903" s="4">
        <v>5</v>
      </c>
      <c r="Q903" s="2">
        <v>45941</v>
      </c>
      <c r="R903" s="2">
        <v>46158</v>
      </c>
      <c r="S903" s="2">
        <v>45949</v>
      </c>
      <c r="T903" s="2"/>
      <c r="U903" t="str">
        <f t="shared" si="98"/>
        <v>No</v>
      </c>
      <c r="W9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3" t="str">
        <f t="shared" ca="1" si="99"/>
        <v>Overdue</v>
      </c>
      <c r="Y903" t="str">
        <f t="shared" si="100"/>
        <v>Open</v>
      </c>
      <c r="Z903" t="str">
        <f t="shared" si="101"/>
        <v>Sep-2025</v>
      </c>
      <c r="AA903" t="str">
        <f t="shared" si="102"/>
        <v>Q3 2025</v>
      </c>
      <c r="AB903" s="4">
        <f t="shared" ca="1" si="103"/>
        <v>278</v>
      </c>
      <c r="AC903" t="str">
        <f t="shared" si="104"/>
        <v>High</v>
      </c>
    </row>
    <row r="904" spans="1:29">
      <c r="A904" t="s">
        <v>3453</v>
      </c>
      <c r="B904" s="2">
        <v>45909</v>
      </c>
      <c r="C904" t="s">
        <v>1721</v>
      </c>
      <c r="D904" t="s">
        <v>969</v>
      </c>
      <c r="E904" t="s">
        <v>3454</v>
      </c>
      <c r="F904" t="s">
        <v>3455</v>
      </c>
      <c r="G904" t="s">
        <v>179</v>
      </c>
      <c r="H904" t="s">
        <v>180</v>
      </c>
      <c r="I904" t="s">
        <v>123</v>
      </c>
      <c r="J904" t="s">
        <v>50</v>
      </c>
      <c r="K904" t="s">
        <v>194</v>
      </c>
      <c r="L904" t="s">
        <v>107</v>
      </c>
      <c r="M904" t="s">
        <v>166</v>
      </c>
      <c r="N904" t="s">
        <v>167</v>
      </c>
      <c r="O904" s="3">
        <v>470000</v>
      </c>
      <c r="P904" s="4">
        <v>70</v>
      </c>
      <c r="Q904" s="2">
        <v>46003</v>
      </c>
      <c r="R904" s="2">
        <v>46168</v>
      </c>
      <c r="S904" s="2">
        <v>45924</v>
      </c>
      <c r="T904" s="2"/>
      <c r="U904" t="str">
        <f t="shared" si="98"/>
        <v>No</v>
      </c>
      <c r="W9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4" t="str">
        <f t="shared" ca="1" si="99"/>
        <v>Overdue</v>
      </c>
      <c r="Y904" t="str">
        <f t="shared" si="100"/>
        <v>Open</v>
      </c>
      <c r="Z904" t="str">
        <f t="shared" si="101"/>
        <v>Sep-2025</v>
      </c>
      <c r="AA904" t="str">
        <f t="shared" si="102"/>
        <v>Q3 2025</v>
      </c>
      <c r="AB904" s="4">
        <f t="shared" ca="1" si="103"/>
        <v>290</v>
      </c>
      <c r="AC904" t="str">
        <f t="shared" si="104"/>
        <v>High</v>
      </c>
    </row>
    <row r="905" spans="1:29">
      <c r="A905" t="s">
        <v>3456</v>
      </c>
      <c r="B905" s="2">
        <v>45782</v>
      </c>
      <c r="C905" t="s">
        <v>1835</v>
      </c>
      <c r="D905" t="s">
        <v>176</v>
      </c>
      <c r="E905" t="s">
        <v>3457</v>
      </c>
      <c r="F905" t="s">
        <v>3458</v>
      </c>
      <c r="G905" t="s">
        <v>47</v>
      </c>
      <c r="H905" t="s">
        <v>493</v>
      </c>
      <c r="I905" t="s">
        <v>141</v>
      </c>
      <c r="J905" t="s">
        <v>99</v>
      </c>
      <c r="K905" t="s">
        <v>38</v>
      </c>
      <c r="L905" t="s">
        <v>125</v>
      </c>
      <c r="M905" t="s">
        <v>73</v>
      </c>
      <c r="N905" t="s">
        <v>73</v>
      </c>
      <c r="O905" s="3">
        <v>235000</v>
      </c>
      <c r="P905" s="4">
        <v>80</v>
      </c>
      <c r="Q905" s="2">
        <v>45802</v>
      </c>
      <c r="R905" s="2">
        <v>46186</v>
      </c>
      <c r="S905" s="2">
        <v>45784</v>
      </c>
      <c r="T905" s="2"/>
      <c r="U905" t="str">
        <f t="shared" si="98"/>
        <v>No</v>
      </c>
      <c r="W9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5" t="str">
        <f t="shared" ca="1" si="99"/>
        <v>Overdue</v>
      </c>
      <c r="Y905" t="str">
        <f t="shared" si="100"/>
        <v>Open</v>
      </c>
      <c r="Z905" t="str">
        <f t="shared" si="101"/>
        <v>May-2025</v>
      </c>
      <c r="AA905" t="str">
        <f t="shared" si="102"/>
        <v>Q2 2025</v>
      </c>
      <c r="AB905" s="4">
        <f t="shared" ca="1" si="103"/>
        <v>417</v>
      </c>
      <c r="AC905" t="str">
        <f t="shared" si="104"/>
        <v>Medium</v>
      </c>
    </row>
    <row r="906" spans="1:29">
      <c r="A906" t="s">
        <v>3459</v>
      </c>
      <c r="B906" s="2">
        <v>45898</v>
      </c>
      <c r="C906" t="s">
        <v>1219</v>
      </c>
      <c r="D906" t="s">
        <v>1072</v>
      </c>
      <c r="E906" t="s">
        <v>3460</v>
      </c>
      <c r="F906" t="s">
        <v>3461</v>
      </c>
      <c r="G906" t="s">
        <v>179</v>
      </c>
      <c r="H906" t="s">
        <v>318</v>
      </c>
      <c r="I906" t="s">
        <v>49</v>
      </c>
      <c r="J906" t="s">
        <v>124</v>
      </c>
      <c r="K906" t="s">
        <v>38</v>
      </c>
      <c r="L906" t="s">
        <v>39</v>
      </c>
      <c r="M906" t="s">
        <v>90</v>
      </c>
      <c r="N906" t="s">
        <v>91</v>
      </c>
      <c r="O906" s="3">
        <v>200000</v>
      </c>
      <c r="P906" s="4">
        <v>55</v>
      </c>
      <c r="Q906" s="2">
        <v>45985</v>
      </c>
      <c r="R906" s="2">
        <v>46231</v>
      </c>
      <c r="S906" s="2">
        <v>45923</v>
      </c>
      <c r="T906" s="2"/>
      <c r="U906" t="str">
        <f t="shared" si="98"/>
        <v>No</v>
      </c>
      <c r="W9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6" t="str">
        <f t="shared" ca="1" si="99"/>
        <v>Due/Open</v>
      </c>
      <c r="Y906" t="str">
        <f t="shared" si="100"/>
        <v>Open</v>
      </c>
      <c r="Z906" t="str">
        <f t="shared" si="101"/>
        <v>Aug-2025</v>
      </c>
      <c r="AA906" t="str">
        <f t="shared" si="102"/>
        <v>Q3 2025</v>
      </c>
      <c r="AB906" s="4">
        <f t="shared" ca="1" si="103"/>
        <v>301</v>
      </c>
      <c r="AC906" t="str">
        <f t="shared" si="104"/>
        <v>Medium</v>
      </c>
    </row>
    <row r="907" spans="1:29">
      <c r="A907" t="s">
        <v>3462</v>
      </c>
      <c r="B907" s="2">
        <v>46084</v>
      </c>
      <c r="C907" t="s">
        <v>388</v>
      </c>
      <c r="D907" t="s">
        <v>3463</v>
      </c>
      <c r="E907" t="s">
        <v>3464</v>
      </c>
      <c r="F907" t="s">
        <v>3465</v>
      </c>
      <c r="G907" t="s">
        <v>47</v>
      </c>
      <c r="H907" t="s">
        <v>493</v>
      </c>
      <c r="I907" t="s">
        <v>187</v>
      </c>
      <c r="J907" t="s">
        <v>99</v>
      </c>
      <c r="K907" t="s">
        <v>114</v>
      </c>
      <c r="L907" t="s">
        <v>39</v>
      </c>
      <c r="M907" t="s">
        <v>53</v>
      </c>
      <c r="N907" t="s">
        <v>54</v>
      </c>
      <c r="O907" s="3">
        <v>555000</v>
      </c>
      <c r="P907" s="4">
        <v>35</v>
      </c>
      <c r="Q907" s="2">
        <v>46116</v>
      </c>
      <c r="R907" s="2">
        <v>46206</v>
      </c>
      <c r="S907" s="2">
        <v>46105</v>
      </c>
      <c r="T907" s="2"/>
      <c r="U907" t="str">
        <f t="shared" si="98"/>
        <v>No</v>
      </c>
      <c r="W9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7" t="str">
        <f t="shared" ca="1" si="99"/>
        <v>Due/Open</v>
      </c>
      <c r="Y907" t="str">
        <f t="shared" si="100"/>
        <v>Open</v>
      </c>
      <c r="Z907" t="str">
        <f t="shared" si="101"/>
        <v>Mar-2026</v>
      </c>
      <c r="AA907" t="str">
        <f t="shared" si="102"/>
        <v>Q1 2026</v>
      </c>
      <c r="AB907" s="4">
        <f t="shared" ca="1" si="103"/>
        <v>115</v>
      </c>
      <c r="AC907" t="str">
        <f t="shared" si="104"/>
        <v>High</v>
      </c>
    </row>
    <row r="908" spans="1:29">
      <c r="A908" t="s">
        <v>3466</v>
      </c>
      <c r="B908" s="2">
        <v>46182</v>
      </c>
      <c r="C908" t="s">
        <v>169</v>
      </c>
      <c r="D908" t="s">
        <v>547</v>
      </c>
      <c r="E908" t="s">
        <v>3467</v>
      </c>
      <c r="F908" t="s">
        <v>3468</v>
      </c>
      <c r="G908" t="s">
        <v>34</v>
      </c>
      <c r="H908" t="s">
        <v>238</v>
      </c>
      <c r="I908" t="s">
        <v>141</v>
      </c>
      <c r="J908" t="s">
        <v>124</v>
      </c>
      <c r="K908" t="s">
        <v>114</v>
      </c>
      <c r="L908" t="s">
        <v>107</v>
      </c>
      <c r="M908" t="s">
        <v>53</v>
      </c>
      <c r="N908" t="s">
        <v>54</v>
      </c>
      <c r="O908" s="3">
        <v>250000</v>
      </c>
      <c r="P908" s="4">
        <v>35</v>
      </c>
      <c r="Q908" s="2">
        <v>46247</v>
      </c>
      <c r="R908" s="2">
        <v>46207</v>
      </c>
      <c r="S908" s="2">
        <v>46194</v>
      </c>
      <c r="T908" s="2"/>
      <c r="U908" t="str">
        <f t="shared" si="98"/>
        <v>No</v>
      </c>
      <c r="W9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08" t="str">
        <f t="shared" ca="1" si="99"/>
        <v>Due/Open</v>
      </c>
      <c r="Y908" t="str">
        <f t="shared" si="100"/>
        <v>Open</v>
      </c>
      <c r="Z908" t="str">
        <f t="shared" si="101"/>
        <v>Jun-2026</v>
      </c>
      <c r="AA908" t="str">
        <f t="shared" si="102"/>
        <v>Q2 2026</v>
      </c>
      <c r="AB908" s="4">
        <f t="shared" ca="1" si="103"/>
        <v>17</v>
      </c>
      <c r="AC908" t="str">
        <f t="shared" si="104"/>
        <v>Medium</v>
      </c>
    </row>
    <row r="909" spans="1:29">
      <c r="A909" t="s">
        <v>3469</v>
      </c>
      <c r="B909" s="2">
        <v>46143</v>
      </c>
      <c r="C909" t="s">
        <v>341</v>
      </c>
      <c r="D909" t="s">
        <v>3463</v>
      </c>
      <c r="E909" t="s">
        <v>3470</v>
      </c>
      <c r="F909" t="s">
        <v>3471</v>
      </c>
      <c r="G909" t="s">
        <v>34</v>
      </c>
      <c r="H909" t="s">
        <v>173</v>
      </c>
      <c r="I909" t="s">
        <v>98</v>
      </c>
      <c r="J909" t="s">
        <v>131</v>
      </c>
      <c r="K909" t="s">
        <v>51</v>
      </c>
      <c r="L909" t="s">
        <v>239</v>
      </c>
      <c r="M909" t="s">
        <v>133</v>
      </c>
      <c r="N909" t="s">
        <v>134</v>
      </c>
      <c r="O909" s="3">
        <v>105000</v>
      </c>
      <c r="P909" s="4">
        <v>0</v>
      </c>
      <c r="Q909" s="2">
        <v>46192</v>
      </c>
      <c r="R909" s="2"/>
      <c r="S909" s="2">
        <v>46146</v>
      </c>
      <c r="T909" s="2">
        <v>46192</v>
      </c>
      <c r="U909" t="str">
        <f t="shared" si="98"/>
        <v>No</v>
      </c>
      <c r="V909" t="s">
        <v>276</v>
      </c>
      <c r="W90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49</v>
      </c>
      <c r="X909" t="str">
        <f t="shared" ca="1" si="99"/>
        <v>Closed</v>
      </c>
      <c r="Y909" t="str">
        <f t="shared" si="100"/>
        <v>Closed</v>
      </c>
      <c r="Z909" t="str">
        <f t="shared" si="101"/>
        <v>May-2026</v>
      </c>
      <c r="AA909" t="str">
        <f t="shared" si="102"/>
        <v>Q2 2026</v>
      </c>
      <c r="AB909" s="4">
        <f t="shared" ca="1" si="103"/>
        <v>56</v>
      </c>
      <c r="AC909" t="str">
        <f t="shared" si="104"/>
        <v>Low</v>
      </c>
    </row>
    <row r="910" spans="1:29">
      <c r="A910" t="s">
        <v>3472</v>
      </c>
      <c r="B910" s="2">
        <v>46070</v>
      </c>
      <c r="C910" t="s">
        <v>3218</v>
      </c>
      <c r="D910" t="s">
        <v>1249</v>
      </c>
      <c r="E910" t="s">
        <v>3473</v>
      </c>
      <c r="F910" t="s">
        <v>3474</v>
      </c>
      <c r="G910" t="s">
        <v>69</v>
      </c>
      <c r="H910" t="s">
        <v>312</v>
      </c>
      <c r="I910" t="s">
        <v>61</v>
      </c>
      <c r="J910" t="s">
        <v>50</v>
      </c>
      <c r="K910" t="s">
        <v>51</v>
      </c>
      <c r="L910" t="s">
        <v>81</v>
      </c>
      <c r="M910" t="s">
        <v>82</v>
      </c>
      <c r="N910" t="s">
        <v>83</v>
      </c>
      <c r="O910" s="3">
        <v>125000</v>
      </c>
      <c r="P910" s="4">
        <v>5</v>
      </c>
      <c r="Q910" s="2">
        <v>46098</v>
      </c>
      <c r="R910" s="2">
        <v>46180</v>
      </c>
      <c r="S910" s="2">
        <v>46097</v>
      </c>
      <c r="T910" s="2"/>
      <c r="U910" t="str">
        <f t="shared" si="98"/>
        <v>No</v>
      </c>
      <c r="W9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0" t="str">
        <f t="shared" ca="1" si="99"/>
        <v>Overdue</v>
      </c>
      <c r="Y910" t="str">
        <f t="shared" si="100"/>
        <v>Open</v>
      </c>
      <c r="Z910" t="str">
        <f t="shared" si="101"/>
        <v>Feb-2026</v>
      </c>
      <c r="AA910" t="str">
        <f t="shared" si="102"/>
        <v>Q1 2026</v>
      </c>
      <c r="AB910" s="4">
        <f t="shared" ca="1" si="103"/>
        <v>129</v>
      </c>
      <c r="AC910" t="str">
        <f t="shared" si="104"/>
        <v>Medium</v>
      </c>
    </row>
    <row r="911" spans="1:29">
      <c r="A911" t="s">
        <v>3475</v>
      </c>
      <c r="B911" s="2">
        <v>45844</v>
      </c>
      <c r="C911" t="s">
        <v>3117</v>
      </c>
      <c r="D911" t="s">
        <v>337</v>
      </c>
      <c r="E911" t="s">
        <v>3476</v>
      </c>
      <c r="F911" t="s">
        <v>3477</v>
      </c>
      <c r="G911" t="s">
        <v>79</v>
      </c>
      <c r="H911" t="s">
        <v>260</v>
      </c>
      <c r="I911" t="s">
        <v>61</v>
      </c>
      <c r="J911" t="s">
        <v>124</v>
      </c>
      <c r="K911" t="s">
        <v>194</v>
      </c>
      <c r="L911" t="s">
        <v>72</v>
      </c>
      <c r="M911" t="s">
        <v>53</v>
      </c>
      <c r="N911" t="s">
        <v>54</v>
      </c>
      <c r="O911" s="3">
        <v>325000</v>
      </c>
      <c r="P911" s="4">
        <v>25</v>
      </c>
      <c r="Q911" s="2">
        <v>45893</v>
      </c>
      <c r="R911" s="2">
        <v>46169</v>
      </c>
      <c r="S911" s="2">
        <v>45870</v>
      </c>
      <c r="T911" s="2"/>
      <c r="U911" t="str">
        <f t="shared" si="98"/>
        <v>No</v>
      </c>
      <c r="W9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1" t="str">
        <f t="shared" ca="1" si="99"/>
        <v>Overdue</v>
      </c>
      <c r="Y911" t="str">
        <f t="shared" si="100"/>
        <v>Open</v>
      </c>
      <c r="Z911" t="str">
        <f t="shared" si="101"/>
        <v>Jul-2025</v>
      </c>
      <c r="AA911" t="str">
        <f t="shared" si="102"/>
        <v>Q3 2025</v>
      </c>
      <c r="AB911" s="4">
        <f t="shared" ca="1" si="103"/>
        <v>355</v>
      </c>
      <c r="AC911" t="str">
        <f t="shared" si="104"/>
        <v>High</v>
      </c>
    </row>
    <row r="912" spans="1:29">
      <c r="A912" t="s">
        <v>3478</v>
      </c>
      <c r="B912" s="2">
        <v>45708</v>
      </c>
      <c r="C912" t="s">
        <v>683</v>
      </c>
      <c r="D912" t="s">
        <v>183</v>
      </c>
      <c r="E912" t="s">
        <v>3479</v>
      </c>
      <c r="F912" t="s">
        <v>3480</v>
      </c>
      <c r="G912" t="s">
        <v>69</v>
      </c>
      <c r="H912" t="s">
        <v>312</v>
      </c>
      <c r="I912" t="s">
        <v>36</v>
      </c>
      <c r="J912" t="s">
        <v>131</v>
      </c>
      <c r="K912" t="s">
        <v>71</v>
      </c>
      <c r="L912" t="s">
        <v>154</v>
      </c>
      <c r="M912" t="s">
        <v>116</v>
      </c>
      <c r="N912" t="s">
        <v>54</v>
      </c>
      <c r="O912" s="3">
        <v>100000</v>
      </c>
      <c r="P912" s="4">
        <v>15</v>
      </c>
      <c r="Q912" s="2">
        <v>45775</v>
      </c>
      <c r="R912" s="2">
        <v>46215</v>
      </c>
      <c r="S912" s="2">
        <v>45722</v>
      </c>
      <c r="T912" s="2"/>
      <c r="U912" t="str">
        <f t="shared" si="98"/>
        <v>No</v>
      </c>
      <c r="W9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2" t="str">
        <f t="shared" ca="1" si="99"/>
        <v>Due/Open</v>
      </c>
      <c r="Y912" t="str">
        <f t="shared" si="100"/>
        <v>Open</v>
      </c>
      <c r="Z912" t="str">
        <f t="shared" si="101"/>
        <v>Feb-2025</v>
      </c>
      <c r="AA912" t="str">
        <f t="shared" si="102"/>
        <v>Q1 2025</v>
      </c>
      <c r="AB912" s="4">
        <f t="shared" ca="1" si="103"/>
        <v>491</v>
      </c>
      <c r="AC912" t="str">
        <f t="shared" si="104"/>
        <v>Low</v>
      </c>
    </row>
    <row r="913" spans="1:29">
      <c r="A913" t="s">
        <v>3481</v>
      </c>
      <c r="B913" s="2">
        <v>45921</v>
      </c>
      <c r="C913" t="s">
        <v>2281</v>
      </c>
      <c r="D913" t="s">
        <v>490</v>
      </c>
      <c r="E913" t="s">
        <v>3482</v>
      </c>
      <c r="F913" t="s">
        <v>3483</v>
      </c>
      <c r="G913" t="s">
        <v>179</v>
      </c>
      <c r="H913" t="s">
        <v>186</v>
      </c>
      <c r="I913" t="s">
        <v>98</v>
      </c>
      <c r="J913" t="s">
        <v>50</v>
      </c>
      <c r="K913" t="s">
        <v>194</v>
      </c>
      <c r="L913" t="s">
        <v>125</v>
      </c>
      <c r="M913" t="s">
        <v>166</v>
      </c>
      <c r="N913" t="s">
        <v>167</v>
      </c>
      <c r="O913" s="3">
        <v>525000</v>
      </c>
      <c r="P913" s="4">
        <v>70</v>
      </c>
      <c r="Q913" s="2">
        <v>45995</v>
      </c>
      <c r="R913" s="2">
        <v>46184</v>
      </c>
      <c r="S913" s="2">
        <v>45946</v>
      </c>
      <c r="T913" s="2"/>
      <c r="U913" t="str">
        <f t="shared" si="98"/>
        <v>No</v>
      </c>
      <c r="W9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3" t="str">
        <f t="shared" ca="1" si="99"/>
        <v>Overdue</v>
      </c>
      <c r="Y913" t="str">
        <f t="shared" si="100"/>
        <v>Open</v>
      </c>
      <c r="Z913" t="str">
        <f t="shared" si="101"/>
        <v>Sep-2025</v>
      </c>
      <c r="AA913" t="str">
        <f t="shared" si="102"/>
        <v>Q3 2025</v>
      </c>
      <c r="AB913" s="4">
        <f t="shared" ca="1" si="103"/>
        <v>278</v>
      </c>
      <c r="AC913" t="str">
        <f t="shared" si="104"/>
        <v>High</v>
      </c>
    </row>
    <row r="914" spans="1:29">
      <c r="A914" t="s">
        <v>3484</v>
      </c>
      <c r="B914" s="2">
        <v>45920</v>
      </c>
      <c r="C914" t="s">
        <v>3032</v>
      </c>
      <c r="D914" t="s">
        <v>2897</v>
      </c>
      <c r="E914" t="s">
        <v>3485</v>
      </c>
      <c r="F914" t="s">
        <v>3486</v>
      </c>
      <c r="G914" t="s">
        <v>79</v>
      </c>
      <c r="H914" t="s">
        <v>106</v>
      </c>
      <c r="I914" t="s">
        <v>49</v>
      </c>
      <c r="J914" t="s">
        <v>124</v>
      </c>
      <c r="K914" t="s">
        <v>194</v>
      </c>
      <c r="L914" t="s">
        <v>125</v>
      </c>
      <c r="M914" t="s">
        <v>40</v>
      </c>
      <c r="N914" t="s">
        <v>41</v>
      </c>
      <c r="O914" s="3">
        <v>335000</v>
      </c>
      <c r="P914" s="4">
        <v>100</v>
      </c>
      <c r="Q914" s="2">
        <v>45942</v>
      </c>
      <c r="R914" s="2"/>
      <c r="S914" s="2">
        <v>45929</v>
      </c>
      <c r="T914" s="2">
        <v>45942</v>
      </c>
      <c r="U914" t="str">
        <f t="shared" si="98"/>
        <v>Yes</v>
      </c>
      <c r="W9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22</v>
      </c>
      <c r="X914" t="str">
        <f t="shared" ca="1" si="99"/>
        <v>Closed</v>
      </c>
      <c r="Y914" t="str">
        <f t="shared" si="100"/>
        <v>Closed</v>
      </c>
      <c r="Z914" t="str">
        <f t="shared" si="101"/>
        <v>Sep-2025</v>
      </c>
      <c r="AA914" t="str">
        <f t="shared" si="102"/>
        <v>Q3 2025</v>
      </c>
      <c r="AB914" s="4">
        <f t="shared" ca="1" si="103"/>
        <v>279</v>
      </c>
      <c r="AC914" t="str">
        <f t="shared" si="104"/>
        <v>High</v>
      </c>
    </row>
    <row r="915" spans="1:29">
      <c r="A915" t="s">
        <v>3487</v>
      </c>
      <c r="B915" s="2">
        <v>45821</v>
      </c>
      <c r="C915" t="s">
        <v>196</v>
      </c>
      <c r="D915" t="s">
        <v>1722</v>
      </c>
      <c r="E915" t="s">
        <v>3488</v>
      </c>
      <c r="F915" t="s">
        <v>3489</v>
      </c>
      <c r="G915" t="s">
        <v>179</v>
      </c>
      <c r="H915" t="s">
        <v>436</v>
      </c>
      <c r="I915" t="s">
        <v>49</v>
      </c>
      <c r="J915" t="s">
        <v>131</v>
      </c>
      <c r="K915" t="s">
        <v>71</v>
      </c>
      <c r="L915" t="s">
        <v>142</v>
      </c>
      <c r="M915" t="s">
        <v>53</v>
      </c>
      <c r="N915" t="s">
        <v>54</v>
      </c>
      <c r="O915" s="3">
        <v>295000</v>
      </c>
      <c r="P915" s="4">
        <v>25</v>
      </c>
      <c r="Q915" s="2">
        <v>45860</v>
      </c>
      <c r="R915" s="2">
        <v>46238</v>
      </c>
      <c r="S915" s="2">
        <v>45847</v>
      </c>
      <c r="T915" s="2"/>
      <c r="U915" t="str">
        <f t="shared" si="98"/>
        <v>No</v>
      </c>
      <c r="W9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5" t="str">
        <f t="shared" ca="1" si="99"/>
        <v>Due/Open</v>
      </c>
      <c r="Y915" t="str">
        <f t="shared" si="100"/>
        <v>Open</v>
      </c>
      <c r="Z915" t="str">
        <f t="shared" si="101"/>
        <v>Jun-2025</v>
      </c>
      <c r="AA915" t="str">
        <f t="shared" si="102"/>
        <v>Q2 2025</v>
      </c>
      <c r="AB915" s="4">
        <f t="shared" ca="1" si="103"/>
        <v>378</v>
      </c>
      <c r="AC915" t="str">
        <f t="shared" si="104"/>
        <v>Medium</v>
      </c>
    </row>
    <row r="916" spans="1:29">
      <c r="A916" t="s">
        <v>3490</v>
      </c>
      <c r="B916" s="2">
        <v>46065</v>
      </c>
      <c r="C916" t="s">
        <v>3491</v>
      </c>
      <c r="D916" t="s">
        <v>1416</v>
      </c>
      <c r="E916" t="s">
        <v>3492</v>
      </c>
      <c r="F916" t="s">
        <v>3493</v>
      </c>
      <c r="G916" t="s">
        <v>47</v>
      </c>
      <c r="H916" t="s">
        <v>113</v>
      </c>
      <c r="I916" t="s">
        <v>98</v>
      </c>
      <c r="J916" t="s">
        <v>131</v>
      </c>
      <c r="K916" t="s">
        <v>38</v>
      </c>
      <c r="L916" t="s">
        <v>107</v>
      </c>
      <c r="M916" t="s">
        <v>53</v>
      </c>
      <c r="N916" t="s">
        <v>54</v>
      </c>
      <c r="O916" s="3">
        <v>240000</v>
      </c>
      <c r="P916" s="4">
        <v>25</v>
      </c>
      <c r="Q916" s="2">
        <v>46106</v>
      </c>
      <c r="R916" s="2">
        <v>46231</v>
      </c>
      <c r="S916" s="2">
        <v>46077</v>
      </c>
      <c r="T916" s="2"/>
      <c r="U916" t="str">
        <f t="shared" si="98"/>
        <v>No</v>
      </c>
      <c r="W9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6" t="str">
        <f t="shared" ca="1" si="99"/>
        <v>Due/Open</v>
      </c>
      <c r="Y916" t="str">
        <f t="shared" si="100"/>
        <v>Open</v>
      </c>
      <c r="Z916" t="str">
        <f t="shared" si="101"/>
        <v>Feb-2026</v>
      </c>
      <c r="AA916" t="str">
        <f t="shared" si="102"/>
        <v>Q1 2026</v>
      </c>
      <c r="AB916" s="4">
        <f t="shared" ca="1" si="103"/>
        <v>134</v>
      </c>
      <c r="AC916" t="str">
        <f t="shared" si="104"/>
        <v>Medium</v>
      </c>
    </row>
    <row r="917" spans="1:29">
      <c r="A917" t="s">
        <v>3494</v>
      </c>
      <c r="B917" s="2">
        <v>45803</v>
      </c>
      <c r="C917" t="s">
        <v>656</v>
      </c>
      <c r="D917" t="s">
        <v>557</v>
      </c>
      <c r="E917" t="s">
        <v>3495</v>
      </c>
      <c r="F917" t="s">
        <v>3496</v>
      </c>
      <c r="G917" t="s">
        <v>79</v>
      </c>
      <c r="H917" t="s">
        <v>106</v>
      </c>
      <c r="I917" t="s">
        <v>148</v>
      </c>
      <c r="J917" t="s">
        <v>99</v>
      </c>
      <c r="K917" t="s">
        <v>100</v>
      </c>
      <c r="L917" t="s">
        <v>72</v>
      </c>
      <c r="M917" t="s">
        <v>90</v>
      </c>
      <c r="N917" t="s">
        <v>91</v>
      </c>
      <c r="O917" s="3">
        <v>380000</v>
      </c>
      <c r="P917" s="4">
        <v>50</v>
      </c>
      <c r="Q917" s="2">
        <v>45846</v>
      </c>
      <c r="R917" s="2">
        <v>46223</v>
      </c>
      <c r="S917" s="2">
        <v>45816</v>
      </c>
      <c r="T917" s="2"/>
      <c r="U917" t="str">
        <f t="shared" si="98"/>
        <v>No</v>
      </c>
      <c r="W9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7" t="str">
        <f t="shared" ca="1" si="99"/>
        <v>Due/Open</v>
      </c>
      <c r="Y917" t="str">
        <f t="shared" si="100"/>
        <v>Open</v>
      </c>
      <c r="Z917" t="str">
        <f t="shared" si="101"/>
        <v>May-2025</v>
      </c>
      <c r="AA917" t="str">
        <f t="shared" si="102"/>
        <v>Q2 2025</v>
      </c>
      <c r="AB917" s="4">
        <f t="shared" ca="1" si="103"/>
        <v>396</v>
      </c>
      <c r="AC917" t="str">
        <f t="shared" si="104"/>
        <v>High</v>
      </c>
    </row>
    <row r="918" spans="1:29">
      <c r="A918" t="s">
        <v>3497</v>
      </c>
      <c r="B918" s="2">
        <v>45762</v>
      </c>
      <c r="C918" t="s">
        <v>2542</v>
      </c>
      <c r="D918" t="s">
        <v>755</v>
      </c>
      <c r="E918" t="s">
        <v>3498</v>
      </c>
      <c r="F918" t="s">
        <v>3499</v>
      </c>
      <c r="G918" t="s">
        <v>47</v>
      </c>
      <c r="H918" t="s">
        <v>418</v>
      </c>
      <c r="I918" t="s">
        <v>49</v>
      </c>
      <c r="J918" t="s">
        <v>124</v>
      </c>
      <c r="K918" t="s">
        <v>100</v>
      </c>
      <c r="L918" t="s">
        <v>63</v>
      </c>
      <c r="M918" t="s">
        <v>166</v>
      </c>
      <c r="N918" t="s">
        <v>167</v>
      </c>
      <c r="O918" s="3">
        <v>160000</v>
      </c>
      <c r="P918" s="4">
        <v>60</v>
      </c>
      <c r="Q918" s="2">
        <v>45837</v>
      </c>
      <c r="R918" s="2">
        <v>46220</v>
      </c>
      <c r="S918" s="2">
        <v>45765</v>
      </c>
      <c r="T918" s="2"/>
      <c r="U918" t="str">
        <f t="shared" si="98"/>
        <v>No</v>
      </c>
      <c r="W9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8" t="str">
        <f t="shared" ca="1" si="99"/>
        <v>Due/Open</v>
      </c>
      <c r="Y918" t="str">
        <f t="shared" si="100"/>
        <v>Open</v>
      </c>
      <c r="Z918" t="str">
        <f t="shared" si="101"/>
        <v>Apr-2025</v>
      </c>
      <c r="AA918" t="str">
        <f t="shared" si="102"/>
        <v>Q2 2025</v>
      </c>
      <c r="AB918" s="4">
        <f t="shared" ca="1" si="103"/>
        <v>437</v>
      </c>
      <c r="AC918" t="str">
        <f t="shared" si="104"/>
        <v>Medium</v>
      </c>
    </row>
    <row r="919" spans="1:29">
      <c r="A919" t="s">
        <v>3500</v>
      </c>
      <c r="B919" s="2">
        <v>45744</v>
      </c>
      <c r="C919" t="s">
        <v>1334</v>
      </c>
      <c r="D919" t="s">
        <v>282</v>
      </c>
      <c r="E919" t="s">
        <v>3501</v>
      </c>
      <c r="F919" t="s">
        <v>3502</v>
      </c>
      <c r="G919" t="s">
        <v>34</v>
      </c>
      <c r="H919" t="s">
        <v>446</v>
      </c>
      <c r="I919" t="s">
        <v>98</v>
      </c>
      <c r="J919" t="s">
        <v>124</v>
      </c>
      <c r="K919" t="s">
        <v>51</v>
      </c>
      <c r="L919" t="s">
        <v>239</v>
      </c>
      <c r="M919" t="s">
        <v>53</v>
      </c>
      <c r="N919" t="s">
        <v>54</v>
      </c>
      <c r="O919" s="3">
        <v>195000</v>
      </c>
      <c r="P919" s="4">
        <v>25</v>
      </c>
      <c r="Q919" s="2">
        <v>45800</v>
      </c>
      <c r="R919" s="2">
        <v>46230</v>
      </c>
      <c r="S919" s="2">
        <v>45760</v>
      </c>
      <c r="T919" s="2"/>
      <c r="U919" t="str">
        <f t="shared" si="98"/>
        <v>No</v>
      </c>
      <c r="W9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19" t="str">
        <f t="shared" ca="1" si="99"/>
        <v>Due/Open</v>
      </c>
      <c r="Y919" t="str">
        <f t="shared" si="100"/>
        <v>Open</v>
      </c>
      <c r="Z919" t="str">
        <f t="shared" si="101"/>
        <v>Mar-2025</v>
      </c>
      <c r="AA919" t="str">
        <f t="shared" si="102"/>
        <v>Q1 2025</v>
      </c>
      <c r="AB919" s="4">
        <f t="shared" ca="1" si="103"/>
        <v>455</v>
      </c>
      <c r="AC919" t="str">
        <f t="shared" si="104"/>
        <v>Medium</v>
      </c>
    </row>
    <row r="920" spans="1:29">
      <c r="A920" t="s">
        <v>3503</v>
      </c>
      <c r="B920" s="2">
        <v>45938</v>
      </c>
      <c r="C920" t="s">
        <v>503</v>
      </c>
      <c r="D920" t="s">
        <v>315</v>
      </c>
      <c r="E920" t="s">
        <v>3504</v>
      </c>
      <c r="F920" t="s">
        <v>3505</v>
      </c>
      <c r="G920" t="s">
        <v>179</v>
      </c>
      <c r="H920" t="s">
        <v>180</v>
      </c>
      <c r="I920" t="s">
        <v>148</v>
      </c>
      <c r="J920" t="s">
        <v>37</v>
      </c>
      <c r="K920" t="s">
        <v>71</v>
      </c>
      <c r="L920" t="s">
        <v>142</v>
      </c>
      <c r="M920" t="s">
        <v>82</v>
      </c>
      <c r="N920" t="s">
        <v>83</v>
      </c>
      <c r="O920" s="3">
        <v>170000</v>
      </c>
      <c r="P920" s="4">
        <v>10</v>
      </c>
      <c r="Q920" s="2">
        <v>46028</v>
      </c>
      <c r="R920" s="2">
        <v>46214</v>
      </c>
      <c r="S920" s="2">
        <v>45947</v>
      </c>
      <c r="T920" s="2"/>
      <c r="U920" t="str">
        <f t="shared" si="98"/>
        <v>No</v>
      </c>
      <c r="W9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0" t="str">
        <f t="shared" ca="1" si="99"/>
        <v>Due/Open</v>
      </c>
      <c r="Y920" t="str">
        <f t="shared" si="100"/>
        <v>Open</v>
      </c>
      <c r="Z920" t="str">
        <f t="shared" si="101"/>
        <v>Oct-2025</v>
      </c>
      <c r="AA920" t="str">
        <f t="shared" si="102"/>
        <v>Q4 2025</v>
      </c>
      <c r="AB920" s="4">
        <f t="shared" ca="1" si="103"/>
        <v>261</v>
      </c>
      <c r="AC920" t="str">
        <f t="shared" si="104"/>
        <v>Medium</v>
      </c>
    </row>
    <row r="921" spans="1:29">
      <c r="A921" t="s">
        <v>3506</v>
      </c>
      <c r="B921" s="2">
        <v>45798</v>
      </c>
      <c r="C921" t="s">
        <v>3507</v>
      </c>
      <c r="D921" t="s">
        <v>225</v>
      </c>
      <c r="E921" t="s">
        <v>3508</v>
      </c>
      <c r="F921" t="s">
        <v>3509</v>
      </c>
      <c r="G921" t="s">
        <v>34</v>
      </c>
      <c r="H921" t="s">
        <v>160</v>
      </c>
      <c r="I921" t="s">
        <v>61</v>
      </c>
      <c r="J921" t="s">
        <v>131</v>
      </c>
      <c r="K921" t="s">
        <v>100</v>
      </c>
      <c r="L921" t="s">
        <v>52</v>
      </c>
      <c r="M921" t="s">
        <v>166</v>
      </c>
      <c r="N921" t="s">
        <v>167</v>
      </c>
      <c r="O921" s="3">
        <v>325000</v>
      </c>
      <c r="P921" s="4">
        <v>60</v>
      </c>
      <c r="Q921" s="2">
        <v>45877</v>
      </c>
      <c r="R921" s="2">
        <v>46155</v>
      </c>
      <c r="S921" s="2">
        <v>45816</v>
      </c>
      <c r="T921" s="2"/>
      <c r="U921" t="str">
        <f t="shared" si="98"/>
        <v>No</v>
      </c>
      <c r="W9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1" t="str">
        <f t="shared" ca="1" si="99"/>
        <v>Overdue</v>
      </c>
      <c r="Y921" t="str">
        <f t="shared" si="100"/>
        <v>Open</v>
      </c>
      <c r="Z921" t="str">
        <f t="shared" si="101"/>
        <v>May-2025</v>
      </c>
      <c r="AA921" t="str">
        <f t="shared" si="102"/>
        <v>Q2 2025</v>
      </c>
      <c r="AB921" s="4">
        <f t="shared" ca="1" si="103"/>
        <v>401</v>
      </c>
      <c r="AC921" t="str">
        <f t="shared" si="104"/>
        <v>High</v>
      </c>
    </row>
    <row r="922" spans="1:29">
      <c r="A922" t="s">
        <v>3510</v>
      </c>
      <c r="B922" s="2">
        <v>45729</v>
      </c>
      <c r="C922" t="s">
        <v>2261</v>
      </c>
      <c r="D922" t="s">
        <v>1081</v>
      </c>
      <c r="E922" t="s">
        <v>3511</v>
      </c>
      <c r="F922" t="s">
        <v>3512</v>
      </c>
      <c r="G922" t="s">
        <v>69</v>
      </c>
      <c r="H922" t="s">
        <v>193</v>
      </c>
      <c r="I922" t="s">
        <v>98</v>
      </c>
      <c r="J922" t="s">
        <v>37</v>
      </c>
      <c r="K922" t="s">
        <v>71</v>
      </c>
      <c r="L922" t="s">
        <v>125</v>
      </c>
      <c r="M922" t="s">
        <v>116</v>
      </c>
      <c r="N922" t="s">
        <v>54</v>
      </c>
      <c r="O922" s="3">
        <v>60000</v>
      </c>
      <c r="P922" s="4">
        <v>15</v>
      </c>
      <c r="Q922" s="2">
        <v>45810</v>
      </c>
      <c r="R922" s="2">
        <v>46226</v>
      </c>
      <c r="S922" s="2">
        <v>45759</v>
      </c>
      <c r="T922" s="2"/>
      <c r="U922" t="str">
        <f t="shared" si="98"/>
        <v>No</v>
      </c>
      <c r="W9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2" t="str">
        <f t="shared" ca="1" si="99"/>
        <v>Due/Open</v>
      </c>
      <c r="Y922" t="str">
        <f t="shared" si="100"/>
        <v>Open</v>
      </c>
      <c r="Z922" t="str">
        <f t="shared" si="101"/>
        <v>Mar-2025</v>
      </c>
      <c r="AA922" t="str">
        <f t="shared" si="102"/>
        <v>Q1 2025</v>
      </c>
      <c r="AB922" s="4">
        <f t="shared" ca="1" si="103"/>
        <v>470</v>
      </c>
      <c r="AC922" t="str">
        <f t="shared" si="104"/>
        <v>Low</v>
      </c>
    </row>
    <row r="923" spans="1:29">
      <c r="A923" t="s">
        <v>3513</v>
      </c>
      <c r="B923" s="2">
        <v>45913</v>
      </c>
      <c r="C923" t="s">
        <v>1900</v>
      </c>
      <c r="D923" t="s">
        <v>914</v>
      </c>
      <c r="E923" t="s">
        <v>3514</v>
      </c>
      <c r="F923" t="s">
        <v>3515</v>
      </c>
      <c r="G923" t="s">
        <v>34</v>
      </c>
      <c r="H923" t="s">
        <v>446</v>
      </c>
      <c r="I923" t="s">
        <v>187</v>
      </c>
      <c r="J923" t="s">
        <v>37</v>
      </c>
      <c r="K923" t="s">
        <v>71</v>
      </c>
      <c r="L923" t="s">
        <v>52</v>
      </c>
      <c r="M923" t="s">
        <v>210</v>
      </c>
      <c r="N923" t="s">
        <v>134</v>
      </c>
      <c r="O923" s="3">
        <v>105000</v>
      </c>
      <c r="P923" s="4">
        <v>0</v>
      </c>
      <c r="Q923" s="2">
        <v>45979</v>
      </c>
      <c r="R923" s="2"/>
      <c r="S923" s="2">
        <v>45937</v>
      </c>
      <c r="T923" s="2">
        <v>45979</v>
      </c>
      <c r="U923" t="str">
        <f t="shared" si="98"/>
        <v>No</v>
      </c>
      <c r="V923" t="s">
        <v>135</v>
      </c>
      <c r="W9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923" t="str">
        <f t="shared" ca="1" si="99"/>
        <v>Closed</v>
      </c>
      <c r="Y923" t="str">
        <f t="shared" si="100"/>
        <v>Closed</v>
      </c>
      <c r="Z923" t="str">
        <f t="shared" si="101"/>
        <v>Sep-2025</v>
      </c>
      <c r="AA923" t="str">
        <f t="shared" si="102"/>
        <v>Q3 2025</v>
      </c>
      <c r="AB923" s="4">
        <f t="shared" ca="1" si="103"/>
        <v>286</v>
      </c>
      <c r="AC923" t="str">
        <f t="shared" si="104"/>
        <v>Low</v>
      </c>
    </row>
    <row r="924" spans="1:29">
      <c r="A924" t="s">
        <v>3516</v>
      </c>
      <c r="B924" s="2">
        <v>45751</v>
      </c>
      <c r="C924" t="s">
        <v>1584</v>
      </c>
      <c r="D924" t="s">
        <v>565</v>
      </c>
      <c r="E924" t="s">
        <v>3517</v>
      </c>
      <c r="F924" t="s">
        <v>3518</v>
      </c>
      <c r="G924" t="s">
        <v>79</v>
      </c>
      <c r="H924" t="s">
        <v>97</v>
      </c>
      <c r="I924" t="s">
        <v>187</v>
      </c>
      <c r="J924" t="s">
        <v>62</v>
      </c>
      <c r="K924" t="s">
        <v>38</v>
      </c>
      <c r="L924" t="s">
        <v>154</v>
      </c>
      <c r="M924" t="s">
        <v>133</v>
      </c>
      <c r="N924" t="s">
        <v>134</v>
      </c>
      <c r="O924" s="3">
        <v>420000</v>
      </c>
      <c r="P924" s="4">
        <v>0</v>
      </c>
      <c r="Q924" s="2">
        <v>45804</v>
      </c>
      <c r="R924" s="2"/>
      <c r="S924" s="2">
        <v>45756</v>
      </c>
      <c r="T924" s="2">
        <v>45804</v>
      </c>
      <c r="U924" t="str">
        <f t="shared" si="98"/>
        <v>No</v>
      </c>
      <c r="V924" t="s">
        <v>135</v>
      </c>
      <c r="W92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924" t="str">
        <f t="shared" ca="1" si="99"/>
        <v>Closed</v>
      </c>
      <c r="Y924" t="str">
        <f t="shared" si="100"/>
        <v>Closed</v>
      </c>
      <c r="Z924" t="str">
        <f t="shared" si="101"/>
        <v>Apr-2025</v>
      </c>
      <c r="AA924" t="str">
        <f t="shared" si="102"/>
        <v>Q2 2025</v>
      </c>
      <c r="AB924" s="4">
        <f t="shared" ca="1" si="103"/>
        <v>448</v>
      </c>
      <c r="AC924" t="str">
        <f t="shared" si="104"/>
        <v>High</v>
      </c>
    </row>
    <row r="925" spans="1:29">
      <c r="A925" t="s">
        <v>3519</v>
      </c>
      <c r="B925" s="2">
        <v>46026</v>
      </c>
      <c r="C925" t="s">
        <v>3520</v>
      </c>
      <c r="D925" t="s">
        <v>909</v>
      </c>
      <c r="E925" t="s">
        <v>3521</v>
      </c>
      <c r="F925" t="s">
        <v>3522</v>
      </c>
      <c r="G925" t="s">
        <v>47</v>
      </c>
      <c r="H925" t="s">
        <v>418</v>
      </c>
      <c r="I925" t="s">
        <v>61</v>
      </c>
      <c r="J925" t="s">
        <v>124</v>
      </c>
      <c r="K925" t="s">
        <v>100</v>
      </c>
      <c r="L925" t="s">
        <v>132</v>
      </c>
      <c r="M925" t="s">
        <v>82</v>
      </c>
      <c r="N925" t="s">
        <v>83</v>
      </c>
      <c r="O925" s="3">
        <v>340000</v>
      </c>
      <c r="P925" s="4">
        <v>5</v>
      </c>
      <c r="Q925" s="2">
        <v>46051</v>
      </c>
      <c r="R925" s="2">
        <v>46212</v>
      </c>
      <c r="S925" s="2">
        <v>46028</v>
      </c>
      <c r="T925" s="2"/>
      <c r="U925" t="str">
        <f t="shared" si="98"/>
        <v>No</v>
      </c>
      <c r="W9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5" t="str">
        <f t="shared" ca="1" si="99"/>
        <v>Due/Open</v>
      </c>
      <c r="Y925" t="str">
        <f t="shared" si="100"/>
        <v>Open</v>
      </c>
      <c r="Z925" t="str">
        <f t="shared" si="101"/>
        <v>Jan-2026</v>
      </c>
      <c r="AA925" t="str">
        <f t="shared" si="102"/>
        <v>Q1 2026</v>
      </c>
      <c r="AB925" s="4">
        <f t="shared" ca="1" si="103"/>
        <v>173</v>
      </c>
      <c r="AC925" t="str">
        <f t="shared" si="104"/>
        <v>High</v>
      </c>
    </row>
    <row r="926" spans="1:29">
      <c r="A926" t="s">
        <v>3523</v>
      </c>
      <c r="B926" s="2">
        <v>45817</v>
      </c>
      <c r="C926" t="s">
        <v>3437</v>
      </c>
      <c r="D926" t="s">
        <v>1717</v>
      </c>
      <c r="E926" t="s">
        <v>3524</v>
      </c>
      <c r="F926" t="s">
        <v>3525</v>
      </c>
      <c r="G926" t="s">
        <v>79</v>
      </c>
      <c r="H926" t="s">
        <v>80</v>
      </c>
      <c r="I926" t="s">
        <v>36</v>
      </c>
      <c r="J926" t="s">
        <v>37</v>
      </c>
      <c r="K926" t="s">
        <v>194</v>
      </c>
      <c r="L926" t="s">
        <v>107</v>
      </c>
      <c r="M926" t="s">
        <v>116</v>
      </c>
      <c r="N926" t="s">
        <v>54</v>
      </c>
      <c r="O926" s="3">
        <v>120000</v>
      </c>
      <c r="P926" s="4">
        <v>25</v>
      </c>
      <c r="Q926" s="2">
        <v>45878</v>
      </c>
      <c r="R926" s="2">
        <v>46211</v>
      </c>
      <c r="S926" s="2">
        <v>45830</v>
      </c>
      <c r="T926" s="2"/>
      <c r="U926" t="str">
        <f t="shared" si="98"/>
        <v>No</v>
      </c>
      <c r="W9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6" t="str">
        <f t="shared" ca="1" si="99"/>
        <v>Due/Open</v>
      </c>
      <c r="Y926" t="str">
        <f t="shared" si="100"/>
        <v>Open</v>
      </c>
      <c r="Z926" t="str">
        <f t="shared" si="101"/>
        <v>Jun-2025</v>
      </c>
      <c r="AA926" t="str">
        <f t="shared" si="102"/>
        <v>Q2 2025</v>
      </c>
      <c r="AB926" s="4">
        <f t="shared" ca="1" si="103"/>
        <v>382</v>
      </c>
      <c r="AC926" t="str">
        <f t="shared" si="104"/>
        <v>Medium</v>
      </c>
    </row>
    <row r="927" spans="1:29">
      <c r="A927" t="s">
        <v>3526</v>
      </c>
      <c r="B927" s="2">
        <v>46081</v>
      </c>
      <c r="C927" t="s">
        <v>3527</v>
      </c>
      <c r="D927" t="s">
        <v>779</v>
      </c>
      <c r="E927" t="s">
        <v>3528</v>
      </c>
      <c r="F927" t="s">
        <v>3529</v>
      </c>
      <c r="G927" t="s">
        <v>179</v>
      </c>
      <c r="H927" t="s">
        <v>318</v>
      </c>
      <c r="I927" t="s">
        <v>36</v>
      </c>
      <c r="J927" t="s">
        <v>37</v>
      </c>
      <c r="K927" t="s">
        <v>194</v>
      </c>
      <c r="L927" t="s">
        <v>63</v>
      </c>
      <c r="M927" t="s">
        <v>40</v>
      </c>
      <c r="N927" t="s">
        <v>41</v>
      </c>
      <c r="O927" s="3">
        <v>65000</v>
      </c>
      <c r="P927" s="4">
        <v>100</v>
      </c>
      <c r="Q927" s="2">
        <v>46138</v>
      </c>
      <c r="R927" s="2"/>
      <c r="S927" s="2">
        <v>46103</v>
      </c>
      <c r="T927" s="2">
        <v>46138</v>
      </c>
      <c r="U927" t="str">
        <f t="shared" si="98"/>
        <v>Yes</v>
      </c>
      <c r="W92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927" t="str">
        <f t="shared" ca="1" si="99"/>
        <v>Closed</v>
      </c>
      <c r="Y927" t="str">
        <f t="shared" si="100"/>
        <v>Closed</v>
      </c>
      <c r="Z927" t="str">
        <f t="shared" si="101"/>
        <v>Feb-2026</v>
      </c>
      <c r="AA927" t="str">
        <f t="shared" si="102"/>
        <v>Q1 2026</v>
      </c>
      <c r="AB927" s="4">
        <f t="shared" ca="1" si="103"/>
        <v>118</v>
      </c>
      <c r="AC927" t="str">
        <f t="shared" si="104"/>
        <v>Low</v>
      </c>
    </row>
    <row r="928" spans="1:29">
      <c r="A928" t="s">
        <v>3530</v>
      </c>
      <c r="B928" s="2">
        <v>46027</v>
      </c>
      <c r="C928" t="s">
        <v>3327</v>
      </c>
      <c r="D928" t="s">
        <v>561</v>
      </c>
      <c r="E928" t="s">
        <v>3531</v>
      </c>
      <c r="F928" t="s">
        <v>3532</v>
      </c>
      <c r="G928" t="s">
        <v>34</v>
      </c>
      <c r="H928" t="s">
        <v>160</v>
      </c>
      <c r="I928" t="s">
        <v>36</v>
      </c>
      <c r="J928" t="s">
        <v>124</v>
      </c>
      <c r="K928" t="s">
        <v>194</v>
      </c>
      <c r="L928" t="s">
        <v>115</v>
      </c>
      <c r="M928" t="s">
        <v>82</v>
      </c>
      <c r="N928" t="s">
        <v>83</v>
      </c>
      <c r="O928" s="3">
        <v>165000</v>
      </c>
      <c r="P928" s="4">
        <v>10</v>
      </c>
      <c r="Q928" s="2">
        <v>46054</v>
      </c>
      <c r="R928" s="2">
        <v>46221</v>
      </c>
      <c r="S928" s="2">
        <v>46055</v>
      </c>
      <c r="T928" s="2"/>
      <c r="U928" t="str">
        <f t="shared" si="98"/>
        <v>No</v>
      </c>
      <c r="W9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8" t="str">
        <f t="shared" ca="1" si="99"/>
        <v>Due/Open</v>
      </c>
      <c r="Y928" t="str">
        <f t="shared" si="100"/>
        <v>Open</v>
      </c>
      <c r="Z928" t="str">
        <f t="shared" si="101"/>
        <v>Jan-2026</v>
      </c>
      <c r="AA928" t="str">
        <f t="shared" si="102"/>
        <v>Q1 2026</v>
      </c>
      <c r="AB928" s="4">
        <f t="shared" ca="1" si="103"/>
        <v>172</v>
      </c>
      <c r="AC928" t="str">
        <f t="shared" si="104"/>
        <v>Medium</v>
      </c>
    </row>
    <row r="929" spans="1:29">
      <c r="A929" t="s">
        <v>3533</v>
      </c>
      <c r="B929" s="2">
        <v>46121</v>
      </c>
      <c r="C929" t="s">
        <v>224</v>
      </c>
      <c r="D929" t="s">
        <v>1017</v>
      </c>
      <c r="E929" t="s">
        <v>3534</v>
      </c>
      <c r="F929" t="s">
        <v>3535</v>
      </c>
      <c r="G929" t="s">
        <v>47</v>
      </c>
      <c r="H929" t="s">
        <v>493</v>
      </c>
      <c r="I929" t="s">
        <v>49</v>
      </c>
      <c r="J929" t="s">
        <v>131</v>
      </c>
      <c r="K929" t="s">
        <v>71</v>
      </c>
      <c r="L929" t="s">
        <v>107</v>
      </c>
      <c r="M929" t="s">
        <v>53</v>
      </c>
      <c r="N929" t="s">
        <v>54</v>
      </c>
      <c r="O929" s="3">
        <v>335000</v>
      </c>
      <c r="P929" s="4">
        <v>35</v>
      </c>
      <c r="Q929" s="2">
        <v>46173</v>
      </c>
      <c r="R929" s="2">
        <v>46242</v>
      </c>
      <c r="S929" s="2">
        <v>46138</v>
      </c>
      <c r="T929" s="2"/>
      <c r="U929" t="str">
        <f t="shared" si="98"/>
        <v>No</v>
      </c>
      <c r="W9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29" t="str">
        <f t="shared" ca="1" si="99"/>
        <v>Due/Open</v>
      </c>
      <c r="Y929" t="str">
        <f t="shared" si="100"/>
        <v>Open</v>
      </c>
      <c r="Z929" t="str">
        <f t="shared" si="101"/>
        <v>Apr-2026</v>
      </c>
      <c r="AA929" t="str">
        <f t="shared" si="102"/>
        <v>Q2 2026</v>
      </c>
      <c r="AB929" s="4">
        <f t="shared" ca="1" si="103"/>
        <v>78</v>
      </c>
      <c r="AC929" t="str">
        <f t="shared" si="104"/>
        <v>High</v>
      </c>
    </row>
    <row r="930" spans="1:29">
      <c r="A930" t="s">
        <v>3536</v>
      </c>
      <c r="B930" s="2">
        <v>45708</v>
      </c>
      <c r="C930" t="s">
        <v>1700</v>
      </c>
      <c r="D930" t="s">
        <v>1127</v>
      </c>
      <c r="E930" t="s">
        <v>3537</v>
      </c>
      <c r="F930" t="s">
        <v>3538</v>
      </c>
      <c r="G930" t="s">
        <v>47</v>
      </c>
      <c r="H930" t="s">
        <v>122</v>
      </c>
      <c r="I930" t="s">
        <v>98</v>
      </c>
      <c r="J930" t="s">
        <v>37</v>
      </c>
      <c r="K930" t="s">
        <v>114</v>
      </c>
      <c r="L930" t="s">
        <v>107</v>
      </c>
      <c r="M930" t="s">
        <v>116</v>
      </c>
      <c r="N930" t="s">
        <v>54</v>
      </c>
      <c r="O930" s="3">
        <v>60000</v>
      </c>
      <c r="P930" s="4">
        <v>25</v>
      </c>
      <c r="Q930" s="2">
        <v>45798</v>
      </c>
      <c r="R930" s="2">
        <v>46183</v>
      </c>
      <c r="S930" s="2">
        <v>45723</v>
      </c>
      <c r="T930" s="2"/>
      <c r="U930" t="str">
        <f t="shared" si="98"/>
        <v>No</v>
      </c>
      <c r="W9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0" t="str">
        <f t="shared" ca="1" si="99"/>
        <v>Overdue</v>
      </c>
      <c r="Y930" t="str">
        <f t="shared" si="100"/>
        <v>Open</v>
      </c>
      <c r="Z930" t="str">
        <f t="shared" si="101"/>
        <v>Feb-2025</v>
      </c>
      <c r="AA930" t="str">
        <f t="shared" si="102"/>
        <v>Q1 2025</v>
      </c>
      <c r="AB930" s="4">
        <f t="shared" ca="1" si="103"/>
        <v>491</v>
      </c>
      <c r="AC930" t="str">
        <f t="shared" si="104"/>
        <v>Low</v>
      </c>
    </row>
    <row r="931" spans="1:29">
      <c r="A931" t="s">
        <v>3539</v>
      </c>
      <c r="B931" s="2">
        <v>46038</v>
      </c>
      <c r="C931" t="s">
        <v>3540</v>
      </c>
      <c r="D931" t="s">
        <v>797</v>
      </c>
      <c r="E931" t="s">
        <v>3541</v>
      </c>
      <c r="F931" t="s">
        <v>3542</v>
      </c>
      <c r="G931" t="s">
        <v>79</v>
      </c>
      <c r="H931" t="s">
        <v>217</v>
      </c>
      <c r="I931" t="s">
        <v>187</v>
      </c>
      <c r="J931" t="s">
        <v>50</v>
      </c>
      <c r="K931" t="s">
        <v>100</v>
      </c>
      <c r="L931" t="s">
        <v>239</v>
      </c>
      <c r="M931" t="s">
        <v>166</v>
      </c>
      <c r="N931" t="s">
        <v>167</v>
      </c>
      <c r="O931" s="3">
        <v>195000</v>
      </c>
      <c r="P931" s="4">
        <v>70</v>
      </c>
      <c r="Q931" s="2">
        <v>46094</v>
      </c>
      <c r="R931" s="2">
        <v>46223</v>
      </c>
      <c r="S931" s="2">
        <v>46050</v>
      </c>
      <c r="T931" s="2"/>
      <c r="U931" t="str">
        <f t="shared" si="98"/>
        <v>No</v>
      </c>
      <c r="W9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1" t="str">
        <f t="shared" ca="1" si="99"/>
        <v>Due/Open</v>
      </c>
      <c r="Y931" t="str">
        <f t="shared" si="100"/>
        <v>Open</v>
      </c>
      <c r="Z931" t="str">
        <f t="shared" si="101"/>
        <v>Jan-2026</v>
      </c>
      <c r="AA931" t="str">
        <f t="shared" si="102"/>
        <v>Q1 2026</v>
      </c>
      <c r="AB931" s="4">
        <f t="shared" ca="1" si="103"/>
        <v>161</v>
      </c>
      <c r="AC931" t="str">
        <f t="shared" si="104"/>
        <v>Medium</v>
      </c>
    </row>
    <row r="932" spans="1:29">
      <c r="A932" t="s">
        <v>3543</v>
      </c>
      <c r="B932" s="2">
        <v>46029</v>
      </c>
      <c r="C932" t="s">
        <v>1747</v>
      </c>
      <c r="D932" t="s">
        <v>273</v>
      </c>
      <c r="E932" t="s">
        <v>3544</v>
      </c>
      <c r="F932" t="s">
        <v>3545</v>
      </c>
      <c r="G932" t="s">
        <v>79</v>
      </c>
      <c r="H932" t="s">
        <v>217</v>
      </c>
      <c r="I932" t="s">
        <v>36</v>
      </c>
      <c r="J932" t="s">
        <v>131</v>
      </c>
      <c r="K932" t="s">
        <v>71</v>
      </c>
      <c r="L932" t="s">
        <v>52</v>
      </c>
      <c r="M932" t="s">
        <v>73</v>
      </c>
      <c r="N932" t="s">
        <v>73</v>
      </c>
      <c r="O932" s="3">
        <v>250000</v>
      </c>
      <c r="P932" s="4">
        <v>85</v>
      </c>
      <c r="Q932" s="2">
        <v>46050</v>
      </c>
      <c r="R932" s="2">
        <v>46232</v>
      </c>
      <c r="S932" s="2">
        <v>46046</v>
      </c>
      <c r="T932" s="2"/>
      <c r="U932" t="str">
        <f t="shared" si="98"/>
        <v>No</v>
      </c>
      <c r="W9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2" t="str">
        <f t="shared" ca="1" si="99"/>
        <v>Due/Open</v>
      </c>
      <c r="Y932" t="str">
        <f t="shared" si="100"/>
        <v>Open</v>
      </c>
      <c r="Z932" t="str">
        <f t="shared" si="101"/>
        <v>Jan-2026</v>
      </c>
      <c r="AA932" t="str">
        <f t="shared" si="102"/>
        <v>Q1 2026</v>
      </c>
      <c r="AB932" s="4">
        <f t="shared" ca="1" si="103"/>
        <v>170</v>
      </c>
      <c r="AC932" t="str">
        <f t="shared" si="104"/>
        <v>Medium</v>
      </c>
    </row>
    <row r="933" spans="1:29">
      <c r="A933" t="s">
        <v>3546</v>
      </c>
      <c r="B933" s="2">
        <v>46150</v>
      </c>
      <c r="C933" t="s">
        <v>1310</v>
      </c>
      <c r="D933" t="s">
        <v>332</v>
      </c>
      <c r="E933" t="s">
        <v>3547</v>
      </c>
      <c r="F933" t="s">
        <v>3548</v>
      </c>
      <c r="G933" t="s">
        <v>47</v>
      </c>
      <c r="H933" t="s">
        <v>493</v>
      </c>
      <c r="I933" t="s">
        <v>123</v>
      </c>
      <c r="J933" t="s">
        <v>99</v>
      </c>
      <c r="K933" t="s">
        <v>51</v>
      </c>
      <c r="L933" t="s">
        <v>39</v>
      </c>
      <c r="M933" t="s">
        <v>210</v>
      </c>
      <c r="N933" t="s">
        <v>134</v>
      </c>
      <c r="O933" s="3">
        <v>415000</v>
      </c>
      <c r="P933" s="4">
        <v>0</v>
      </c>
      <c r="Q933" s="2">
        <v>46175</v>
      </c>
      <c r="R933" s="2"/>
      <c r="S933" s="2">
        <v>46180</v>
      </c>
      <c r="T933" s="2">
        <v>46175</v>
      </c>
      <c r="U933" t="str">
        <f t="shared" si="98"/>
        <v>No</v>
      </c>
      <c r="V933" t="s">
        <v>452</v>
      </c>
      <c r="W9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933" t="str">
        <f t="shared" ca="1" si="99"/>
        <v>Closed</v>
      </c>
      <c r="Y933" t="str">
        <f t="shared" si="100"/>
        <v>Closed</v>
      </c>
      <c r="Z933" t="str">
        <f t="shared" si="101"/>
        <v>May-2026</v>
      </c>
      <c r="AA933" t="str">
        <f t="shared" si="102"/>
        <v>Q2 2026</v>
      </c>
      <c r="AB933" s="4">
        <f t="shared" ca="1" si="103"/>
        <v>49</v>
      </c>
      <c r="AC933" t="str">
        <f t="shared" si="104"/>
        <v>High</v>
      </c>
    </row>
    <row r="934" spans="1:29">
      <c r="A934" t="s">
        <v>3549</v>
      </c>
      <c r="B934" s="2">
        <v>46136</v>
      </c>
      <c r="C934" t="s">
        <v>3286</v>
      </c>
      <c r="D934" t="s">
        <v>715</v>
      </c>
      <c r="E934" t="s">
        <v>3550</v>
      </c>
      <c r="F934" t="s">
        <v>3551</v>
      </c>
      <c r="G934" t="s">
        <v>179</v>
      </c>
      <c r="H934" t="s">
        <v>186</v>
      </c>
      <c r="I934" t="s">
        <v>49</v>
      </c>
      <c r="J934" t="s">
        <v>124</v>
      </c>
      <c r="K934" t="s">
        <v>71</v>
      </c>
      <c r="L934" t="s">
        <v>107</v>
      </c>
      <c r="M934" t="s">
        <v>133</v>
      </c>
      <c r="N934" t="s">
        <v>134</v>
      </c>
      <c r="O934" s="3">
        <v>330000</v>
      </c>
      <c r="P934" s="4">
        <v>0</v>
      </c>
      <c r="Q934" s="2">
        <v>46186</v>
      </c>
      <c r="R934" s="2"/>
      <c r="S934" s="2">
        <v>46145</v>
      </c>
      <c r="T934" s="2">
        <v>46186</v>
      </c>
      <c r="U934" t="str">
        <f t="shared" si="98"/>
        <v>No</v>
      </c>
      <c r="V934" t="s">
        <v>1105</v>
      </c>
      <c r="W93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934" t="str">
        <f t="shared" ca="1" si="99"/>
        <v>Closed</v>
      </c>
      <c r="Y934" t="str">
        <f t="shared" si="100"/>
        <v>Closed</v>
      </c>
      <c r="Z934" t="str">
        <f t="shared" si="101"/>
        <v>Apr-2026</v>
      </c>
      <c r="AA934" t="str">
        <f t="shared" si="102"/>
        <v>Q2 2026</v>
      </c>
      <c r="AB934" s="4">
        <f t="shared" ca="1" si="103"/>
        <v>63</v>
      </c>
      <c r="AC934" t="str">
        <f t="shared" si="104"/>
        <v>High</v>
      </c>
    </row>
    <row r="935" spans="1:29">
      <c r="A935" t="s">
        <v>3552</v>
      </c>
      <c r="B935" s="2">
        <v>45805</v>
      </c>
      <c r="C935" t="s">
        <v>1301</v>
      </c>
      <c r="D935" t="s">
        <v>755</v>
      </c>
      <c r="E935" t="s">
        <v>3553</v>
      </c>
      <c r="F935" t="s">
        <v>3554</v>
      </c>
      <c r="G935" t="s">
        <v>179</v>
      </c>
      <c r="H935" t="s">
        <v>318</v>
      </c>
      <c r="I935" t="s">
        <v>187</v>
      </c>
      <c r="J935" t="s">
        <v>37</v>
      </c>
      <c r="K935" t="s">
        <v>114</v>
      </c>
      <c r="L935" t="s">
        <v>132</v>
      </c>
      <c r="M935" t="s">
        <v>82</v>
      </c>
      <c r="N935" t="s">
        <v>83</v>
      </c>
      <c r="O935" s="3">
        <v>165000</v>
      </c>
      <c r="P935" s="4">
        <v>10</v>
      </c>
      <c r="Q935" s="2">
        <v>45874</v>
      </c>
      <c r="R935" s="2">
        <v>46155</v>
      </c>
      <c r="S935" s="2">
        <v>45821</v>
      </c>
      <c r="T935" s="2"/>
      <c r="U935" t="str">
        <f t="shared" si="98"/>
        <v>No</v>
      </c>
      <c r="W9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5" t="str">
        <f t="shared" ca="1" si="99"/>
        <v>Overdue</v>
      </c>
      <c r="Y935" t="str">
        <f t="shared" si="100"/>
        <v>Open</v>
      </c>
      <c r="Z935" t="str">
        <f t="shared" si="101"/>
        <v>May-2025</v>
      </c>
      <c r="AA935" t="str">
        <f t="shared" si="102"/>
        <v>Q2 2025</v>
      </c>
      <c r="AB935" s="4">
        <f t="shared" ca="1" si="103"/>
        <v>394</v>
      </c>
      <c r="AC935" t="str">
        <f t="shared" si="104"/>
        <v>Medium</v>
      </c>
    </row>
    <row r="936" spans="1:29">
      <c r="A936" t="s">
        <v>3555</v>
      </c>
      <c r="B936" s="2">
        <v>45681</v>
      </c>
      <c r="C936" t="s">
        <v>3556</v>
      </c>
      <c r="D936" t="s">
        <v>909</v>
      </c>
      <c r="E936" t="s">
        <v>3557</v>
      </c>
      <c r="F936" t="s">
        <v>3558</v>
      </c>
      <c r="G936" t="s">
        <v>47</v>
      </c>
      <c r="H936" t="s">
        <v>418</v>
      </c>
      <c r="I936" t="s">
        <v>98</v>
      </c>
      <c r="J936" t="s">
        <v>99</v>
      </c>
      <c r="K936" t="s">
        <v>38</v>
      </c>
      <c r="L936" t="s">
        <v>115</v>
      </c>
      <c r="M936" t="s">
        <v>90</v>
      </c>
      <c r="N936" t="s">
        <v>91</v>
      </c>
      <c r="O936" s="3">
        <v>270000</v>
      </c>
      <c r="P936" s="4">
        <v>50</v>
      </c>
      <c r="Q936" s="2">
        <v>45757</v>
      </c>
      <c r="R936" s="2">
        <v>46177</v>
      </c>
      <c r="S936" s="2">
        <v>45689</v>
      </c>
      <c r="T936" s="2"/>
      <c r="U936" t="str">
        <f t="shared" si="98"/>
        <v>No</v>
      </c>
      <c r="W9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6" t="str">
        <f t="shared" ca="1" si="99"/>
        <v>Overdue</v>
      </c>
      <c r="Y936" t="str">
        <f t="shared" si="100"/>
        <v>Open</v>
      </c>
      <c r="Z936" t="str">
        <f t="shared" si="101"/>
        <v>Jan-2025</v>
      </c>
      <c r="AA936" t="str">
        <f t="shared" si="102"/>
        <v>Q1 2025</v>
      </c>
      <c r="AB936" s="4">
        <f t="shared" ca="1" si="103"/>
        <v>518</v>
      </c>
      <c r="AC936" t="str">
        <f t="shared" si="104"/>
        <v>Medium</v>
      </c>
    </row>
    <row r="937" spans="1:29">
      <c r="A937" t="s">
        <v>3559</v>
      </c>
      <c r="B937" s="2">
        <v>45735</v>
      </c>
      <c r="C937" t="s">
        <v>2246</v>
      </c>
      <c r="D937" t="s">
        <v>2231</v>
      </c>
      <c r="E937" t="s">
        <v>3560</v>
      </c>
      <c r="F937" t="s">
        <v>3561</v>
      </c>
      <c r="G937" t="s">
        <v>47</v>
      </c>
      <c r="H937" t="s">
        <v>48</v>
      </c>
      <c r="I937" t="s">
        <v>36</v>
      </c>
      <c r="J937" t="s">
        <v>37</v>
      </c>
      <c r="K937" t="s">
        <v>38</v>
      </c>
      <c r="L937" t="s">
        <v>107</v>
      </c>
      <c r="M937" t="s">
        <v>53</v>
      </c>
      <c r="N937" t="s">
        <v>54</v>
      </c>
      <c r="O937" s="3">
        <v>170000</v>
      </c>
      <c r="P937" s="4">
        <v>25</v>
      </c>
      <c r="Q937" s="2">
        <v>45830</v>
      </c>
      <c r="R937" s="2">
        <v>46229</v>
      </c>
      <c r="S937" s="2">
        <v>45758</v>
      </c>
      <c r="T937" s="2"/>
      <c r="U937" t="str">
        <f t="shared" si="98"/>
        <v>No</v>
      </c>
      <c r="W9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7" t="str">
        <f t="shared" ca="1" si="99"/>
        <v>Due/Open</v>
      </c>
      <c r="Y937" t="str">
        <f t="shared" si="100"/>
        <v>Open</v>
      </c>
      <c r="Z937" t="str">
        <f t="shared" si="101"/>
        <v>Mar-2025</v>
      </c>
      <c r="AA937" t="str">
        <f t="shared" si="102"/>
        <v>Q1 2025</v>
      </c>
      <c r="AB937" s="4">
        <f t="shared" ca="1" si="103"/>
        <v>464</v>
      </c>
      <c r="AC937" t="str">
        <f t="shared" si="104"/>
        <v>Medium</v>
      </c>
    </row>
    <row r="938" spans="1:29">
      <c r="A938" t="s">
        <v>3562</v>
      </c>
      <c r="B938" s="2">
        <v>45904</v>
      </c>
      <c r="C938" t="s">
        <v>1608</v>
      </c>
      <c r="D938" t="s">
        <v>1416</v>
      </c>
      <c r="E938" t="s">
        <v>3563</v>
      </c>
      <c r="F938" t="s">
        <v>3564</v>
      </c>
      <c r="G938" t="s">
        <v>69</v>
      </c>
      <c r="H938" t="s">
        <v>270</v>
      </c>
      <c r="I938" t="s">
        <v>49</v>
      </c>
      <c r="J938" t="s">
        <v>37</v>
      </c>
      <c r="K938" t="s">
        <v>100</v>
      </c>
      <c r="L938" t="s">
        <v>239</v>
      </c>
      <c r="M938" t="s">
        <v>73</v>
      </c>
      <c r="N938" t="s">
        <v>73</v>
      </c>
      <c r="O938" s="3">
        <v>40000</v>
      </c>
      <c r="P938" s="4">
        <v>80</v>
      </c>
      <c r="Q938" s="2">
        <v>45977</v>
      </c>
      <c r="R938" s="2">
        <v>46232</v>
      </c>
      <c r="S938" s="2">
        <v>45913</v>
      </c>
      <c r="T938" s="2"/>
      <c r="U938" t="str">
        <f t="shared" si="98"/>
        <v>No</v>
      </c>
      <c r="W9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8" t="str">
        <f t="shared" ca="1" si="99"/>
        <v>Due/Open</v>
      </c>
      <c r="Y938" t="str">
        <f t="shared" si="100"/>
        <v>Open</v>
      </c>
      <c r="Z938" t="str">
        <f t="shared" si="101"/>
        <v>Sep-2025</v>
      </c>
      <c r="AA938" t="str">
        <f t="shared" si="102"/>
        <v>Q3 2025</v>
      </c>
      <c r="AB938" s="4">
        <f t="shared" ca="1" si="103"/>
        <v>295</v>
      </c>
      <c r="AC938" t="str">
        <f t="shared" si="104"/>
        <v>Low</v>
      </c>
    </row>
    <row r="939" spans="1:29">
      <c r="A939" t="s">
        <v>3565</v>
      </c>
      <c r="B939" s="2">
        <v>45830</v>
      </c>
      <c r="C939" t="s">
        <v>454</v>
      </c>
      <c r="D939" t="s">
        <v>471</v>
      </c>
      <c r="E939" t="s">
        <v>3566</v>
      </c>
      <c r="F939" t="s">
        <v>3567</v>
      </c>
      <c r="G939" t="s">
        <v>79</v>
      </c>
      <c r="H939" t="s">
        <v>106</v>
      </c>
      <c r="I939" t="s">
        <v>187</v>
      </c>
      <c r="J939" t="s">
        <v>62</v>
      </c>
      <c r="K939" t="s">
        <v>194</v>
      </c>
      <c r="L939" t="s">
        <v>154</v>
      </c>
      <c r="M939" t="s">
        <v>166</v>
      </c>
      <c r="N939" t="s">
        <v>167</v>
      </c>
      <c r="O939" s="3">
        <v>325000</v>
      </c>
      <c r="P939" s="4">
        <v>60</v>
      </c>
      <c r="Q939" s="2">
        <v>45870</v>
      </c>
      <c r="R939" s="2">
        <v>46175</v>
      </c>
      <c r="S939" s="2">
        <v>45841</v>
      </c>
      <c r="T939" s="2"/>
      <c r="U939" t="str">
        <f t="shared" si="98"/>
        <v>No</v>
      </c>
      <c r="W9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39" t="str">
        <f t="shared" ca="1" si="99"/>
        <v>Overdue</v>
      </c>
      <c r="Y939" t="str">
        <f t="shared" si="100"/>
        <v>Open</v>
      </c>
      <c r="Z939" t="str">
        <f t="shared" si="101"/>
        <v>Jun-2025</v>
      </c>
      <c r="AA939" t="str">
        <f t="shared" si="102"/>
        <v>Q2 2025</v>
      </c>
      <c r="AB939" s="4">
        <f t="shared" ca="1" si="103"/>
        <v>369</v>
      </c>
      <c r="AC939" t="str">
        <f t="shared" si="104"/>
        <v>High</v>
      </c>
    </row>
    <row r="940" spans="1:29">
      <c r="A940" t="s">
        <v>3568</v>
      </c>
      <c r="B940" s="2">
        <v>45789</v>
      </c>
      <c r="C940" t="s">
        <v>3569</v>
      </c>
      <c r="D940" t="s">
        <v>170</v>
      </c>
      <c r="E940" t="s">
        <v>3570</v>
      </c>
      <c r="F940" t="s">
        <v>3571</v>
      </c>
      <c r="G940" t="s">
        <v>34</v>
      </c>
      <c r="H940" t="s">
        <v>60</v>
      </c>
      <c r="I940" t="s">
        <v>36</v>
      </c>
      <c r="J940" t="s">
        <v>124</v>
      </c>
      <c r="K940" t="s">
        <v>51</v>
      </c>
      <c r="L940" t="s">
        <v>72</v>
      </c>
      <c r="M940" t="s">
        <v>73</v>
      </c>
      <c r="N940" t="s">
        <v>73</v>
      </c>
      <c r="O940" s="3">
        <v>130000</v>
      </c>
      <c r="P940" s="4">
        <v>80</v>
      </c>
      <c r="Q940" s="2">
        <v>45874</v>
      </c>
      <c r="R940" s="2">
        <v>46215</v>
      </c>
      <c r="S940" s="2">
        <v>45791</v>
      </c>
      <c r="T940" s="2"/>
      <c r="U940" t="str">
        <f t="shared" si="98"/>
        <v>No</v>
      </c>
      <c r="W9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0" t="str">
        <f t="shared" ca="1" si="99"/>
        <v>Due/Open</v>
      </c>
      <c r="Y940" t="str">
        <f t="shared" si="100"/>
        <v>Open</v>
      </c>
      <c r="Z940" t="str">
        <f t="shared" si="101"/>
        <v>May-2025</v>
      </c>
      <c r="AA940" t="str">
        <f t="shared" si="102"/>
        <v>Q2 2025</v>
      </c>
      <c r="AB940" s="4">
        <f t="shared" ca="1" si="103"/>
        <v>410</v>
      </c>
      <c r="AC940" t="str">
        <f t="shared" si="104"/>
        <v>Medium</v>
      </c>
    </row>
    <row r="941" spans="1:29">
      <c r="A941" t="s">
        <v>3572</v>
      </c>
      <c r="B941" s="2">
        <v>45754</v>
      </c>
      <c r="C941" t="s">
        <v>1432</v>
      </c>
      <c r="D941" t="s">
        <v>1662</v>
      </c>
      <c r="E941" t="s">
        <v>3573</v>
      </c>
      <c r="F941" t="s">
        <v>3574</v>
      </c>
      <c r="G941" t="s">
        <v>69</v>
      </c>
      <c r="H941" t="s">
        <v>312</v>
      </c>
      <c r="I941" t="s">
        <v>98</v>
      </c>
      <c r="J941" t="s">
        <v>131</v>
      </c>
      <c r="K941" t="s">
        <v>71</v>
      </c>
      <c r="L941" t="s">
        <v>115</v>
      </c>
      <c r="M941" t="s">
        <v>40</v>
      </c>
      <c r="N941" t="s">
        <v>41</v>
      </c>
      <c r="O941" s="3">
        <v>190000</v>
      </c>
      <c r="P941" s="4">
        <v>100</v>
      </c>
      <c r="Q941" s="2">
        <v>45817</v>
      </c>
      <c r="R941" s="2"/>
      <c r="S941" s="2">
        <v>45757</v>
      </c>
      <c r="T941" s="2">
        <v>45817</v>
      </c>
      <c r="U941" t="str">
        <f t="shared" si="98"/>
        <v>Yes</v>
      </c>
      <c r="W9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941" t="str">
        <f t="shared" ca="1" si="99"/>
        <v>Closed</v>
      </c>
      <c r="Y941" t="str">
        <f t="shared" si="100"/>
        <v>Closed</v>
      </c>
      <c r="Z941" t="str">
        <f t="shared" si="101"/>
        <v>Apr-2025</v>
      </c>
      <c r="AA941" t="str">
        <f t="shared" si="102"/>
        <v>Q2 2025</v>
      </c>
      <c r="AB941" s="4">
        <f t="shared" ca="1" si="103"/>
        <v>445</v>
      </c>
      <c r="AC941" t="str">
        <f t="shared" si="104"/>
        <v>Medium</v>
      </c>
    </row>
    <row r="942" spans="1:29">
      <c r="A942" t="s">
        <v>3575</v>
      </c>
      <c r="B942" s="2">
        <v>46110</v>
      </c>
      <c r="C942" t="s">
        <v>3576</v>
      </c>
      <c r="D942" t="s">
        <v>394</v>
      </c>
      <c r="E942" t="s">
        <v>3577</v>
      </c>
      <c r="F942" t="s">
        <v>3578</v>
      </c>
      <c r="G942" t="s">
        <v>79</v>
      </c>
      <c r="H942" t="s">
        <v>260</v>
      </c>
      <c r="I942" t="s">
        <v>36</v>
      </c>
      <c r="J942" t="s">
        <v>99</v>
      </c>
      <c r="K942" t="s">
        <v>100</v>
      </c>
      <c r="L942" t="s">
        <v>63</v>
      </c>
      <c r="M942" t="s">
        <v>40</v>
      </c>
      <c r="N942" t="s">
        <v>41</v>
      </c>
      <c r="O942" s="3">
        <v>590000</v>
      </c>
      <c r="P942" s="4">
        <v>100</v>
      </c>
      <c r="Q942" s="2">
        <v>46188</v>
      </c>
      <c r="R942" s="2"/>
      <c r="S942" s="2">
        <v>46125</v>
      </c>
      <c r="T942" s="2">
        <v>46188</v>
      </c>
      <c r="U942" t="str">
        <f t="shared" si="98"/>
        <v>Yes</v>
      </c>
      <c r="W9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942" t="str">
        <f t="shared" ca="1" si="99"/>
        <v>Closed</v>
      </c>
      <c r="Y942" t="str">
        <f t="shared" si="100"/>
        <v>Closed</v>
      </c>
      <c r="Z942" t="str">
        <f t="shared" si="101"/>
        <v>Mar-2026</v>
      </c>
      <c r="AA942" t="str">
        <f t="shared" si="102"/>
        <v>Q1 2026</v>
      </c>
      <c r="AB942" s="4">
        <f t="shared" ca="1" si="103"/>
        <v>89</v>
      </c>
      <c r="AC942" t="str">
        <f t="shared" si="104"/>
        <v>High</v>
      </c>
    </row>
    <row r="943" spans="1:29">
      <c r="A943" t="s">
        <v>3579</v>
      </c>
      <c r="B943" s="2">
        <v>45940</v>
      </c>
      <c r="C943" t="s">
        <v>2778</v>
      </c>
      <c r="D943" t="s">
        <v>2179</v>
      </c>
      <c r="E943" t="s">
        <v>3580</v>
      </c>
      <c r="F943" t="s">
        <v>3581</v>
      </c>
      <c r="G943" t="s">
        <v>69</v>
      </c>
      <c r="H943" t="s">
        <v>285</v>
      </c>
      <c r="I943" t="s">
        <v>141</v>
      </c>
      <c r="J943" t="s">
        <v>50</v>
      </c>
      <c r="K943" t="s">
        <v>100</v>
      </c>
      <c r="L943" t="s">
        <v>142</v>
      </c>
      <c r="M943" t="s">
        <v>82</v>
      </c>
      <c r="N943" t="s">
        <v>83</v>
      </c>
      <c r="O943" s="3">
        <v>475000</v>
      </c>
      <c r="P943" s="4">
        <v>5</v>
      </c>
      <c r="Q943" s="2">
        <v>46017</v>
      </c>
      <c r="R943" s="2">
        <v>46201</v>
      </c>
      <c r="S943" s="2">
        <v>45970</v>
      </c>
      <c r="T943" s="2"/>
      <c r="U943" t="str">
        <f t="shared" si="98"/>
        <v>No</v>
      </c>
      <c r="W9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3" t="str">
        <f t="shared" ca="1" si="99"/>
        <v>Due/Open</v>
      </c>
      <c r="Y943" t="str">
        <f t="shared" si="100"/>
        <v>Open</v>
      </c>
      <c r="Z943" t="str">
        <f t="shared" si="101"/>
        <v>Oct-2025</v>
      </c>
      <c r="AA943" t="str">
        <f t="shared" si="102"/>
        <v>Q4 2025</v>
      </c>
      <c r="AB943" s="4">
        <f t="shared" ca="1" si="103"/>
        <v>259</v>
      </c>
      <c r="AC943" t="str">
        <f t="shared" si="104"/>
        <v>High</v>
      </c>
    </row>
    <row r="944" spans="1:29">
      <c r="A944" t="s">
        <v>3582</v>
      </c>
      <c r="B944" s="2">
        <v>45724</v>
      </c>
      <c r="C944" t="s">
        <v>495</v>
      </c>
      <c r="D944" t="s">
        <v>1118</v>
      </c>
      <c r="E944" t="s">
        <v>3583</v>
      </c>
      <c r="F944" t="s">
        <v>3584</v>
      </c>
      <c r="G944" t="s">
        <v>34</v>
      </c>
      <c r="H944" t="s">
        <v>35</v>
      </c>
      <c r="I944" t="s">
        <v>49</v>
      </c>
      <c r="J944" t="s">
        <v>99</v>
      </c>
      <c r="K944" t="s">
        <v>194</v>
      </c>
      <c r="L944" t="s">
        <v>239</v>
      </c>
      <c r="M944" t="s">
        <v>166</v>
      </c>
      <c r="N944" t="s">
        <v>167</v>
      </c>
      <c r="O944" s="3">
        <v>150000</v>
      </c>
      <c r="P944" s="4">
        <v>70</v>
      </c>
      <c r="Q944" s="2">
        <v>45751</v>
      </c>
      <c r="R944" s="2">
        <v>46194</v>
      </c>
      <c r="S944" s="2">
        <v>45745</v>
      </c>
      <c r="T944" s="2"/>
      <c r="U944" t="str">
        <f t="shared" si="98"/>
        <v>No</v>
      </c>
      <c r="W9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4" t="str">
        <f t="shared" ca="1" si="99"/>
        <v>Overdue</v>
      </c>
      <c r="Y944" t="str">
        <f t="shared" si="100"/>
        <v>Open</v>
      </c>
      <c r="Z944" t="str">
        <f t="shared" si="101"/>
        <v>Mar-2025</v>
      </c>
      <c r="AA944" t="str">
        <f t="shared" si="102"/>
        <v>Q1 2025</v>
      </c>
      <c r="AB944" s="4">
        <f t="shared" ca="1" si="103"/>
        <v>475</v>
      </c>
      <c r="AC944" t="str">
        <f t="shared" si="104"/>
        <v>Medium</v>
      </c>
    </row>
    <row r="945" spans="1:29">
      <c r="A945" t="s">
        <v>3585</v>
      </c>
      <c r="B945" s="2">
        <v>46101</v>
      </c>
      <c r="C945" t="s">
        <v>219</v>
      </c>
      <c r="D945" t="s">
        <v>590</v>
      </c>
      <c r="E945" t="s">
        <v>3586</v>
      </c>
      <c r="F945" t="s">
        <v>3587</v>
      </c>
      <c r="G945" t="s">
        <v>179</v>
      </c>
      <c r="H945" t="s">
        <v>318</v>
      </c>
      <c r="I945" t="s">
        <v>141</v>
      </c>
      <c r="J945" t="s">
        <v>50</v>
      </c>
      <c r="K945" t="s">
        <v>194</v>
      </c>
      <c r="L945" t="s">
        <v>81</v>
      </c>
      <c r="M945" t="s">
        <v>166</v>
      </c>
      <c r="N945" t="s">
        <v>167</v>
      </c>
      <c r="O945" s="3">
        <v>185000</v>
      </c>
      <c r="P945" s="4">
        <v>70</v>
      </c>
      <c r="Q945" s="2">
        <v>46157</v>
      </c>
      <c r="R945" s="2">
        <v>46170</v>
      </c>
      <c r="S945" s="2">
        <v>46124</v>
      </c>
      <c r="T945" s="2"/>
      <c r="U945" t="str">
        <f t="shared" si="98"/>
        <v>No</v>
      </c>
      <c r="W9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5" t="str">
        <f t="shared" ca="1" si="99"/>
        <v>Overdue</v>
      </c>
      <c r="Y945" t="str">
        <f t="shared" si="100"/>
        <v>Open</v>
      </c>
      <c r="Z945" t="str">
        <f t="shared" si="101"/>
        <v>Mar-2026</v>
      </c>
      <c r="AA945" t="str">
        <f t="shared" si="102"/>
        <v>Q1 2026</v>
      </c>
      <c r="AB945" s="4">
        <f t="shared" ca="1" si="103"/>
        <v>98</v>
      </c>
      <c r="AC945" t="str">
        <f t="shared" si="104"/>
        <v>Medium</v>
      </c>
    </row>
    <row r="946" spans="1:29">
      <c r="A946" t="s">
        <v>3588</v>
      </c>
      <c r="B946" s="2">
        <v>46006</v>
      </c>
      <c r="C946" t="s">
        <v>2585</v>
      </c>
      <c r="D946" t="s">
        <v>327</v>
      </c>
      <c r="E946" t="s">
        <v>3589</v>
      </c>
      <c r="F946" t="s">
        <v>3590</v>
      </c>
      <c r="G946" t="s">
        <v>34</v>
      </c>
      <c r="H946" t="s">
        <v>173</v>
      </c>
      <c r="I946" t="s">
        <v>36</v>
      </c>
      <c r="J946" t="s">
        <v>37</v>
      </c>
      <c r="K946" t="s">
        <v>38</v>
      </c>
      <c r="L946" t="s">
        <v>72</v>
      </c>
      <c r="M946" t="s">
        <v>166</v>
      </c>
      <c r="N946" t="s">
        <v>167</v>
      </c>
      <c r="O946" s="3">
        <v>65000</v>
      </c>
      <c r="P946" s="4">
        <v>70</v>
      </c>
      <c r="Q946" s="2">
        <v>46075</v>
      </c>
      <c r="R946" s="2">
        <v>46223</v>
      </c>
      <c r="S946" s="2">
        <v>46009</v>
      </c>
      <c r="T946" s="2"/>
      <c r="U946" t="str">
        <f t="shared" si="98"/>
        <v>No</v>
      </c>
      <c r="W9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6" t="str">
        <f t="shared" ca="1" si="99"/>
        <v>Due/Open</v>
      </c>
      <c r="Y946" t="str">
        <f t="shared" si="100"/>
        <v>Open</v>
      </c>
      <c r="Z946" t="str">
        <f t="shared" si="101"/>
        <v>Dec-2025</v>
      </c>
      <c r="AA946" t="str">
        <f t="shared" si="102"/>
        <v>Q4 2025</v>
      </c>
      <c r="AB946" s="4">
        <f t="shared" ca="1" si="103"/>
        <v>193</v>
      </c>
      <c r="AC946" t="str">
        <f t="shared" si="104"/>
        <v>Low</v>
      </c>
    </row>
    <row r="947" spans="1:29">
      <c r="A947" t="s">
        <v>3591</v>
      </c>
      <c r="B947" s="2">
        <v>45660</v>
      </c>
      <c r="C947" t="s">
        <v>1713</v>
      </c>
      <c r="D947" t="s">
        <v>366</v>
      </c>
      <c r="E947" t="s">
        <v>3592</v>
      </c>
      <c r="F947" t="s">
        <v>3593</v>
      </c>
      <c r="G947" t="s">
        <v>34</v>
      </c>
      <c r="H947" t="s">
        <v>60</v>
      </c>
      <c r="I947" t="s">
        <v>148</v>
      </c>
      <c r="J947" t="s">
        <v>124</v>
      </c>
      <c r="K947" t="s">
        <v>51</v>
      </c>
      <c r="L947" t="s">
        <v>154</v>
      </c>
      <c r="M947" t="s">
        <v>53</v>
      </c>
      <c r="N947" t="s">
        <v>54</v>
      </c>
      <c r="O947" s="3">
        <v>200000</v>
      </c>
      <c r="P947" s="4">
        <v>35</v>
      </c>
      <c r="Q947" s="2">
        <v>45747</v>
      </c>
      <c r="R947" s="2">
        <v>46239</v>
      </c>
      <c r="S947" s="2">
        <v>45679</v>
      </c>
      <c r="T947" s="2"/>
      <c r="U947" t="str">
        <f t="shared" si="98"/>
        <v>No</v>
      </c>
      <c r="W9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7" t="str">
        <f t="shared" ca="1" si="99"/>
        <v>Due/Open</v>
      </c>
      <c r="Y947" t="str">
        <f t="shared" si="100"/>
        <v>Open</v>
      </c>
      <c r="Z947" t="str">
        <f t="shared" si="101"/>
        <v>Jan-2025</v>
      </c>
      <c r="AA947" t="str">
        <f t="shared" si="102"/>
        <v>Q1 2025</v>
      </c>
      <c r="AB947" s="4">
        <f t="shared" ca="1" si="103"/>
        <v>539</v>
      </c>
      <c r="AC947" t="str">
        <f t="shared" si="104"/>
        <v>Medium</v>
      </c>
    </row>
    <row r="948" spans="1:29">
      <c r="A948" t="s">
        <v>3594</v>
      </c>
      <c r="B948" s="2">
        <v>45948</v>
      </c>
      <c r="C948" t="s">
        <v>1630</v>
      </c>
      <c r="D948" t="s">
        <v>86</v>
      </c>
      <c r="E948" t="s">
        <v>3595</v>
      </c>
      <c r="F948" t="s">
        <v>3596</v>
      </c>
      <c r="G948" t="s">
        <v>79</v>
      </c>
      <c r="H948" t="s">
        <v>97</v>
      </c>
      <c r="I948" t="s">
        <v>98</v>
      </c>
      <c r="J948" t="s">
        <v>62</v>
      </c>
      <c r="K948" t="s">
        <v>194</v>
      </c>
      <c r="L948" t="s">
        <v>63</v>
      </c>
      <c r="M948" t="s">
        <v>116</v>
      </c>
      <c r="N948" t="s">
        <v>54</v>
      </c>
      <c r="O948" s="3">
        <v>180000</v>
      </c>
      <c r="P948" s="4">
        <v>25</v>
      </c>
      <c r="Q948" s="2">
        <v>45991</v>
      </c>
      <c r="R948" s="2">
        <v>46229</v>
      </c>
      <c r="S948" s="2">
        <v>45963</v>
      </c>
      <c r="T948" s="2"/>
      <c r="U948" t="str">
        <f t="shared" si="98"/>
        <v>No</v>
      </c>
      <c r="W9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8" t="str">
        <f t="shared" ca="1" si="99"/>
        <v>Due/Open</v>
      </c>
      <c r="Y948" t="str">
        <f t="shared" si="100"/>
        <v>Open</v>
      </c>
      <c r="Z948" t="str">
        <f t="shared" si="101"/>
        <v>Oct-2025</v>
      </c>
      <c r="AA948" t="str">
        <f t="shared" si="102"/>
        <v>Q4 2025</v>
      </c>
      <c r="AB948" s="4">
        <f t="shared" ca="1" si="103"/>
        <v>251</v>
      </c>
      <c r="AC948" t="str">
        <f t="shared" si="104"/>
        <v>Medium</v>
      </c>
    </row>
    <row r="949" spans="1:29">
      <c r="A949" t="s">
        <v>3597</v>
      </c>
      <c r="B949" s="2">
        <v>45953</v>
      </c>
      <c r="C949" t="s">
        <v>3252</v>
      </c>
      <c r="D949" t="s">
        <v>1132</v>
      </c>
      <c r="E949" t="s">
        <v>3598</v>
      </c>
      <c r="F949" t="s">
        <v>3599</v>
      </c>
      <c r="G949" t="s">
        <v>47</v>
      </c>
      <c r="H949" t="s">
        <v>89</v>
      </c>
      <c r="I949" t="s">
        <v>123</v>
      </c>
      <c r="J949" t="s">
        <v>37</v>
      </c>
      <c r="K949" t="s">
        <v>194</v>
      </c>
      <c r="L949" t="s">
        <v>142</v>
      </c>
      <c r="M949" t="s">
        <v>53</v>
      </c>
      <c r="N949" t="s">
        <v>54</v>
      </c>
      <c r="O949" s="3">
        <v>95000</v>
      </c>
      <c r="P949" s="4">
        <v>35</v>
      </c>
      <c r="Q949" s="2">
        <v>46031</v>
      </c>
      <c r="R949" s="2">
        <v>46177</v>
      </c>
      <c r="S949" s="2">
        <v>45972</v>
      </c>
      <c r="T949" s="2"/>
      <c r="U949" t="str">
        <f t="shared" si="98"/>
        <v>No</v>
      </c>
      <c r="W9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49" t="str">
        <f t="shared" ca="1" si="99"/>
        <v>Overdue</v>
      </c>
      <c r="Y949" t="str">
        <f t="shared" si="100"/>
        <v>Open</v>
      </c>
      <c r="Z949" t="str">
        <f t="shared" si="101"/>
        <v>Oct-2025</v>
      </c>
      <c r="AA949" t="str">
        <f t="shared" si="102"/>
        <v>Q4 2025</v>
      </c>
      <c r="AB949" s="4">
        <f t="shared" ca="1" si="103"/>
        <v>246</v>
      </c>
      <c r="AC949" t="str">
        <f t="shared" si="104"/>
        <v>Low</v>
      </c>
    </row>
    <row r="950" spans="1:29">
      <c r="A950" t="s">
        <v>3600</v>
      </c>
      <c r="B950" s="2">
        <v>45658</v>
      </c>
      <c r="C950" t="s">
        <v>1374</v>
      </c>
      <c r="D950" t="s">
        <v>1269</v>
      </c>
      <c r="E950" t="s">
        <v>3601</v>
      </c>
      <c r="F950" t="s">
        <v>3602</v>
      </c>
      <c r="G950" t="s">
        <v>179</v>
      </c>
      <c r="H950" t="s">
        <v>318</v>
      </c>
      <c r="I950" t="s">
        <v>148</v>
      </c>
      <c r="J950" t="s">
        <v>131</v>
      </c>
      <c r="K950" t="s">
        <v>71</v>
      </c>
      <c r="L950" t="s">
        <v>142</v>
      </c>
      <c r="M950" t="s">
        <v>82</v>
      </c>
      <c r="N950" t="s">
        <v>83</v>
      </c>
      <c r="O950" s="3">
        <v>270000</v>
      </c>
      <c r="P950" s="4">
        <v>5</v>
      </c>
      <c r="Q950" s="2">
        <v>45736</v>
      </c>
      <c r="R950" s="2">
        <v>46178</v>
      </c>
      <c r="S950" s="2">
        <v>45685</v>
      </c>
      <c r="T950" s="2"/>
      <c r="U950" t="str">
        <f t="shared" si="98"/>
        <v>No</v>
      </c>
      <c r="W9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0" t="str">
        <f t="shared" ca="1" si="99"/>
        <v>Overdue</v>
      </c>
      <c r="Y950" t="str">
        <f t="shared" si="100"/>
        <v>Open</v>
      </c>
      <c r="Z950" t="str">
        <f t="shared" si="101"/>
        <v>Jan-2025</v>
      </c>
      <c r="AA950" t="str">
        <f t="shared" si="102"/>
        <v>Q1 2025</v>
      </c>
      <c r="AB950" s="4">
        <f t="shared" ca="1" si="103"/>
        <v>541</v>
      </c>
      <c r="AC950" t="str">
        <f t="shared" si="104"/>
        <v>Medium</v>
      </c>
    </row>
    <row r="951" spans="1:29">
      <c r="A951" t="s">
        <v>3603</v>
      </c>
      <c r="B951" s="2">
        <v>45749</v>
      </c>
      <c r="C951" t="s">
        <v>127</v>
      </c>
      <c r="D951" t="s">
        <v>1722</v>
      </c>
      <c r="E951" t="s">
        <v>3604</v>
      </c>
      <c r="F951" t="s">
        <v>3605</v>
      </c>
      <c r="G951" t="s">
        <v>47</v>
      </c>
      <c r="H951" t="s">
        <v>113</v>
      </c>
      <c r="I951" t="s">
        <v>141</v>
      </c>
      <c r="J951" t="s">
        <v>62</v>
      </c>
      <c r="K951" t="s">
        <v>114</v>
      </c>
      <c r="L951" t="s">
        <v>81</v>
      </c>
      <c r="M951" t="s">
        <v>90</v>
      </c>
      <c r="N951" t="s">
        <v>91</v>
      </c>
      <c r="O951" s="3">
        <v>110000</v>
      </c>
      <c r="P951" s="4">
        <v>50</v>
      </c>
      <c r="Q951" s="2">
        <v>45802</v>
      </c>
      <c r="R951" s="2">
        <v>46215</v>
      </c>
      <c r="S951" s="2">
        <v>45769</v>
      </c>
      <c r="T951" s="2"/>
      <c r="U951" t="str">
        <f t="shared" si="98"/>
        <v>No</v>
      </c>
      <c r="W9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1" t="str">
        <f t="shared" ca="1" si="99"/>
        <v>Due/Open</v>
      </c>
      <c r="Y951" t="str">
        <f t="shared" si="100"/>
        <v>Open</v>
      </c>
      <c r="Z951" t="str">
        <f t="shared" si="101"/>
        <v>Apr-2025</v>
      </c>
      <c r="AA951" t="str">
        <f t="shared" si="102"/>
        <v>Q2 2025</v>
      </c>
      <c r="AB951" s="4">
        <f t="shared" ca="1" si="103"/>
        <v>450</v>
      </c>
      <c r="AC951" t="str">
        <f t="shared" si="104"/>
        <v>Low</v>
      </c>
    </row>
    <row r="952" spans="1:29">
      <c r="A952" t="s">
        <v>3606</v>
      </c>
      <c r="B952" s="2">
        <v>45803</v>
      </c>
      <c r="C952" t="s">
        <v>1713</v>
      </c>
      <c r="D952" t="s">
        <v>715</v>
      </c>
      <c r="E952" t="s">
        <v>3607</v>
      </c>
      <c r="F952" t="s">
        <v>3608</v>
      </c>
      <c r="G952" t="s">
        <v>79</v>
      </c>
      <c r="H952" t="s">
        <v>217</v>
      </c>
      <c r="I952" t="s">
        <v>61</v>
      </c>
      <c r="J952" t="s">
        <v>124</v>
      </c>
      <c r="K952" t="s">
        <v>51</v>
      </c>
      <c r="L952" t="s">
        <v>107</v>
      </c>
      <c r="M952" t="s">
        <v>82</v>
      </c>
      <c r="N952" t="s">
        <v>83</v>
      </c>
      <c r="O952" s="3">
        <v>325000</v>
      </c>
      <c r="P952" s="4">
        <v>5</v>
      </c>
      <c r="Q952" s="2">
        <v>45834</v>
      </c>
      <c r="R952" s="2">
        <v>46172</v>
      </c>
      <c r="S952" s="2">
        <v>45804</v>
      </c>
      <c r="T952" s="2"/>
      <c r="U952" t="str">
        <f t="shared" si="98"/>
        <v>No</v>
      </c>
      <c r="W9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2" t="str">
        <f t="shared" ca="1" si="99"/>
        <v>Overdue</v>
      </c>
      <c r="Y952" t="str">
        <f t="shared" si="100"/>
        <v>Open</v>
      </c>
      <c r="Z952" t="str">
        <f t="shared" si="101"/>
        <v>May-2025</v>
      </c>
      <c r="AA952" t="str">
        <f t="shared" si="102"/>
        <v>Q2 2025</v>
      </c>
      <c r="AB952" s="4">
        <f t="shared" ca="1" si="103"/>
        <v>396</v>
      </c>
      <c r="AC952" t="str">
        <f t="shared" si="104"/>
        <v>High</v>
      </c>
    </row>
    <row r="953" spans="1:29">
      <c r="A953" t="s">
        <v>3609</v>
      </c>
      <c r="B953" s="2">
        <v>45949</v>
      </c>
      <c r="C953" t="s">
        <v>182</v>
      </c>
      <c r="D953" t="s">
        <v>2704</v>
      </c>
      <c r="E953" t="s">
        <v>3610</v>
      </c>
      <c r="F953" t="s">
        <v>3611</v>
      </c>
      <c r="G953" t="s">
        <v>79</v>
      </c>
      <c r="H953" t="s">
        <v>80</v>
      </c>
      <c r="I953" t="s">
        <v>187</v>
      </c>
      <c r="J953" t="s">
        <v>131</v>
      </c>
      <c r="K953" t="s">
        <v>100</v>
      </c>
      <c r="L953" t="s">
        <v>72</v>
      </c>
      <c r="M953" t="s">
        <v>133</v>
      </c>
      <c r="N953" t="s">
        <v>134</v>
      </c>
      <c r="O953" s="3">
        <v>225000</v>
      </c>
      <c r="P953" s="4">
        <v>0</v>
      </c>
      <c r="Q953" s="2">
        <v>45961</v>
      </c>
      <c r="R953" s="2"/>
      <c r="S953" s="2">
        <v>45962</v>
      </c>
      <c r="T953" s="2">
        <v>45961</v>
      </c>
      <c r="U953" t="str">
        <f t="shared" si="98"/>
        <v>No</v>
      </c>
      <c r="V953" t="s">
        <v>452</v>
      </c>
      <c r="W95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953" t="str">
        <f t="shared" ca="1" si="99"/>
        <v>Closed</v>
      </c>
      <c r="Y953" t="str">
        <f t="shared" si="100"/>
        <v>Closed</v>
      </c>
      <c r="Z953" t="str">
        <f t="shared" si="101"/>
        <v>Oct-2025</v>
      </c>
      <c r="AA953" t="str">
        <f t="shared" si="102"/>
        <v>Q4 2025</v>
      </c>
      <c r="AB953" s="4">
        <f t="shared" ca="1" si="103"/>
        <v>250</v>
      </c>
      <c r="AC953" t="str">
        <f t="shared" si="104"/>
        <v>Medium</v>
      </c>
    </row>
    <row r="954" spans="1:29">
      <c r="A954" t="s">
        <v>3612</v>
      </c>
      <c r="B954" s="2">
        <v>46040</v>
      </c>
      <c r="C954" t="s">
        <v>2052</v>
      </c>
      <c r="D954" t="s">
        <v>904</v>
      </c>
      <c r="E954" t="s">
        <v>3613</v>
      </c>
      <c r="F954" t="s">
        <v>3614</v>
      </c>
      <c r="G954" t="s">
        <v>79</v>
      </c>
      <c r="H954" t="s">
        <v>217</v>
      </c>
      <c r="I954" t="s">
        <v>36</v>
      </c>
      <c r="J954" t="s">
        <v>62</v>
      </c>
      <c r="K954" t="s">
        <v>71</v>
      </c>
      <c r="L954" t="s">
        <v>63</v>
      </c>
      <c r="M954" t="s">
        <v>53</v>
      </c>
      <c r="N954" t="s">
        <v>54</v>
      </c>
      <c r="O954" s="3">
        <v>255000</v>
      </c>
      <c r="P954" s="4">
        <v>30</v>
      </c>
      <c r="Q954" s="2">
        <v>46064</v>
      </c>
      <c r="R954" s="2">
        <v>46235</v>
      </c>
      <c r="S954" s="2">
        <v>46057</v>
      </c>
      <c r="T954" s="2"/>
      <c r="U954" t="str">
        <f t="shared" si="98"/>
        <v>No</v>
      </c>
      <c r="W9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4" t="str">
        <f t="shared" ca="1" si="99"/>
        <v>Due/Open</v>
      </c>
      <c r="Y954" t="str">
        <f t="shared" si="100"/>
        <v>Open</v>
      </c>
      <c r="Z954" t="str">
        <f t="shared" si="101"/>
        <v>Jan-2026</v>
      </c>
      <c r="AA954" t="str">
        <f t="shared" si="102"/>
        <v>Q1 2026</v>
      </c>
      <c r="AB954" s="4">
        <f t="shared" ca="1" si="103"/>
        <v>159</v>
      </c>
      <c r="AC954" t="str">
        <f t="shared" si="104"/>
        <v>Medium</v>
      </c>
    </row>
    <row r="955" spans="1:29">
      <c r="A955" t="s">
        <v>3615</v>
      </c>
      <c r="B955" s="2">
        <v>46150</v>
      </c>
      <c r="C955" t="s">
        <v>3171</v>
      </c>
      <c r="D955" t="s">
        <v>322</v>
      </c>
      <c r="E955" t="s">
        <v>3616</v>
      </c>
      <c r="F955" t="s">
        <v>3617</v>
      </c>
      <c r="G955" t="s">
        <v>34</v>
      </c>
      <c r="H955" t="s">
        <v>160</v>
      </c>
      <c r="I955" t="s">
        <v>141</v>
      </c>
      <c r="J955" t="s">
        <v>37</v>
      </c>
      <c r="K955" t="s">
        <v>194</v>
      </c>
      <c r="L955" t="s">
        <v>125</v>
      </c>
      <c r="M955" t="s">
        <v>73</v>
      </c>
      <c r="N955" t="s">
        <v>73</v>
      </c>
      <c r="O955" s="3">
        <v>155000</v>
      </c>
      <c r="P955" s="4">
        <v>85</v>
      </c>
      <c r="Q955" s="2">
        <v>46205</v>
      </c>
      <c r="R955" s="2">
        <v>46209</v>
      </c>
      <c r="S955" s="2">
        <v>46164</v>
      </c>
      <c r="T955" s="2"/>
      <c r="U955" t="str">
        <f t="shared" si="98"/>
        <v>No</v>
      </c>
      <c r="W9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5" t="str">
        <f t="shared" ca="1" si="99"/>
        <v>Due/Open</v>
      </c>
      <c r="Y955" t="str">
        <f t="shared" si="100"/>
        <v>Open</v>
      </c>
      <c r="Z955" t="str">
        <f t="shared" si="101"/>
        <v>May-2026</v>
      </c>
      <c r="AA955" t="str">
        <f t="shared" si="102"/>
        <v>Q2 2026</v>
      </c>
      <c r="AB955" s="4">
        <f t="shared" ca="1" si="103"/>
        <v>49</v>
      </c>
      <c r="AC955" t="str">
        <f t="shared" si="104"/>
        <v>Medium</v>
      </c>
    </row>
    <row r="956" spans="1:29">
      <c r="A956" t="s">
        <v>3618</v>
      </c>
      <c r="B956" s="2">
        <v>45915</v>
      </c>
      <c r="C956" t="s">
        <v>1857</v>
      </c>
      <c r="D956" t="s">
        <v>76</v>
      </c>
      <c r="E956" t="s">
        <v>3619</v>
      </c>
      <c r="F956" t="s">
        <v>3620</v>
      </c>
      <c r="G956" t="s">
        <v>34</v>
      </c>
      <c r="H956" t="s">
        <v>160</v>
      </c>
      <c r="I956" t="s">
        <v>148</v>
      </c>
      <c r="J956" t="s">
        <v>124</v>
      </c>
      <c r="K956" t="s">
        <v>100</v>
      </c>
      <c r="L956" t="s">
        <v>63</v>
      </c>
      <c r="M956" t="s">
        <v>40</v>
      </c>
      <c r="N956" t="s">
        <v>41</v>
      </c>
      <c r="O956" s="3">
        <v>285000</v>
      </c>
      <c r="P956" s="4">
        <v>100</v>
      </c>
      <c r="Q956" s="2">
        <v>45930</v>
      </c>
      <c r="R956" s="2"/>
      <c r="S956" s="2">
        <v>45925</v>
      </c>
      <c r="T956" s="2">
        <v>45930</v>
      </c>
      <c r="U956" t="str">
        <f t="shared" si="98"/>
        <v>Yes</v>
      </c>
      <c r="W95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15</v>
      </c>
      <c r="X956" t="str">
        <f t="shared" ca="1" si="99"/>
        <v>Closed</v>
      </c>
      <c r="Y956" t="str">
        <f t="shared" si="100"/>
        <v>Closed</v>
      </c>
      <c r="Z956" t="str">
        <f t="shared" si="101"/>
        <v>Sep-2025</v>
      </c>
      <c r="AA956" t="str">
        <f t="shared" si="102"/>
        <v>Q3 2025</v>
      </c>
      <c r="AB956" s="4">
        <f t="shared" ca="1" si="103"/>
        <v>284</v>
      </c>
      <c r="AC956" t="str">
        <f t="shared" si="104"/>
        <v>Medium</v>
      </c>
    </row>
    <row r="957" spans="1:29">
      <c r="A957" t="s">
        <v>3621</v>
      </c>
      <c r="B957" s="2">
        <v>45888</v>
      </c>
      <c r="C957" t="s">
        <v>3622</v>
      </c>
      <c r="D957" t="s">
        <v>1254</v>
      </c>
      <c r="E957" t="s">
        <v>3623</v>
      </c>
      <c r="F957" t="s">
        <v>3624</v>
      </c>
      <c r="G957" t="s">
        <v>69</v>
      </c>
      <c r="H957" t="s">
        <v>285</v>
      </c>
      <c r="I957" t="s">
        <v>148</v>
      </c>
      <c r="J957" t="s">
        <v>62</v>
      </c>
      <c r="K957" t="s">
        <v>100</v>
      </c>
      <c r="L957" t="s">
        <v>142</v>
      </c>
      <c r="M957" t="s">
        <v>53</v>
      </c>
      <c r="N957" t="s">
        <v>54</v>
      </c>
      <c r="O957" s="3">
        <v>120000</v>
      </c>
      <c r="P957" s="4">
        <v>30</v>
      </c>
      <c r="Q957" s="2">
        <v>45957</v>
      </c>
      <c r="R957" s="2">
        <v>46211</v>
      </c>
      <c r="S957" s="2">
        <v>45915</v>
      </c>
      <c r="T957" s="2"/>
      <c r="U957" t="str">
        <f t="shared" si="98"/>
        <v>No</v>
      </c>
      <c r="W9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7" t="str">
        <f t="shared" ca="1" si="99"/>
        <v>Due/Open</v>
      </c>
      <c r="Y957" t="str">
        <f t="shared" si="100"/>
        <v>Open</v>
      </c>
      <c r="Z957" t="str">
        <f t="shared" si="101"/>
        <v>Aug-2025</v>
      </c>
      <c r="AA957" t="str">
        <f t="shared" si="102"/>
        <v>Q3 2025</v>
      </c>
      <c r="AB957" s="4">
        <f t="shared" ca="1" si="103"/>
        <v>311</v>
      </c>
      <c r="AC957" t="str">
        <f t="shared" si="104"/>
        <v>Medium</v>
      </c>
    </row>
    <row r="958" spans="1:29">
      <c r="A958" t="s">
        <v>3625</v>
      </c>
      <c r="B958" s="2">
        <v>45993</v>
      </c>
      <c r="C958" t="s">
        <v>3626</v>
      </c>
      <c r="D958" t="s">
        <v>926</v>
      </c>
      <c r="E958" t="s">
        <v>3627</v>
      </c>
      <c r="F958" t="s">
        <v>3628</v>
      </c>
      <c r="G958" t="s">
        <v>69</v>
      </c>
      <c r="H958" t="s">
        <v>200</v>
      </c>
      <c r="I958" t="s">
        <v>36</v>
      </c>
      <c r="J958" t="s">
        <v>37</v>
      </c>
      <c r="K958" t="s">
        <v>38</v>
      </c>
      <c r="L958" t="s">
        <v>115</v>
      </c>
      <c r="M958" t="s">
        <v>73</v>
      </c>
      <c r="N958" t="s">
        <v>73</v>
      </c>
      <c r="O958" s="3">
        <v>30000</v>
      </c>
      <c r="P958" s="4">
        <v>80</v>
      </c>
      <c r="Q958" s="2">
        <v>46079</v>
      </c>
      <c r="R958" s="2">
        <v>46226</v>
      </c>
      <c r="S958" s="2">
        <v>46009</v>
      </c>
      <c r="T958" s="2"/>
      <c r="U958" t="str">
        <f t="shared" si="98"/>
        <v>No</v>
      </c>
      <c r="W9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58" t="str">
        <f t="shared" ca="1" si="99"/>
        <v>Due/Open</v>
      </c>
      <c r="Y958" t="str">
        <f t="shared" si="100"/>
        <v>Open</v>
      </c>
      <c r="Z958" t="str">
        <f t="shared" si="101"/>
        <v>Dec-2025</v>
      </c>
      <c r="AA958" t="str">
        <f t="shared" si="102"/>
        <v>Q4 2025</v>
      </c>
      <c r="AB958" s="4">
        <f t="shared" ca="1" si="103"/>
        <v>206</v>
      </c>
      <c r="AC958" t="str">
        <f t="shared" si="104"/>
        <v>Low</v>
      </c>
    </row>
    <row r="959" spans="1:29">
      <c r="A959" t="s">
        <v>3629</v>
      </c>
      <c r="B959" s="2">
        <v>45695</v>
      </c>
      <c r="C959" t="s">
        <v>1700</v>
      </c>
      <c r="D959" t="s">
        <v>322</v>
      </c>
      <c r="E959" t="s">
        <v>3630</v>
      </c>
      <c r="F959" t="s">
        <v>3631</v>
      </c>
      <c r="G959" t="s">
        <v>47</v>
      </c>
      <c r="H959" t="s">
        <v>122</v>
      </c>
      <c r="I959" t="s">
        <v>141</v>
      </c>
      <c r="J959" t="s">
        <v>131</v>
      </c>
      <c r="K959" t="s">
        <v>194</v>
      </c>
      <c r="L959" t="s">
        <v>125</v>
      </c>
      <c r="M959" t="s">
        <v>133</v>
      </c>
      <c r="N959" t="s">
        <v>134</v>
      </c>
      <c r="O959" s="3">
        <v>300000</v>
      </c>
      <c r="P959" s="4">
        <v>0</v>
      </c>
      <c r="Q959" s="2">
        <v>45768</v>
      </c>
      <c r="R959" s="2"/>
      <c r="S959" s="2">
        <v>45709</v>
      </c>
      <c r="T959" s="2">
        <v>45768</v>
      </c>
      <c r="U959" t="str">
        <f t="shared" si="98"/>
        <v>No</v>
      </c>
      <c r="V959" t="s">
        <v>319</v>
      </c>
      <c r="W9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73</v>
      </c>
      <c r="X959" t="str">
        <f t="shared" ca="1" si="99"/>
        <v>Closed</v>
      </c>
      <c r="Y959" t="str">
        <f t="shared" si="100"/>
        <v>Closed</v>
      </c>
      <c r="Z959" t="str">
        <f t="shared" si="101"/>
        <v>Feb-2025</v>
      </c>
      <c r="AA959" t="str">
        <f t="shared" si="102"/>
        <v>Q1 2025</v>
      </c>
      <c r="AB959" s="4">
        <f t="shared" ca="1" si="103"/>
        <v>504</v>
      </c>
      <c r="AC959" t="str">
        <f t="shared" si="104"/>
        <v>High</v>
      </c>
    </row>
    <row r="960" spans="1:29">
      <c r="A960" t="s">
        <v>3632</v>
      </c>
      <c r="B960" s="2">
        <v>45696</v>
      </c>
      <c r="C960" t="s">
        <v>3178</v>
      </c>
      <c r="D960" t="s">
        <v>586</v>
      </c>
      <c r="E960" t="s">
        <v>3633</v>
      </c>
      <c r="F960" t="s">
        <v>3634</v>
      </c>
      <c r="G960" t="s">
        <v>34</v>
      </c>
      <c r="H960" t="s">
        <v>160</v>
      </c>
      <c r="I960" t="s">
        <v>49</v>
      </c>
      <c r="J960" t="s">
        <v>131</v>
      </c>
      <c r="K960" t="s">
        <v>51</v>
      </c>
      <c r="L960" t="s">
        <v>142</v>
      </c>
      <c r="M960" t="s">
        <v>166</v>
      </c>
      <c r="N960" t="s">
        <v>167</v>
      </c>
      <c r="O960" s="3">
        <v>155000</v>
      </c>
      <c r="P960" s="4">
        <v>70</v>
      </c>
      <c r="Q960" s="2">
        <v>45731</v>
      </c>
      <c r="R960" s="2">
        <v>46225</v>
      </c>
      <c r="S960" s="2">
        <v>45700</v>
      </c>
      <c r="T960" s="2"/>
      <c r="U960" t="str">
        <f t="shared" si="98"/>
        <v>No</v>
      </c>
      <c r="W9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0" t="str">
        <f t="shared" ca="1" si="99"/>
        <v>Due/Open</v>
      </c>
      <c r="Y960" t="str">
        <f t="shared" si="100"/>
        <v>Open</v>
      </c>
      <c r="Z960" t="str">
        <f t="shared" si="101"/>
        <v>Feb-2025</v>
      </c>
      <c r="AA960" t="str">
        <f t="shared" si="102"/>
        <v>Q1 2025</v>
      </c>
      <c r="AB960" s="4">
        <f t="shared" ca="1" si="103"/>
        <v>503</v>
      </c>
      <c r="AC960" t="str">
        <f t="shared" si="104"/>
        <v>Medium</v>
      </c>
    </row>
    <row r="961" spans="1:29">
      <c r="A961" t="s">
        <v>3635</v>
      </c>
      <c r="B961" s="2">
        <v>46151</v>
      </c>
      <c r="C961" t="s">
        <v>3636</v>
      </c>
      <c r="D961" t="s">
        <v>1722</v>
      </c>
      <c r="E961" t="s">
        <v>3637</v>
      </c>
      <c r="F961" t="s">
        <v>3638</v>
      </c>
      <c r="G961" t="s">
        <v>179</v>
      </c>
      <c r="H961" t="s">
        <v>186</v>
      </c>
      <c r="I961" t="s">
        <v>187</v>
      </c>
      <c r="J961" t="s">
        <v>50</v>
      </c>
      <c r="K961" t="s">
        <v>71</v>
      </c>
      <c r="L961" t="s">
        <v>63</v>
      </c>
      <c r="M961" t="s">
        <v>166</v>
      </c>
      <c r="N961" t="s">
        <v>167</v>
      </c>
      <c r="O961" s="3">
        <v>265000</v>
      </c>
      <c r="P961" s="4">
        <v>70</v>
      </c>
      <c r="Q961" s="2">
        <v>46197</v>
      </c>
      <c r="R961" s="2">
        <v>46191</v>
      </c>
      <c r="S961" s="2">
        <v>46152</v>
      </c>
      <c r="T961" s="2"/>
      <c r="U961" t="str">
        <f t="shared" si="98"/>
        <v>No</v>
      </c>
      <c r="W9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1" t="str">
        <f t="shared" ca="1" si="99"/>
        <v>Overdue</v>
      </c>
      <c r="Y961" t="str">
        <f t="shared" si="100"/>
        <v>Open</v>
      </c>
      <c r="Z961" t="str">
        <f t="shared" si="101"/>
        <v>May-2026</v>
      </c>
      <c r="AA961" t="str">
        <f t="shared" si="102"/>
        <v>Q2 2026</v>
      </c>
      <c r="AB961" s="4">
        <f t="shared" ca="1" si="103"/>
        <v>48</v>
      </c>
      <c r="AC961" t="str">
        <f t="shared" si="104"/>
        <v>Medium</v>
      </c>
    </row>
    <row r="962" spans="1:29">
      <c r="A962" t="s">
        <v>3639</v>
      </c>
      <c r="B962" s="2">
        <v>45779</v>
      </c>
      <c r="C962" t="s">
        <v>1378</v>
      </c>
      <c r="D962" t="s">
        <v>742</v>
      </c>
      <c r="E962" t="s">
        <v>3640</v>
      </c>
      <c r="F962" t="s">
        <v>3641</v>
      </c>
      <c r="G962" t="s">
        <v>179</v>
      </c>
      <c r="H962" t="s">
        <v>487</v>
      </c>
      <c r="I962" t="s">
        <v>36</v>
      </c>
      <c r="J962" t="s">
        <v>131</v>
      </c>
      <c r="K962" t="s">
        <v>51</v>
      </c>
      <c r="L962" t="s">
        <v>239</v>
      </c>
      <c r="M962" t="s">
        <v>116</v>
      </c>
      <c r="N962" t="s">
        <v>54</v>
      </c>
      <c r="O962" s="3">
        <v>255000</v>
      </c>
      <c r="P962" s="4">
        <v>20</v>
      </c>
      <c r="Q962" s="2">
        <v>45870</v>
      </c>
      <c r="R962" s="2">
        <v>46193</v>
      </c>
      <c r="S962" s="2">
        <v>45809</v>
      </c>
      <c r="T962" s="2"/>
      <c r="U962" t="str">
        <f t="shared" ref="U962:U1025" si="105">IF(M962="Converted","Yes","No")</f>
        <v>No</v>
      </c>
      <c r="W9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2" t="str">
        <f t="shared" ref="X962:X1025" ca="1" si="106">IF(OR(M962="Converted",M962="Lost",M962="Not Interested"),"Closed",IF(R962&lt;TODAY(),"Overdue","Due/Open"))</f>
        <v>Overdue</v>
      </c>
      <c r="Y962" t="str">
        <f t="shared" ref="Y962:Y1025" si="107">IF(OR(M962="Converted",M962="Lost",M962="Not Interested"),"Closed","Open")</f>
        <v>Open</v>
      </c>
      <c r="Z962" t="str">
        <f t="shared" ref="Z962:Z1025" si="108">TEXT(B962,"mmm-yyyy")</f>
        <v>May-2025</v>
      </c>
      <c r="AA962" t="str">
        <f t="shared" ref="AA962:AA1025" si="109">"Q"&amp;ROUNDUP(MONTH(B962)/3,0)&amp;" "&amp;YEAR(B962)</f>
        <v>Q2 2025</v>
      </c>
      <c r="AB962" s="4">
        <f t="shared" ref="AB962:AB1025" ca="1" si="110">TODAY()-B962</f>
        <v>420</v>
      </c>
      <c r="AC962" t="str">
        <f t="shared" ref="AC962:AC1025" si="111">IF(O962&gt;=300000,"High",IF(O962&gt;=120000,"Medium","Low"))</f>
        <v>Medium</v>
      </c>
    </row>
    <row r="963" spans="1:29">
      <c r="A963" t="s">
        <v>3642</v>
      </c>
      <c r="B963" s="2">
        <v>45960</v>
      </c>
      <c r="C963" t="s">
        <v>3643</v>
      </c>
      <c r="D963" t="s">
        <v>2827</v>
      </c>
      <c r="E963" t="s">
        <v>3644</v>
      </c>
      <c r="F963" t="s">
        <v>3645</v>
      </c>
      <c r="G963" t="s">
        <v>179</v>
      </c>
      <c r="H963" t="s">
        <v>318</v>
      </c>
      <c r="I963" t="s">
        <v>36</v>
      </c>
      <c r="J963" t="s">
        <v>99</v>
      </c>
      <c r="K963" t="s">
        <v>71</v>
      </c>
      <c r="L963" t="s">
        <v>154</v>
      </c>
      <c r="M963" t="s">
        <v>73</v>
      </c>
      <c r="N963" t="s">
        <v>73</v>
      </c>
      <c r="O963" s="3">
        <v>220000</v>
      </c>
      <c r="P963" s="4">
        <v>80</v>
      </c>
      <c r="Q963" s="2">
        <v>46046</v>
      </c>
      <c r="R963" s="2">
        <v>46226</v>
      </c>
      <c r="S963" s="2">
        <v>45975</v>
      </c>
      <c r="T963" s="2"/>
      <c r="U963" t="str">
        <f t="shared" si="105"/>
        <v>No</v>
      </c>
      <c r="W9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3" t="str">
        <f t="shared" ca="1" si="106"/>
        <v>Due/Open</v>
      </c>
      <c r="Y963" t="str">
        <f t="shared" si="107"/>
        <v>Open</v>
      </c>
      <c r="Z963" t="str">
        <f t="shared" si="108"/>
        <v>Oct-2025</v>
      </c>
      <c r="AA963" t="str">
        <f t="shared" si="109"/>
        <v>Q4 2025</v>
      </c>
      <c r="AB963" s="4">
        <f t="shared" ca="1" si="110"/>
        <v>239</v>
      </c>
      <c r="AC963" t="str">
        <f t="shared" si="111"/>
        <v>Medium</v>
      </c>
    </row>
    <row r="964" spans="1:29">
      <c r="A964" t="s">
        <v>3646</v>
      </c>
      <c r="B964" s="2">
        <v>45728</v>
      </c>
      <c r="C964" t="s">
        <v>1411</v>
      </c>
      <c r="D964" t="s">
        <v>986</v>
      </c>
      <c r="E964" t="s">
        <v>3647</v>
      </c>
      <c r="F964" t="s">
        <v>3648</v>
      </c>
      <c r="G964" t="s">
        <v>34</v>
      </c>
      <c r="H964" t="s">
        <v>446</v>
      </c>
      <c r="I964" t="s">
        <v>49</v>
      </c>
      <c r="J964" t="s">
        <v>99</v>
      </c>
      <c r="K964" t="s">
        <v>38</v>
      </c>
      <c r="L964" t="s">
        <v>154</v>
      </c>
      <c r="M964" t="s">
        <v>53</v>
      </c>
      <c r="N964" t="s">
        <v>54</v>
      </c>
      <c r="O964" s="3">
        <v>485000</v>
      </c>
      <c r="P964" s="4">
        <v>30</v>
      </c>
      <c r="Q964" s="2">
        <v>45762</v>
      </c>
      <c r="R964" s="2">
        <v>46193</v>
      </c>
      <c r="S964" s="2">
        <v>45736</v>
      </c>
      <c r="T964" s="2"/>
      <c r="U964" t="str">
        <f t="shared" si="105"/>
        <v>No</v>
      </c>
      <c r="W9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4" t="str">
        <f t="shared" ca="1" si="106"/>
        <v>Overdue</v>
      </c>
      <c r="Y964" t="str">
        <f t="shared" si="107"/>
        <v>Open</v>
      </c>
      <c r="Z964" t="str">
        <f t="shared" si="108"/>
        <v>Mar-2025</v>
      </c>
      <c r="AA964" t="str">
        <f t="shared" si="109"/>
        <v>Q1 2025</v>
      </c>
      <c r="AB964" s="4">
        <f t="shared" ca="1" si="110"/>
        <v>471</v>
      </c>
      <c r="AC964" t="str">
        <f t="shared" si="111"/>
        <v>High</v>
      </c>
    </row>
    <row r="965" spans="1:29">
      <c r="A965" t="s">
        <v>3649</v>
      </c>
      <c r="B965" s="2">
        <v>45692</v>
      </c>
      <c r="C965" t="s">
        <v>3430</v>
      </c>
      <c r="D965" t="s">
        <v>701</v>
      </c>
      <c r="E965" t="s">
        <v>3650</v>
      </c>
      <c r="F965" t="s">
        <v>3651</v>
      </c>
      <c r="G965" t="s">
        <v>179</v>
      </c>
      <c r="H965" t="s">
        <v>296</v>
      </c>
      <c r="I965" t="s">
        <v>61</v>
      </c>
      <c r="J965" t="s">
        <v>37</v>
      </c>
      <c r="K965" t="s">
        <v>194</v>
      </c>
      <c r="L965" t="s">
        <v>107</v>
      </c>
      <c r="M965" t="s">
        <v>133</v>
      </c>
      <c r="N965" t="s">
        <v>134</v>
      </c>
      <c r="O965" s="3">
        <v>55000</v>
      </c>
      <c r="P965" s="4">
        <v>0</v>
      </c>
      <c r="Q965" s="2">
        <v>45740</v>
      </c>
      <c r="R965" s="2"/>
      <c r="S965" s="2">
        <v>45701</v>
      </c>
      <c r="T965" s="2">
        <v>45740</v>
      </c>
      <c r="U965" t="str">
        <f t="shared" si="105"/>
        <v>No</v>
      </c>
      <c r="V965" t="s">
        <v>1105</v>
      </c>
      <c r="W96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965" t="str">
        <f t="shared" ca="1" si="106"/>
        <v>Closed</v>
      </c>
      <c r="Y965" t="str">
        <f t="shared" si="107"/>
        <v>Closed</v>
      </c>
      <c r="Z965" t="str">
        <f t="shared" si="108"/>
        <v>Feb-2025</v>
      </c>
      <c r="AA965" t="str">
        <f t="shared" si="109"/>
        <v>Q1 2025</v>
      </c>
      <c r="AB965" s="4">
        <f t="shared" ca="1" si="110"/>
        <v>507</v>
      </c>
      <c r="AC965" t="str">
        <f t="shared" si="111"/>
        <v>Low</v>
      </c>
    </row>
    <row r="966" spans="1:29">
      <c r="A966" t="s">
        <v>3652</v>
      </c>
      <c r="B966" s="2">
        <v>45876</v>
      </c>
      <c r="C966" t="s">
        <v>2119</v>
      </c>
      <c r="D966" t="s">
        <v>428</v>
      </c>
      <c r="E966" t="s">
        <v>3653</v>
      </c>
      <c r="F966" t="s">
        <v>3654</v>
      </c>
      <c r="G966" t="s">
        <v>47</v>
      </c>
      <c r="H966" t="s">
        <v>493</v>
      </c>
      <c r="I966" t="s">
        <v>61</v>
      </c>
      <c r="J966" t="s">
        <v>50</v>
      </c>
      <c r="K966" t="s">
        <v>114</v>
      </c>
      <c r="L966" t="s">
        <v>132</v>
      </c>
      <c r="M966" t="s">
        <v>82</v>
      </c>
      <c r="N966" t="s">
        <v>83</v>
      </c>
      <c r="O966" s="3">
        <v>455000</v>
      </c>
      <c r="P966" s="4">
        <v>10</v>
      </c>
      <c r="Q966" s="2">
        <v>45928</v>
      </c>
      <c r="R966" s="2">
        <v>46217</v>
      </c>
      <c r="S966" s="2">
        <v>45904</v>
      </c>
      <c r="T966" s="2"/>
      <c r="U966" t="str">
        <f t="shared" si="105"/>
        <v>No</v>
      </c>
      <c r="W9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6" t="str">
        <f t="shared" ca="1" si="106"/>
        <v>Due/Open</v>
      </c>
      <c r="Y966" t="str">
        <f t="shared" si="107"/>
        <v>Open</v>
      </c>
      <c r="Z966" t="str">
        <f t="shared" si="108"/>
        <v>Aug-2025</v>
      </c>
      <c r="AA966" t="str">
        <f t="shared" si="109"/>
        <v>Q3 2025</v>
      </c>
      <c r="AB966" s="4">
        <f t="shared" ca="1" si="110"/>
        <v>323</v>
      </c>
      <c r="AC966" t="str">
        <f t="shared" si="111"/>
        <v>High</v>
      </c>
    </row>
    <row r="967" spans="1:29">
      <c r="A967" t="s">
        <v>3655</v>
      </c>
      <c r="B967" s="2">
        <v>45988</v>
      </c>
      <c r="C967" t="s">
        <v>2289</v>
      </c>
      <c r="D967" t="s">
        <v>3463</v>
      </c>
      <c r="E967" t="s">
        <v>3656</v>
      </c>
      <c r="F967" t="s">
        <v>3657</v>
      </c>
      <c r="G967" t="s">
        <v>69</v>
      </c>
      <c r="H967" t="s">
        <v>193</v>
      </c>
      <c r="I967" t="s">
        <v>148</v>
      </c>
      <c r="J967" t="s">
        <v>99</v>
      </c>
      <c r="K967" t="s">
        <v>100</v>
      </c>
      <c r="L967" t="s">
        <v>239</v>
      </c>
      <c r="M967" t="s">
        <v>53</v>
      </c>
      <c r="N967" t="s">
        <v>54</v>
      </c>
      <c r="O967" s="3">
        <v>180000</v>
      </c>
      <c r="P967" s="4">
        <v>35</v>
      </c>
      <c r="Q967" s="2">
        <v>46011</v>
      </c>
      <c r="R967" s="2">
        <v>46235</v>
      </c>
      <c r="S967" s="2">
        <v>46000</v>
      </c>
      <c r="T967" s="2"/>
      <c r="U967" t="str">
        <f t="shared" si="105"/>
        <v>No</v>
      </c>
      <c r="W9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7" t="str">
        <f t="shared" ca="1" si="106"/>
        <v>Due/Open</v>
      </c>
      <c r="Y967" t="str">
        <f t="shared" si="107"/>
        <v>Open</v>
      </c>
      <c r="Z967" t="str">
        <f t="shared" si="108"/>
        <v>Nov-2025</v>
      </c>
      <c r="AA967" t="str">
        <f t="shared" si="109"/>
        <v>Q4 2025</v>
      </c>
      <c r="AB967" s="4">
        <f t="shared" ca="1" si="110"/>
        <v>211</v>
      </c>
      <c r="AC967" t="str">
        <f t="shared" si="111"/>
        <v>Medium</v>
      </c>
    </row>
    <row r="968" spans="1:29">
      <c r="A968" t="s">
        <v>3658</v>
      </c>
      <c r="B968" s="2">
        <v>45692</v>
      </c>
      <c r="C968" t="s">
        <v>321</v>
      </c>
      <c r="D968" t="s">
        <v>2143</v>
      </c>
      <c r="E968" t="s">
        <v>3659</v>
      </c>
      <c r="F968" t="s">
        <v>3660</v>
      </c>
      <c r="G968" t="s">
        <v>79</v>
      </c>
      <c r="H968" t="s">
        <v>228</v>
      </c>
      <c r="I968" t="s">
        <v>98</v>
      </c>
      <c r="J968" t="s">
        <v>99</v>
      </c>
      <c r="K968" t="s">
        <v>38</v>
      </c>
      <c r="L968" t="s">
        <v>132</v>
      </c>
      <c r="M968" t="s">
        <v>40</v>
      </c>
      <c r="N968" t="s">
        <v>41</v>
      </c>
      <c r="O968" s="3">
        <v>325000</v>
      </c>
      <c r="P968" s="4">
        <v>100</v>
      </c>
      <c r="Q968" s="2">
        <v>45705</v>
      </c>
      <c r="R968" s="2"/>
      <c r="S968" s="2">
        <v>45693</v>
      </c>
      <c r="T968" s="2">
        <v>45705</v>
      </c>
      <c r="U968" t="str">
        <f t="shared" si="105"/>
        <v>Yes</v>
      </c>
      <c r="W9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13</v>
      </c>
      <c r="X968" t="str">
        <f t="shared" ca="1" si="106"/>
        <v>Closed</v>
      </c>
      <c r="Y968" t="str">
        <f t="shared" si="107"/>
        <v>Closed</v>
      </c>
      <c r="Z968" t="str">
        <f t="shared" si="108"/>
        <v>Feb-2025</v>
      </c>
      <c r="AA968" t="str">
        <f t="shared" si="109"/>
        <v>Q1 2025</v>
      </c>
      <c r="AB968" s="4">
        <f t="shared" ca="1" si="110"/>
        <v>507</v>
      </c>
      <c r="AC968" t="str">
        <f t="shared" si="111"/>
        <v>High</v>
      </c>
    </row>
    <row r="969" spans="1:29">
      <c r="A969" t="s">
        <v>3661</v>
      </c>
      <c r="B969" s="2">
        <v>45849</v>
      </c>
      <c r="C969" t="s">
        <v>2106</v>
      </c>
      <c r="D969" t="s">
        <v>715</v>
      </c>
      <c r="E969" t="s">
        <v>3662</v>
      </c>
      <c r="F969" t="s">
        <v>3663</v>
      </c>
      <c r="G969" t="s">
        <v>79</v>
      </c>
      <c r="H969" t="s">
        <v>260</v>
      </c>
      <c r="I969" t="s">
        <v>36</v>
      </c>
      <c r="J969" t="s">
        <v>124</v>
      </c>
      <c r="K969" t="s">
        <v>38</v>
      </c>
      <c r="L969" t="s">
        <v>115</v>
      </c>
      <c r="M969" t="s">
        <v>90</v>
      </c>
      <c r="N969" t="s">
        <v>91</v>
      </c>
      <c r="O969" s="3">
        <v>125000</v>
      </c>
      <c r="P969" s="4">
        <v>55</v>
      </c>
      <c r="Q969" s="2">
        <v>45869</v>
      </c>
      <c r="R969" s="2">
        <v>46216</v>
      </c>
      <c r="S969" s="2">
        <v>45874</v>
      </c>
      <c r="T969" s="2"/>
      <c r="U969" t="str">
        <f t="shared" si="105"/>
        <v>No</v>
      </c>
      <c r="W9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69" t="str">
        <f t="shared" ca="1" si="106"/>
        <v>Due/Open</v>
      </c>
      <c r="Y969" t="str">
        <f t="shared" si="107"/>
        <v>Open</v>
      </c>
      <c r="Z969" t="str">
        <f t="shared" si="108"/>
        <v>Jul-2025</v>
      </c>
      <c r="AA969" t="str">
        <f t="shared" si="109"/>
        <v>Q3 2025</v>
      </c>
      <c r="AB969" s="4">
        <f t="shared" ca="1" si="110"/>
        <v>350</v>
      </c>
      <c r="AC969" t="str">
        <f t="shared" si="111"/>
        <v>Medium</v>
      </c>
    </row>
    <row r="970" spans="1:29">
      <c r="A970" t="s">
        <v>3664</v>
      </c>
      <c r="B970" s="2">
        <v>46008</v>
      </c>
      <c r="C970" t="s">
        <v>2344</v>
      </c>
      <c r="D970" t="s">
        <v>715</v>
      </c>
      <c r="E970" t="s">
        <v>3665</v>
      </c>
      <c r="F970" t="s">
        <v>3666</v>
      </c>
      <c r="G970" t="s">
        <v>47</v>
      </c>
      <c r="H970" t="s">
        <v>418</v>
      </c>
      <c r="I970" t="s">
        <v>36</v>
      </c>
      <c r="J970" t="s">
        <v>50</v>
      </c>
      <c r="K970" t="s">
        <v>114</v>
      </c>
      <c r="L970" t="s">
        <v>72</v>
      </c>
      <c r="M970" t="s">
        <v>90</v>
      </c>
      <c r="N970" t="s">
        <v>91</v>
      </c>
      <c r="O970" s="3">
        <v>250000</v>
      </c>
      <c r="P970" s="4">
        <v>40</v>
      </c>
      <c r="Q970" s="2">
        <v>46077</v>
      </c>
      <c r="R970" s="2">
        <v>46211</v>
      </c>
      <c r="S970" s="2">
        <v>46032</v>
      </c>
      <c r="T970" s="2"/>
      <c r="U970" t="str">
        <f t="shared" si="105"/>
        <v>No</v>
      </c>
      <c r="W9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0" t="str">
        <f t="shared" ca="1" si="106"/>
        <v>Due/Open</v>
      </c>
      <c r="Y970" t="str">
        <f t="shared" si="107"/>
        <v>Open</v>
      </c>
      <c r="Z970" t="str">
        <f t="shared" si="108"/>
        <v>Dec-2025</v>
      </c>
      <c r="AA970" t="str">
        <f t="shared" si="109"/>
        <v>Q4 2025</v>
      </c>
      <c r="AB970" s="4">
        <f t="shared" ca="1" si="110"/>
        <v>191</v>
      </c>
      <c r="AC970" t="str">
        <f t="shared" si="111"/>
        <v>Medium</v>
      </c>
    </row>
    <row r="971" spans="1:29">
      <c r="A971" t="s">
        <v>3667</v>
      </c>
      <c r="B971" s="2">
        <v>45951</v>
      </c>
      <c r="C971" t="s">
        <v>2309</v>
      </c>
      <c r="D971" t="s">
        <v>943</v>
      </c>
      <c r="E971" t="s">
        <v>3668</v>
      </c>
      <c r="F971" t="s">
        <v>3669</v>
      </c>
      <c r="G971" t="s">
        <v>47</v>
      </c>
      <c r="H971" t="s">
        <v>48</v>
      </c>
      <c r="I971" t="s">
        <v>36</v>
      </c>
      <c r="J971" t="s">
        <v>99</v>
      </c>
      <c r="K971" t="s">
        <v>194</v>
      </c>
      <c r="L971" t="s">
        <v>107</v>
      </c>
      <c r="M971" t="s">
        <v>73</v>
      </c>
      <c r="N971" t="s">
        <v>73</v>
      </c>
      <c r="O971" s="3">
        <v>665000</v>
      </c>
      <c r="P971" s="4">
        <v>75</v>
      </c>
      <c r="Q971" s="2">
        <v>45998</v>
      </c>
      <c r="R971" s="2">
        <v>46226</v>
      </c>
      <c r="S971" s="2">
        <v>45968</v>
      </c>
      <c r="T971" s="2"/>
      <c r="U971" t="str">
        <f t="shared" si="105"/>
        <v>No</v>
      </c>
      <c r="W9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1" t="str">
        <f t="shared" ca="1" si="106"/>
        <v>Due/Open</v>
      </c>
      <c r="Y971" t="str">
        <f t="shared" si="107"/>
        <v>Open</v>
      </c>
      <c r="Z971" t="str">
        <f t="shared" si="108"/>
        <v>Oct-2025</v>
      </c>
      <c r="AA971" t="str">
        <f t="shared" si="109"/>
        <v>Q4 2025</v>
      </c>
      <c r="AB971" s="4">
        <f t="shared" ca="1" si="110"/>
        <v>248</v>
      </c>
      <c r="AC971" t="str">
        <f t="shared" si="111"/>
        <v>High</v>
      </c>
    </row>
    <row r="972" spans="1:29">
      <c r="A972" t="s">
        <v>3670</v>
      </c>
      <c r="B972" s="2">
        <v>45701</v>
      </c>
      <c r="C972" t="s">
        <v>2604</v>
      </c>
      <c r="D972" t="s">
        <v>190</v>
      </c>
      <c r="E972" t="s">
        <v>3671</v>
      </c>
      <c r="F972" t="s">
        <v>3672</v>
      </c>
      <c r="G972" t="s">
        <v>34</v>
      </c>
      <c r="H972" t="s">
        <v>35</v>
      </c>
      <c r="I972" t="s">
        <v>98</v>
      </c>
      <c r="J972" t="s">
        <v>124</v>
      </c>
      <c r="K972" t="s">
        <v>38</v>
      </c>
      <c r="L972" t="s">
        <v>81</v>
      </c>
      <c r="M972" t="s">
        <v>73</v>
      </c>
      <c r="N972" t="s">
        <v>73</v>
      </c>
      <c r="O972" s="3">
        <v>120000</v>
      </c>
      <c r="P972" s="4">
        <v>80</v>
      </c>
      <c r="Q972" s="2">
        <v>45783</v>
      </c>
      <c r="R972" s="2">
        <v>46203</v>
      </c>
      <c r="S972" s="2">
        <v>45725</v>
      </c>
      <c r="T972" s="2"/>
      <c r="U972" t="str">
        <f t="shared" si="105"/>
        <v>No</v>
      </c>
      <c r="W9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2" t="str">
        <f t="shared" ca="1" si="106"/>
        <v>Due/Open</v>
      </c>
      <c r="Y972" t="str">
        <f t="shared" si="107"/>
        <v>Open</v>
      </c>
      <c r="Z972" t="str">
        <f t="shared" si="108"/>
        <v>Feb-2025</v>
      </c>
      <c r="AA972" t="str">
        <f t="shared" si="109"/>
        <v>Q1 2025</v>
      </c>
      <c r="AB972" s="4">
        <f t="shared" ca="1" si="110"/>
        <v>498</v>
      </c>
      <c r="AC972" t="str">
        <f t="shared" si="111"/>
        <v>Medium</v>
      </c>
    </row>
    <row r="973" spans="1:29">
      <c r="A973" t="s">
        <v>3673</v>
      </c>
      <c r="B973" s="2">
        <v>45985</v>
      </c>
      <c r="C973" t="s">
        <v>3674</v>
      </c>
      <c r="D973" t="s">
        <v>767</v>
      </c>
      <c r="E973" t="s">
        <v>3675</v>
      </c>
      <c r="F973" t="s">
        <v>3676</v>
      </c>
      <c r="G973" t="s">
        <v>79</v>
      </c>
      <c r="H973" t="s">
        <v>80</v>
      </c>
      <c r="I973" t="s">
        <v>123</v>
      </c>
      <c r="J973" t="s">
        <v>37</v>
      </c>
      <c r="K973" t="s">
        <v>114</v>
      </c>
      <c r="L973" t="s">
        <v>125</v>
      </c>
      <c r="M973" t="s">
        <v>53</v>
      </c>
      <c r="N973" t="s">
        <v>54</v>
      </c>
      <c r="O973" s="3">
        <v>50000</v>
      </c>
      <c r="P973" s="4">
        <v>35</v>
      </c>
      <c r="Q973" s="2">
        <v>46065</v>
      </c>
      <c r="R973" s="2">
        <v>46202</v>
      </c>
      <c r="S973" s="2">
        <v>45999</v>
      </c>
      <c r="T973" s="2"/>
      <c r="U973" t="str">
        <f t="shared" si="105"/>
        <v>No</v>
      </c>
      <c r="W9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3" t="str">
        <f t="shared" ca="1" si="106"/>
        <v>Due/Open</v>
      </c>
      <c r="Y973" t="str">
        <f t="shared" si="107"/>
        <v>Open</v>
      </c>
      <c r="Z973" t="str">
        <f t="shared" si="108"/>
        <v>Nov-2025</v>
      </c>
      <c r="AA973" t="str">
        <f t="shared" si="109"/>
        <v>Q4 2025</v>
      </c>
      <c r="AB973" s="4">
        <f t="shared" ca="1" si="110"/>
        <v>214</v>
      </c>
      <c r="AC973" t="str">
        <f t="shared" si="111"/>
        <v>Low</v>
      </c>
    </row>
    <row r="974" spans="1:29">
      <c r="A974" t="s">
        <v>3677</v>
      </c>
      <c r="B974" s="2">
        <v>46145</v>
      </c>
      <c r="C974" t="s">
        <v>3678</v>
      </c>
      <c r="D974" t="s">
        <v>1081</v>
      </c>
      <c r="E974" t="s">
        <v>3679</v>
      </c>
      <c r="F974" t="s">
        <v>3680</v>
      </c>
      <c r="G974" t="s">
        <v>79</v>
      </c>
      <c r="H974" t="s">
        <v>97</v>
      </c>
      <c r="I974" t="s">
        <v>36</v>
      </c>
      <c r="J974" t="s">
        <v>50</v>
      </c>
      <c r="K974" t="s">
        <v>38</v>
      </c>
      <c r="L974" t="s">
        <v>39</v>
      </c>
      <c r="M974" t="s">
        <v>166</v>
      </c>
      <c r="N974" t="s">
        <v>167</v>
      </c>
      <c r="O974" s="3">
        <v>325000</v>
      </c>
      <c r="P974" s="4">
        <v>60</v>
      </c>
      <c r="Q974" s="2">
        <v>46192</v>
      </c>
      <c r="R974" s="2">
        <v>46199</v>
      </c>
      <c r="S974" s="2">
        <v>46158</v>
      </c>
      <c r="T974" s="2"/>
      <c r="U974" t="str">
        <f t="shared" si="105"/>
        <v>No</v>
      </c>
      <c r="W9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4" t="str">
        <f t="shared" ca="1" si="106"/>
        <v>Due/Open</v>
      </c>
      <c r="Y974" t="str">
        <f t="shared" si="107"/>
        <v>Open</v>
      </c>
      <c r="Z974" t="str">
        <f t="shared" si="108"/>
        <v>May-2026</v>
      </c>
      <c r="AA974" t="str">
        <f t="shared" si="109"/>
        <v>Q2 2026</v>
      </c>
      <c r="AB974" s="4">
        <f t="shared" ca="1" si="110"/>
        <v>54</v>
      </c>
      <c r="AC974" t="str">
        <f t="shared" si="111"/>
        <v>High</v>
      </c>
    </row>
    <row r="975" spans="1:29">
      <c r="A975" t="s">
        <v>3681</v>
      </c>
      <c r="B975" s="2">
        <v>46021</v>
      </c>
      <c r="C975" t="s">
        <v>2060</v>
      </c>
      <c r="D975" t="s">
        <v>119</v>
      </c>
      <c r="E975" t="s">
        <v>3682</v>
      </c>
      <c r="F975" t="s">
        <v>3683</v>
      </c>
      <c r="G975" t="s">
        <v>179</v>
      </c>
      <c r="H975" t="s">
        <v>436</v>
      </c>
      <c r="I975" t="s">
        <v>141</v>
      </c>
      <c r="J975" t="s">
        <v>124</v>
      </c>
      <c r="K975" t="s">
        <v>38</v>
      </c>
      <c r="L975" t="s">
        <v>154</v>
      </c>
      <c r="M975" t="s">
        <v>53</v>
      </c>
      <c r="N975" t="s">
        <v>54</v>
      </c>
      <c r="O975" s="3">
        <v>315000</v>
      </c>
      <c r="P975" s="4">
        <v>25</v>
      </c>
      <c r="Q975" s="2">
        <v>46076</v>
      </c>
      <c r="R975" s="2">
        <v>46233</v>
      </c>
      <c r="S975" s="2">
        <v>46039</v>
      </c>
      <c r="T975" s="2"/>
      <c r="U975" t="str">
        <f t="shared" si="105"/>
        <v>No</v>
      </c>
      <c r="W9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5" t="str">
        <f t="shared" ca="1" si="106"/>
        <v>Due/Open</v>
      </c>
      <c r="Y975" t="str">
        <f t="shared" si="107"/>
        <v>Open</v>
      </c>
      <c r="Z975" t="str">
        <f t="shared" si="108"/>
        <v>Dec-2025</v>
      </c>
      <c r="AA975" t="str">
        <f t="shared" si="109"/>
        <v>Q4 2025</v>
      </c>
      <c r="AB975" s="4">
        <f t="shared" ca="1" si="110"/>
        <v>178</v>
      </c>
      <c r="AC975" t="str">
        <f t="shared" si="111"/>
        <v>High</v>
      </c>
    </row>
    <row r="976" spans="1:29">
      <c r="A976" t="s">
        <v>3684</v>
      </c>
      <c r="B976" s="2">
        <v>45801</v>
      </c>
      <c r="C976" t="s">
        <v>2956</v>
      </c>
      <c r="D976" t="s">
        <v>904</v>
      </c>
      <c r="E976" t="s">
        <v>3685</v>
      </c>
      <c r="F976" t="s">
        <v>3686</v>
      </c>
      <c r="G976" t="s">
        <v>47</v>
      </c>
      <c r="H976" t="s">
        <v>493</v>
      </c>
      <c r="I976" t="s">
        <v>123</v>
      </c>
      <c r="J976" t="s">
        <v>50</v>
      </c>
      <c r="K976" t="s">
        <v>38</v>
      </c>
      <c r="L976" t="s">
        <v>52</v>
      </c>
      <c r="M976" t="s">
        <v>116</v>
      </c>
      <c r="N976" t="s">
        <v>54</v>
      </c>
      <c r="O976" s="3">
        <v>540000</v>
      </c>
      <c r="P976" s="4">
        <v>20</v>
      </c>
      <c r="Q976" s="2">
        <v>45876</v>
      </c>
      <c r="R976" s="2">
        <v>46229</v>
      </c>
      <c r="S976" s="2">
        <v>45831</v>
      </c>
      <c r="T976" s="2"/>
      <c r="U976" t="str">
        <f t="shared" si="105"/>
        <v>No</v>
      </c>
      <c r="W9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6" t="str">
        <f t="shared" ca="1" si="106"/>
        <v>Due/Open</v>
      </c>
      <c r="Y976" t="str">
        <f t="shared" si="107"/>
        <v>Open</v>
      </c>
      <c r="Z976" t="str">
        <f t="shared" si="108"/>
        <v>May-2025</v>
      </c>
      <c r="AA976" t="str">
        <f t="shared" si="109"/>
        <v>Q2 2025</v>
      </c>
      <c r="AB976" s="4">
        <f t="shared" ca="1" si="110"/>
        <v>398</v>
      </c>
      <c r="AC976" t="str">
        <f t="shared" si="111"/>
        <v>High</v>
      </c>
    </row>
    <row r="977" spans="1:29">
      <c r="A977" t="s">
        <v>3687</v>
      </c>
      <c r="B977" s="2">
        <v>46176</v>
      </c>
      <c r="C977" t="s">
        <v>635</v>
      </c>
      <c r="D977" t="s">
        <v>304</v>
      </c>
      <c r="E977" t="s">
        <v>3688</v>
      </c>
      <c r="F977" t="s">
        <v>3689</v>
      </c>
      <c r="G977" t="s">
        <v>79</v>
      </c>
      <c r="H977" t="s">
        <v>80</v>
      </c>
      <c r="I977" t="s">
        <v>36</v>
      </c>
      <c r="J977" t="s">
        <v>50</v>
      </c>
      <c r="K977" t="s">
        <v>51</v>
      </c>
      <c r="L977" t="s">
        <v>72</v>
      </c>
      <c r="M977" t="s">
        <v>90</v>
      </c>
      <c r="N977" t="s">
        <v>91</v>
      </c>
      <c r="O977" s="3">
        <v>335000</v>
      </c>
      <c r="P977" s="4">
        <v>40</v>
      </c>
      <c r="Q977" s="2">
        <v>46259</v>
      </c>
      <c r="R977" s="2">
        <v>46228</v>
      </c>
      <c r="S977" s="2">
        <v>46185</v>
      </c>
      <c r="T977" s="2"/>
      <c r="U977" t="str">
        <f t="shared" si="105"/>
        <v>No</v>
      </c>
      <c r="W9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77" t="str">
        <f t="shared" ca="1" si="106"/>
        <v>Due/Open</v>
      </c>
      <c r="Y977" t="str">
        <f t="shared" si="107"/>
        <v>Open</v>
      </c>
      <c r="Z977" t="str">
        <f t="shared" si="108"/>
        <v>Jun-2026</v>
      </c>
      <c r="AA977" t="str">
        <f t="shared" si="109"/>
        <v>Q2 2026</v>
      </c>
      <c r="AB977" s="4">
        <f t="shared" ca="1" si="110"/>
        <v>23</v>
      </c>
      <c r="AC977" t="str">
        <f t="shared" si="111"/>
        <v>High</v>
      </c>
    </row>
    <row r="978" spans="1:29">
      <c r="A978" t="s">
        <v>3690</v>
      </c>
      <c r="B978" s="2">
        <v>45991</v>
      </c>
      <c r="C978" t="s">
        <v>2024</v>
      </c>
      <c r="D978" t="s">
        <v>1148</v>
      </c>
      <c r="E978" t="s">
        <v>3691</v>
      </c>
      <c r="F978" t="s">
        <v>3692</v>
      </c>
      <c r="G978" t="s">
        <v>69</v>
      </c>
      <c r="H978" t="s">
        <v>270</v>
      </c>
      <c r="I978" t="s">
        <v>148</v>
      </c>
      <c r="J978" t="s">
        <v>62</v>
      </c>
      <c r="K978" t="s">
        <v>71</v>
      </c>
      <c r="L978" t="s">
        <v>125</v>
      </c>
      <c r="M978" t="s">
        <v>40</v>
      </c>
      <c r="N978" t="s">
        <v>41</v>
      </c>
      <c r="O978" s="3">
        <v>130000</v>
      </c>
      <c r="P978" s="4">
        <v>100</v>
      </c>
      <c r="Q978" s="2">
        <v>46067</v>
      </c>
      <c r="R978" s="2"/>
      <c r="S978" s="2">
        <v>46021</v>
      </c>
      <c r="T978" s="2">
        <v>46067</v>
      </c>
      <c r="U978" t="str">
        <f t="shared" si="105"/>
        <v>Yes</v>
      </c>
      <c r="W97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76</v>
      </c>
      <c r="X978" t="str">
        <f t="shared" ca="1" si="106"/>
        <v>Closed</v>
      </c>
      <c r="Y978" t="str">
        <f t="shared" si="107"/>
        <v>Closed</v>
      </c>
      <c r="Z978" t="str">
        <f t="shared" si="108"/>
        <v>Nov-2025</v>
      </c>
      <c r="AA978" t="str">
        <f t="shared" si="109"/>
        <v>Q4 2025</v>
      </c>
      <c r="AB978" s="4">
        <f t="shared" ca="1" si="110"/>
        <v>208</v>
      </c>
      <c r="AC978" t="str">
        <f t="shared" si="111"/>
        <v>Medium</v>
      </c>
    </row>
    <row r="979" spans="1:29">
      <c r="A979" t="s">
        <v>3693</v>
      </c>
      <c r="B979" s="2">
        <v>46052</v>
      </c>
      <c r="C979" t="s">
        <v>1619</v>
      </c>
      <c r="D979" t="s">
        <v>407</v>
      </c>
      <c r="E979" t="s">
        <v>3694</v>
      </c>
      <c r="F979" t="s">
        <v>3695</v>
      </c>
      <c r="G979" t="s">
        <v>79</v>
      </c>
      <c r="H979" t="s">
        <v>106</v>
      </c>
      <c r="I979" t="s">
        <v>36</v>
      </c>
      <c r="J979" t="s">
        <v>62</v>
      </c>
      <c r="K979" t="s">
        <v>194</v>
      </c>
      <c r="L979" t="s">
        <v>239</v>
      </c>
      <c r="M979" t="s">
        <v>133</v>
      </c>
      <c r="N979" t="s">
        <v>134</v>
      </c>
      <c r="O979" s="3">
        <v>420000</v>
      </c>
      <c r="P979" s="4">
        <v>0</v>
      </c>
      <c r="Q979" s="2">
        <v>46082</v>
      </c>
      <c r="R979" s="2"/>
      <c r="S979" s="2">
        <v>46058</v>
      </c>
      <c r="T979" s="2">
        <v>46082</v>
      </c>
      <c r="U979" t="str">
        <f t="shared" si="105"/>
        <v>No</v>
      </c>
      <c r="V979" t="s">
        <v>211</v>
      </c>
      <c r="W9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30</v>
      </c>
      <c r="X979" t="str">
        <f t="shared" ca="1" si="106"/>
        <v>Closed</v>
      </c>
      <c r="Y979" t="str">
        <f t="shared" si="107"/>
        <v>Closed</v>
      </c>
      <c r="Z979" t="str">
        <f t="shared" si="108"/>
        <v>Jan-2026</v>
      </c>
      <c r="AA979" t="str">
        <f t="shared" si="109"/>
        <v>Q1 2026</v>
      </c>
      <c r="AB979" s="4">
        <f t="shared" ca="1" si="110"/>
        <v>147</v>
      </c>
      <c r="AC979" t="str">
        <f t="shared" si="111"/>
        <v>High</v>
      </c>
    </row>
    <row r="980" spans="1:29">
      <c r="A980" t="s">
        <v>3696</v>
      </c>
      <c r="B980" s="2">
        <v>46111</v>
      </c>
      <c r="C980" t="s">
        <v>3697</v>
      </c>
      <c r="D980" t="s">
        <v>1245</v>
      </c>
      <c r="E980" t="s">
        <v>3698</v>
      </c>
      <c r="F980" t="s">
        <v>3699</v>
      </c>
      <c r="G980" t="s">
        <v>79</v>
      </c>
      <c r="H980" t="s">
        <v>80</v>
      </c>
      <c r="I980" t="s">
        <v>123</v>
      </c>
      <c r="J980" t="s">
        <v>50</v>
      </c>
      <c r="K980" t="s">
        <v>194</v>
      </c>
      <c r="L980" t="s">
        <v>72</v>
      </c>
      <c r="M980" t="s">
        <v>210</v>
      </c>
      <c r="N980" t="s">
        <v>134</v>
      </c>
      <c r="O980" s="3">
        <v>545000</v>
      </c>
      <c r="P980" s="4">
        <v>0</v>
      </c>
      <c r="Q980" s="2">
        <v>46148</v>
      </c>
      <c r="R980" s="2"/>
      <c r="S980" s="2">
        <v>46118</v>
      </c>
      <c r="T980" s="2">
        <v>46148</v>
      </c>
      <c r="U980" t="str">
        <f t="shared" si="105"/>
        <v>No</v>
      </c>
      <c r="V980" t="s">
        <v>319</v>
      </c>
      <c r="W98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980" t="str">
        <f t="shared" ca="1" si="106"/>
        <v>Closed</v>
      </c>
      <c r="Y980" t="str">
        <f t="shared" si="107"/>
        <v>Closed</v>
      </c>
      <c r="Z980" t="str">
        <f t="shared" si="108"/>
        <v>Mar-2026</v>
      </c>
      <c r="AA980" t="str">
        <f t="shared" si="109"/>
        <v>Q1 2026</v>
      </c>
      <c r="AB980" s="4">
        <f t="shared" ca="1" si="110"/>
        <v>88</v>
      </c>
      <c r="AC980" t="str">
        <f t="shared" si="111"/>
        <v>High</v>
      </c>
    </row>
    <row r="981" spans="1:29">
      <c r="A981" t="s">
        <v>3700</v>
      </c>
      <c r="B981" s="2">
        <v>45933</v>
      </c>
      <c r="C981" t="s">
        <v>3701</v>
      </c>
      <c r="D981" t="s">
        <v>1178</v>
      </c>
      <c r="E981" t="s">
        <v>3702</v>
      </c>
      <c r="F981" t="s">
        <v>3703</v>
      </c>
      <c r="G981" t="s">
        <v>47</v>
      </c>
      <c r="H981" t="s">
        <v>493</v>
      </c>
      <c r="I981" t="s">
        <v>98</v>
      </c>
      <c r="J981" t="s">
        <v>50</v>
      </c>
      <c r="K981" t="s">
        <v>51</v>
      </c>
      <c r="L981" t="s">
        <v>63</v>
      </c>
      <c r="M981" t="s">
        <v>133</v>
      </c>
      <c r="N981" t="s">
        <v>134</v>
      </c>
      <c r="O981" s="3">
        <v>430000</v>
      </c>
      <c r="P981" s="4">
        <v>0</v>
      </c>
      <c r="Q981" s="2">
        <v>45968</v>
      </c>
      <c r="R981" s="2"/>
      <c r="S981" s="2">
        <v>45944</v>
      </c>
      <c r="T981" s="2">
        <v>45968</v>
      </c>
      <c r="U981" t="str">
        <f t="shared" si="105"/>
        <v>No</v>
      </c>
      <c r="V981" t="s">
        <v>211</v>
      </c>
      <c r="W9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981" t="str">
        <f t="shared" ca="1" si="106"/>
        <v>Closed</v>
      </c>
      <c r="Y981" t="str">
        <f t="shared" si="107"/>
        <v>Closed</v>
      </c>
      <c r="Z981" t="str">
        <f t="shared" si="108"/>
        <v>Oct-2025</v>
      </c>
      <c r="AA981" t="str">
        <f t="shared" si="109"/>
        <v>Q4 2025</v>
      </c>
      <c r="AB981" s="4">
        <f t="shared" ca="1" si="110"/>
        <v>266</v>
      </c>
      <c r="AC981" t="str">
        <f t="shared" si="111"/>
        <v>High</v>
      </c>
    </row>
    <row r="982" spans="1:29">
      <c r="A982" t="s">
        <v>3704</v>
      </c>
      <c r="B982" s="2">
        <v>45900</v>
      </c>
      <c r="C982" t="s">
        <v>3410</v>
      </c>
      <c r="D982" t="s">
        <v>676</v>
      </c>
      <c r="E982" t="s">
        <v>3705</v>
      </c>
      <c r="F982" t="s">
        <v>3706</v>
      </c>
      <c r="G982" t="s">
        <v>47</v>
      </c>
      <c r="H982" t="s">
        <v>418</v>
      </c>
      <c r="I982" t="s">
        <v>148</v>
      </c>
      <c r="J982" t="s">
        <v>37</v>
      </c>
      <c r="K982" t="s">
        <v>194</v>
      </c>
      <c r="L982" t="s">
        <v>52</v>
      </c>
      <c r="M982" t="s">
        <v>116</v>
      </c>
      <c r="N982" t="s">
        <v>54</v>
      </c>
      <c r="O982" s="3">
        <v>135000</v>
      </c>
      <c r="P982" s="4">
        <v>25</v>
      </c>
      <c r="Q982" s="2">
        <v>45960</v>
      </c>
      <c r="R982" s="2">
        <v>46230</v>
      </c>
      <c r="S982" s="2">
        <v>45911</v>
      </c>
      <c r="T982" s="2"/>
      <c r="U982" t="str">
        <f t="shared" si="105"/>
        <v>No</v>
      </c>
      <c r="W9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2" t="str">
        <f t="shared" ca="1" si="106"/>
        <v>Due/Open</v>
      </c>
      <c r="Y982" t="str">
        <f t="shared" si="107"/>
        <v>Open</v>
      </c>
      <c r="Z982" t="str">
        <f t="shared" si="108"/>
        <v>Aug-2025</v>
      </c>
      <c r="AA982" t="str">
        <f t="shared" si="109"/>
        <v>Q3 2025</v>
      </c>
      <c r="AB982" s="4">
        <f t="shared" ca="1" si="110"/>
        <v>299</v>
      </c>
      <c r="AC982" t="str">
        <f t="shared" si="111"/>
        <v>Medium</v>
      </c>
    </row>
    <row r="983" spans="1:29">
      <c r="A983" t="s">
        <v>3707</v>
      </c>
      <c r="B983" s="2">
        <v>45912</v>
      </c>
      <c r="C983" t="s">
        <v>2648</v>
      </c>
      <c r="D983" t="s">
        <v>1269</v>
      </c>
      <c r="E983" t="s">
        <v>3708</v>
      </c>
      <c r="F983" t="s">
        <v>3709</v>
      </c>
      <c r="G983" t="s">
        <v>34</v>
      </c>
      <c r="H983" t="s">
        <v>173</v>
      </c>
      <c r="I983" t="s">
        <v>49</v>
      </c>
      <c r="J983" t="s">
        <v>124</v>
      </c>
      <c r="K983" t="s">
        <v>100</v>
      </c>
      <c r="L983" t="s">
        <v>52</v>
      </c>
      <c r="M983" t="s">
        <v>166</v>
      </c>
      <c r="N983" t="s">
        <v>167</v>
      </c>
      <c r="O983" s="3">
        <v>275000</v>
      </c>
      <c r="P983" s="4">
        <v>70</v>
      </c>
      <c r="Q983" s="2">
        <v>45934</v>
      </c>
      <c r="R983" s="2">
        <v>46217</v>
      </c>
      <c r="S983" s="2">
        <v>45926</v>
      </c>
      <c r="T983" s="2"/>
      <c r="U983" t="str">
        <f t="shared" si="105"/>
        <v>No</v>
      </c>
      <c r="W9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3" t="str">
        <f t="shared" ca="1" si="106"/>
        <v>Due/Open</v>
      </c>
      <c r="Y983" t="str">
        <f t="shared" si="107"/>
        <v>Open</v>
      </c>
      <c r="Z983" t="str">
        <f t="shared" si="108"/>
        <v>Sep-2025</v>
      </c>
      <c r="AA983" t="str">
        <f t="shared" si="109"/>
        <v>Q3 2025</v>
      </c>
      <c r="AB983" s="4">
        <f t="shared" ca="1" si="110"/>
        <v>287</v>
      </c>
      <c r="AC983" t="str">
        <f t="shared" si="111"/>
        <v>Medium</v>
      </c>
    </row>
    <row r="984" spans="1:29">
      <c r="A984" t="s">
        <v>3710</v>
      </c>
      <c r="B984" s="2">
        <v>45857</v>
      </c>
      <c r="C984" t="s">
        <v>1956</v>
      </c>
      <c r="D984" t="s">
        <v>57</v>
      </c>
      <c r="E984" t="s">
        <v>3711</v>
      </c>
      <c r="F984" t="s">
        <v>3712</v>
      </c>
      <c r="G984" t="s">
        <v>179</v>
      </c>
      <c r="H984" t="s">
        <v>487</v>
      </c>
      <c r="I984" t="s">
        <v>49</v>
      </c>
      <c r="J984" t="s">
        <v>131</v>
      </c>
      <c r="K984" t="s">
        <v>114</v>
      </c>
      <c r="L984" t="s">
        <v>154</v>
      </c>
      <c r="M984" t="s">
        <v>90</v>
      </c>
      <c r="N984" t="s">
        <v>91</v>
      </c>
      <c r="O984" s="3">
        <v>265000</v>
      </c>
      <c r="P984" s="4">
        <v>55</v>
      </c>
      <c r="Q984" s="2">
        <v>45911</v>
      </c>
      <c r="R984" s="2">
        <v>46191</v>
      </c>
      <c r="S984" s="2">
        <v>45868</v>
      </c>
      <c r="T984" s="2"/>
      <c r="U984" t="str">
        <f t="shared" si="105"/>
        <v>No</v>
      </c>
      <c r="W9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4" t="str">
        <f t="shared" ca="1" si="106"/>
        <v>Overdue</v>
      </c>
      <c r="Y984" t="str">
        <f t="shared" si="107"/>
        <v>Open</v>
      </c>
      <c r="Z984" t="str">
        <f t="shared" si="108"/>
        <v>Jul-2025</v>
      </c>
      <c r="AA984" t="str">
        <f t="shared" si="109"/>
        <v>Q3 2025</v>
      </c>
      <c r="AB984" s="4">
        <f t="shared" ca="1" si="110"/>
        <v>342</v>
      </c>
      <c r="AC984" t="str">
        <f t="shared" si="111"/>
        <v>Medium</v>
      </c>
    </row>
    <row r="985" spans="1:29">
      <c r="A985" t="s">
        <v>3713</v>
      </c>
      <c r="B985" s="2">
        <v>46180</v>
      </c>
      <c r="C985" t="s">
        <v>2686</v>
      </c>
      <c r="D985" t="s">
        <v>895</v>
      </c>
      <c r="E985" t="s">
        <v>3714</v>
      </c>
      <c r="F985" t="s">
        <v>3715</v>
      </c>
      <c r="G985" t="s">
        <v>179</v>
      </c>
      <c r="H985" t="s">
        <v>186</v>
      </c>
      <c r="I985" t="s">
        <v>141</v>
      </c>
      <c r="J985" t="s">
        <v>50</v>
      </c>
      <c r="K985" t="s">
        <v>114</v>
      </c>
      <c r="L985" t="s">
        <v>107</v>
      </c>
      <c r="M985" t="s">
        <v>53</v>
      </c>
      <c r="N985" t="s">
        <v>54</v>
      </c>
      <c r="O985" s="3">
        <v>315000</v>
      </c>
      <c r="P985" s="4">
        <v>25</v>
      </c>
      <c r="Q985" s="2">
        <v>46213</v>
      </c>
      <c r="R985" s="2">
        <v>46223</v>
      </c>
      <c r="S985" s="2">
        <v>46194</v>
      </c>
      <c r="T985" s="2"/>
      <c r="U985" t="str">
        <f t="shared" si="105"/>
        <v>No</v>
      </c>
      <c r="W9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5" t="str">
        <f t="shared" ca="1" si="106"/>
        <v>Due/Open</v>
      </c>
      <c r="Y985" t="str">
        <f t="shared" si="107"/>
        <v>Open</v>
      </c>
      <c r="Z985" t="str">
        <f t="shared" si="108"/>
        <v>Jun-2026</v>
      </c>
      <c r="AA985" t="str">
        <f t="shared" si="109"/>
        <v>Q2 2026</v>
      </c>
      <c r="AB985" s="4">
        <f t="shared" ca="1" si="110"/>
        <v>19</v>
      </c>
      <c r="AC985" t="str">
        <f t="shared" si="111"/>
        <v>High</v>
      </c>
    </row>
    <row r="986" spans="1:29">
      <c r="A986" t="s">
        <v>3716</v>
      </c>
      <c r="B986" s="2">
        <v>46106</v>
      </c>
      <c r="C986" t="s">
        <v>2119</v>
      </c>
      <c r="D986" t="s">
        <v>627</v>
      </c>
      <c r="E986" t="s">
        <v>3717</v>
      </c>
      <c r="F986" t="s">
        <v>3718</v>
      </c>
      <c r="G986" t="s">
        <v>79</v>
      </c>
      <c r="H986" t="s">
        <v>80</v>
      </c>
      <c r="I986" t="s">
        <v>98</v>
      </c>
      <c r="J986" t="s">
        <v>124</v>
      </c>
      <c r="K986" t="s">
        <v>71</v>
      </c>
      <c r="L986" t="s">
        <v>115</v>
      </c>
      <c r="M986" t="s">
        <v>116</v>
      </c>
      <c r="N986" t="s">
        <v>54</v>
      </c>
      <c r="O986" s="3">
        <v>180000</v>
      </c>
      <c r="P986" s="4">
        <v>20</v>
      </c>
      <c r="Q986" s="2">
        <v>46131</v>
      </c>
      <c r="R986" s="2">
        <v>46155</v>
      </c>
      <c r="S986" s="2">
        <v>46124</v>
      </c>
      <c r="T986" s="2"/>
      <c r="U986" t="str">
        <f t="shared" si="105"/>
        <v>No</v>
      </c>
      <c r="W9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6" t="str">
        <f t="shared" ca="1" si="106"/>
        <v>Overdue</v>
      </c>
      <c r="Y986" t="str">
        <f t="shared" si="107"/>
        <v>Open</v>
      </c>
      <c r="Z986" t="str">
        <f t="shared" si="108"/>
        <v>Mar-2026</v>
      </c>
      <c r="AA986" t="str">
        <f t="shared" si="109"/>
        <v>Q1 2026</v>
      </c>
      <c r="AB986" s="4">
        <f t="shared" ca="1" si="110"/>
        <v>93</v>
      </c>
      <c r="AC986" t="str">
        <f t="shared" si="111"/>
        <v>Medium</v>
      </c>
    </row>
    <row r="987" spans="1:29">
      <c r="A987" t="s">
        <v>3719</v>
      </c>
      <c r="B987" s="2">
        <v>45767</v>
      </c>
      <c r="C987" t="s">
        <v>1588</v>
      </c>
      <c r="D987" t="s">
        <v>586</v>
      </c>
      <c r="E987" t="s">
        <v>3720</v>
      </c>
      <c r="F987" t="s">
        <v>3721</v>
      </c>
      <c r="G987" t="s">
        <v>179</v>
      </c>
      <c r="H987" t="s">
        <v>436</v>
      </c>
      <c r="I987" t="s">
        <v>148</v>
      </c>
      <c r="J987" t="s">
        <v>131</v>
      </c>
      <c r="K987" t="s">
        <v>100</v>
      </c>
      <c r="L987" t="s">
        <v>125</v>
      </c>
      <c r="M987" t="s">
        <v>116</v>
      </c>
      <c r="N987" t="s">
        <v>54</v>
      </c>
      <c r="O987" s="3">
        <v>270000</v>
      </c>
      <c r="P987" s="4">
        <v>25</v>
      </c>
      <c r="Q987" s="2">
        <v>45814</v>
      </c>
      <c r="R987" s="2">
        <v>46178</v>
      </c>
      <c r="S987" s="2">
        <v>45794</v>
      </c>
      <c r="T987" s="2"/>
      <c r="U987" t="str">
        <f t="shared" si="105"/>
        <v>No</v>
      </c>
      <c r="W9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7" t="str">
        <f t="shared" ca="1" si="106"/>
        <v>Overdue</v>
      </c>
      <c r="Y987" t="str">
        <f t="shared" si="107"/>
        <v>Open</v>
      </c>
      <c r="Z987" t="str">
        <f t="shared" si="108"/>
        <v>Apr-2025</v>
      </c>
      <c r="AA987" t="str">
        <f t="shared" si="109"/>
        <v>Q2 2025</v>
      </c>
      <c r="AB987" s="4">
        <f t="shared" ca="1" si="110"/>
        <v>432</v>
      </c>
      <c r="AC987" t="str">
        <f t="shared" si="111"/>
        <v>Medium</v>
      </c>
    </row>
    <row r="988" spans="1:29">
      <c r="A988" t="s">
        <v>3722</v>
      </c>
      <c r="B988" s="2">
        <v>45836</v>
      </c>
      <c r="C988" t="s">
        <v>3723</v>
      </c>
      <c r="D988" t="s">
        <v>1302</v>
      </c>
      <c r="E988" t="s">
        <v>3724</v>
      </c>
      <c r="F988" t="s">
        <v>3725</v>
      </c>
      <c r="G988" t="s">
        <v>179</v>
      </c>
      <c r="H988" t="s">
        <v>180</v>
      </c>
      <c r="I988" t="s">
        <v>148</v>
      </c>
      <c r="J988" t="s">
        <v>99</v>
      </c>
      <c r="K988" t="s">
        <v>194</v>
      </c>
      <c r="L988" t="s">
        <v>154</v>
      </c>
      <c r="M988" t="s">
        <v>73</v>
      </c>
      <c r="N988" t="s">
        <v>73</v>
      </c>
      <c r="O988" s="3">
        <v>405000</v>
      </c>
      <c r="P988" s="4">
        <v>75</v>
      </c>
      <c r="Q988" s="2">
        <v>45893</v>
      </c>
      <c r="R988" s="2">
        <v>46228</v>
      </c>
      <c r="S988" s="2">
        <v>45853</v>
      </c>
      <c r="T988" s="2"/>
      <c r="U988" t="str">
        <f t="shared" si="105"/>
        <v>No</v>
      </c>
      <c r="W9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88" t="str">
        <f t="shared" ca="1" si="106"/>
        <v>Due/Open</v>
      </c>
      <c r="Y988" t="str">
        <f t="shared" si="107"/>
        <v>Open</v>
      </c>
      <c r="Z988" t="str">
        <f t="shared" si="108"/>
        <v>Jun-2025</v>
      </c>
      <c r="AA988" t="str">
        <f t="shared" si="109"/>
        <v>Q2 2025</v>
      </c>
      <c r="AB988" s="4">
        <f t="shared" ca="1" si="110"/>
        <v>363</v>
      </c>
      <c r="AC988" t="str">
        <f t="shared" si="111"/>
        <v>High</v>
      </c>
    </row>
    <row r="989" spans="1:29">
      <c r="A989" t="s">
        <v>3726</v>
      </c>
      <c r="B989" s="2">
        <v>46170</v>
      </c>
      <c r="C989" t="s">
        <v>483</v>
      </c>
      <c r="D989" t="s">
        <v>315</v>
      </c>
      <c r="E989" t="s">
        <v>3727</v>
      </c>
      <c r="F989" t="s">
        <v>3728</v>
      </c>
      <c r="G989" t="s">
        <v>179</v>
      </c>
      <c r="H989" t="s">
        <v>186</v>
      </c>
      <c r="I989" t="s">
        <v>141</v>
      </c>
      <c r="J989" t="s">
        <v>131</v>
      </c>
      <c r="K989" t="s">
        <v>71</v>
      </c>
      <c r="L989" t="s">
        <v>39</v>
      </c>
      <c r="M989" t="s">
        <v>210</v>
      </c>
      <c r="N989" t="s">
        <v>134</v>
      </c>
      <c r="O989" s="3">
        <v>175000</v>
      </c>
      <c r="P989" s="4">
        <v>0</v>
      </c>
      <c r="Q989" s="2">
        <v>46189</v>
      </c>
      <c r="R989" s="2"/>
      <c r="S989" s="2">
        <v>46190</v>
      </c>
      <c r="T989" s="2">
        <v>46189</v>
      </c>
      <c r="U989" t="str">
        <f t="shared" si="105"/>
        <v>No</v>
      </c>
      <c r="V989" t="s">
        <v>452</v>
      </c>
      <c r="W9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989" t="str">
        <f t="shared" ca="1" si="106"/>
        <v>Closed</v>
      </c>
      <c r="Y989" t="str">
        <f t="shared" si="107"/>
        <v>Closed</v>
      </c>
      <c r="Z989" t="str">
        <f t="shared" si="108"/>
        <v>May-2026</v>
      </c>
      <c r="AA989" t="str">
        <f t="shared" si="109"/>
        <v>Q2 2026</v>
      </c>
      <c r="AB989" s="4">
        <f t="shared" ca="1" si="110"/>
        <v>29</v>
      </c>
      <c r="AC989" t="str">
        <f t="shared" si="111"/>
        <v>Medium</v>
      </c>
    </row>
    <row r="990" spans="1:29">
      <c r="A990" t="s">
        <v>3729</v>
      </c>
      <c r="B990" s="2">
        <v>46012</v>
      </c>
      <c r="C990" t="s">
        <v>1932</v>
      </c>
      <c r="D990" t="s">
        <v>342</v>
      </c>
      <c r="E990" t="s">
        <v>3730</v>
      </c>
      <c r="F990" t="s">
        <v>3731</v>
      </c>
      <c r="G990" t="s">
        <v>47</v>
      </c>
      <c r="H990" t="s">
        <v>89</v>
      </c>
      <c r="I990" t="s">
        <v>36</v>
      </c>
      <c r="J990" t="s">
        <v>131</v>
      </c>
      <c r="K990" t="s">
        <v>114</v>
      </c>
      <c r="L990" t="s">
        <v>132</v>
      </c>
      <c r="M990" t="s">
        <v>73</v>
      </c>
      <c r="N990" t="s">
        <v>73</v>
      </c>
      <c r="O990" s="3">
        <v>150000</v>
      </c>
      <c r="P990" s="4">
        <v>75</v>
      </c>
      <c r="Q990" s="2">
        <v>46083</v>
      </c>
      <c r="R990" s="2">
        <v>46228</v>
      </c>
      <c r="S990" s="2">
        <v>46026</v>
      </c>
      <c r="T990" s="2"/>
      <c r="U990" t="str">
        <f t="shared" si="105"/>
        <v>No</v>
      </c>
      <c r="W9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0" t="str">
        <f t="shared" ca="1" si="106"/>
        <v>Due/Open</v>
      </c>
      <c r="Y990" t="str">
        <f t="shared" si="107"/>
        <v>Open</v>
      </c>
      <c r="Z990" t="str">
        <f t="shared" si="108"/>
        <v>Dec-2025</v>
      </c>
      <c r="AA990" t="str">
        <f t="shared" si="109"/>
        <v>Q4 2025</v>
      </c>
      <c r="AB990" s="4">
        <f t="shared" ca="1" si="110"/>
        <v>187</v>
      </c>
      <c r="AC990" t="str">
        <f t="shared" si="111"/>
        <v>Medium</v>
      </c>
    </row>
    <row r="991" spans="1:29">
      <c r="A991" t="s">
        <v>3732</v>
      </c>
      <c r="B991" s="2">
        <v>46056</v>
      </c>
      <c r="C991" t="s">
        <v>1577</v>
      </c>
      <c r="D991" t="s">
        <v>1098</v>
      </c>
      <c r="E991" t="s">
        <v>3733</v>
      </c>
      <c r="F991" t="s">
        <v>3734</v>
      </c>
      <c r="G991" t="s">
        <v>34</v>
      </c>
      <c r="H991" t="s">
        <v>35</v>
      </c>
      <c r="I991" t="s">
        <v>98</v>
      </c>
      <c r="J991" t="s">
        <v>99</v>
      </c>
      <c r="K991" t="s">
        <v>71</v>
      </c>
      <c r="L991" t="s">
        <v>52</v>
      </c>
      <c r="M991" t="s">
        <v>73</v>
      </c>
      <c r="N991" t="s">
        <v>73</v>
      </c>
      <c r="O991" s="3">
        <v>285000</v>
      </c>
      <c r="P991" s="4">
        <v>85</v>
      </c>
      <c r="Q991" s="2">
        <v>46130</v>
      </c>
      <c r="R991" s="2">
        <v>46203</v>
      </c>
      <c r="S991" s="2">
        <v>46065</v>
      </c>
      <c r="T991" s="2"/>
      <c r="U991" t="str">
        <f t="shared" si="105"/>
        <v>No</v>
      </c>
      <c r="W9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1" t="str">
        <f t="shared" ca="1" si="106"/>
        <v>Due/Open</v>
      </c>
      <c r="Y991" t="str">
        <f t="shared" si="107"/>
        <v>Open</v>
      </c>
      <c r="Z991" t="str">
        <f t="shared" si="108"/>
        <v>Feb-2026</v>
      </c>
      <c r="AA991" t="str">
        <f t="shared" si="109"/>
        <v>Q1 2026</v>
      </c>
      <c r="AB991" s="4">
        <f t="shared" ca="1" si="110"/>
        <v>143</v>
      </c>
      <c r="AC991" t="str">
        <f t="shared" si="111"/>
        <v>Medium</v>
      </c>
    </row>
    <row r="992" spans="1:29">
      <c r="A992" t="s">
        <v>3735</v>
      </c>
      <c r="B992" s="2">
        <v>45671</v>
      </c>
      <c r="C992" t="s">
        <v>75</v>
      </c>
      <c r="D992" t="s">
        <v>1021</v>
      </c>
      <c r="E992" t="s">
        <v>3736</v>
      </c>
      <c r="F992" t="s">
        <v>3737</v>
      </c>
      <c r="G992" t="s">
        <v>69</v>
      </c>
      <c r="H992" t="s">
        <v>270</v>
      </c>
      <c r="I992" t="s">
        <v>141</v>
      </c>
      <c r="J992" t="s">
        <v>62</v>
      </c>
      <c r="K992" t="s">
        <v>114</v>
      </c>
      <c r="L992" t="s">
        <v>39</v>
      </c>
      <c r="M992" t="s">
        <v>166</v>
      </c>
      <c r="N992" t="s">
        <v>167</v>
      </c>
      <c r="O992" s="3">
        <v>240000</v>
      </c>
      <c r="P992" s="4">
        <v>70</v>
      </c>
      <c r="Q992" s="2">
        <v>45700</v>
      </c>
      <c r="R992" s="2">
        <v>46205</v>
      </c>
      <c r="S992" s="2">
        <v>45693</v>
      </c>
      <c r="T992" s="2"/>
      <c r="U992" t="str">
        <f t="shared" si="105"/>
        <v>No</v>
      </c>
      <c r="W9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2" t="str">
        <f t="shared" ca="1" si="106"/>
        <v>Due/Open</v>
      </c>
      <c r="Y992" t="str">
        <f t="shared" si="107"/>
        <v>Open</v>
      </c>
      <c r="Z992" t="str">
        <f t="shared" si="108"/>
        <v>Jan-2025</v>
      </c>
      <c r="AA992" t="str">
        <f t="shared" si="109"/>
        <v>Q1 2025</v>
      </c>
      <c r="AB992" s="4">
        <f t="shared" ca="1" si="110"/>
        <v>528</v>
      </c>
      <c r="AC992" t="str">
        <f t="shared" si="111"/>
        <v>Medium</v>
      </c>
    </row>
    <row r="993" spans="1:29">
      <c r="A993" t="s">
        <v>3738</v>
      </c>
      <c r="B993" s="2">
        <v>45962</v>
      </c>
      <c r="C993" t="s">
        <v>3739</v>
      </c>
      <c r="D993" t="s">
        <v>342</v>
      </c>
      <c r="E993" t="s">
        <v>3740</v>
      </c>
      <c r="F993" t="s">
        <v>3741</v>
      </c>
      <c r="G993" t="s">
        <v>179</v>
      </c>
      <c r="H993" t="s">
        <v>180</v>
      </c>
      <c r="I993" t="s">
        <v>49</v>
      </c>
      <c r="J993" t="s">
        <v>99</v>
      </c>
      <c r="K993" t="s">
        <v>114</v>
      </c>
      <c r="L993" t="s">
        <v>239</v>
      </c>
      <c r="M993" t="s">
        <v>116</v>
      </c>
      <c r="N993" t="s">
        <v>54</v>
      </c>
      <c r="O993" s="3">
        <v>525000</v>
      </c>
      <c r="P993" s="4">
        <v>25</v>
      </c>
      <c r="Q993" s="2">
        <v>45997</v>
      </c>
      <c r="R993" s="2">
        <v>46240</v>
      </c>
      <c r="S993" s="2">
        <v>45982</v>
      </c>
      <c r="T993" s="2"/>
      <c r="U993" t="str">
        <f t="shared" si="105"/>
        <v>No</v>
      </c>
      <c r="W9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3" t="str">
        <f t="shared" ca="1" si="106"/>
        <v>Due/Open</v>
      </c>
      <c r="Y993" t="str">
        <f t="shared" si="107"/>
        <v>Open</v>
      </c>
      <c r="Z993" t="str">
        <f t="shared" si="108"/>
        <v>Nov-2025</v>
      </c>
      <c r="AA993" t="str">
        <f t="shared" si="109"/>
        <v>Q4 2025</v>
      </c>
      <c r="AB993" s="4">
        <f t="shared" ca="1" si="110"/>
        <v>237</v>
      </c>
      <c r="AC993" t="str">
        <f t="shared" si="111"/>
        <v>High</v>
      </c>
    </row>
    <row r="994" spans="1:29">
      <c r="A994" t="s">
        <v>3742</v>
      </c>
      <c r="B994" s="2">
        <v>46138</v>
      </c>
      <c r="C994" t="s">
        <v>1682</v>
      </c>
      <c r="D994" t="s">
        <v>3463</v>
      </c>
      <c r="E994" t="s">
        <v>3743</v>
      </c>
      <c r="F994" t="s">
        <v>3744</v>
      </c>
      <c r="G994" t="s">
        <v>69</v>
      </c>
      <c r="H994" t="s">
        <v>70</v>
      </c>
      <c r="I994" t="s">
        <v>36</v>
      </c>
      <c r="J994" t="s">
        <v>37</v>
      </c>
      <c r="K994" t="s">
        <v>100</v>
      </c>
      <c r="L994" t="s">
        <v>115</v>
      </c>
      <c r="M994" t="s">
        <v>133</v>
      </c>
      <c r="N994" t="s">
        <v>134</v>
      </c>
      <c r="O994" s="3">
        <v>140000</v>
      </c>
      <c r="P994" s="4">
        <v>0</v>
      </c>
      <c r="Q994" s="2">
        <v>46171</v>
      </c>
      <c r="R994" s="2"/>
      <c r="S994" s="2">
        <v>46148</v>
      </c>
      <c r="T994" s="2">
        <v>46171</v>
      </c>
      <c r="U994" t="str">
        <f t="shared" si="105"/>
        <v>No</v>
      </c>
      <c r="V994" t="s">
        <v>452</v>
      </c>
      <c r="W9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33</v>
      </c>
      <c r="X994" t="str">
        <f t="shared" ca="1" si="106"/>
        <v>Closed</v>
      </c>
      <c r="Y994" t="str">
        <f t="shared" si="107"/>
        <v>Closed</v>
      </c>
      <c r="Z994" t="str">
        <f t="shared" si="108"/>
        <v>Apr-2026</v>
      </c>
      <c r="AA994" t="str">
        <f t="shared" si="109"/>
        <v>Q2 2026</v>
      </c>
      <c r="AB994" s="4">
        <f t="shared" ca="1" si="110"/>
        <v>61</v>
      </c>
      <c r="AC994" t="str">
        <f t="shared" si="111"/>
        <v>Medium</v>
      </c>
    </row>
    <row r="995" spans="1:29">
      <c r="A995" t="s">
        <v>3745</v>
      </c>
      <c r="B995" s="2">
        <v>45968</v>
      </c>
      <c r="C995" t="s">
        <v>985</v>
      </c>
      <c r="D995" t="s">
        <v>627</v>
      </c>
      <c r="E995" t="s">
        <v>3746</v>
      </c>
      <c r="F995" t="s">
        <v>3747</v>
      </c>
      <c r="G995" t="s">
        <v>69</v>
      </c>
      <c r="H995" t="s">
        <v>70</v>
      </c>
      <c r="I995" t="s">
        <v>187</v>
      </c>
      <c r="J995" t="s">
        <v>50</v>
      </c>
      <c r="K995" t="s">
        <v>114</v>
      </c>
      <c r="L995" t="s">
        <v>107</v>
      </c>
      <c r="M995" t="s">
        <v>133</v>
      </c>
      <c r="N995" t="s">
        <v>134</v>
      </c>
      <c r="O995" s="3">
        <v>140000</v>
      </c>
      <c r="P995" s="4">
        <v>0</v>
      </c>
      <c r="Q995" s="2">
        <v>45980</v>
      </c>
      <c r="R995" s="2"/>
      <c r="S995" s="2">
        <v>45990</v>
      </c>
      <c r="T995" s="2">
        <v>45980</v>
      </c>
      <c r="U995" t="str">
        <f t="shared" si="105"/>
        <v>No</v>
      </c>
      <c r="V995" t="s">
        <v>1105</v>
      </c>
      <c r="W99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995" t="str">
        <f t="shared" ca="1" si="106"/>
        <v>Closed</v>
      </c>
      <c r="Y995" t="str">
        <f t="shared" si="107"/>
        <v>Closed</v>
      </c>
      <c r="Z995" t="str">
        <f t="shared" si="108"/>
        <v>Nov-2025</v>
      </c>
      <c r="AA995" t="str">
        <f t="shared" si="109"/>
        <v>Q4 2025</v>
      </c>
      <c r="AB995" s="4">
        <f t="shared" ca="1" si="110"/>
        <v>231</v>
      </c>
      <c r="AC995" t="str">
        <f t="shared" si="111"/>
        <v>Medium</v>
      </c>
    </row>
    <row r="996" spans="1:29">
      <c r="A996" t="s">
        <v>3748</v>
      </c>
      <c r="B996" s="2">
        <v>45875</v>
      </c>
      <c r="C996" t="s">
        <v>899</v>
      </c>
      <c r="D996" t="s">
        <v>705</v>
      </c>
      <c r="E996" t="s">
        <v>3749</v>
      </c>
      <c r="F996" t="s">
        <v>3750</v>
      </c>
      <c r="G996" t="s">
        <v>79</v>
      </c>
      <c r="H996" t="s">
        <v>97</v>
      </c>
      <c r="I996" t="s">
        <v>148</v>
      </c>
      <c r="J996" t="s">
        <v>62</v>
      </c>
      <c r="K996" t="s">
        <v>114</v>
      </c>
      <c r="L996" t="s">
        <v>125</v>
      </c>
      <c r="M996" t="s">
        <v>166</v>
      </c>
      <c r="N996" t="s">
        <v>167</v>
      </c>
      <c r="O996" s="3">
        <v>255000</v>
      </c>
      <c r="P996" s="4">
        <v>65</v>
      </c>
      <c r="Q996" s="2">
        <v>45922</v>
      </c>
      <c r="R996" s="2">
        <v>46167</v>
      </c>
      <c r="S996" s="2">
        <v>45880</v>
      </c>
      <c r="T996" s="2"/>
      <c r="U996" t="str">
        <f t="shared" si="105"/>
        <v>No</v>
      </c>
      <c r="W9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6" t="str">
        <f t="shared" ca="1" si="106"/>
        <v>Overdue</v>
      </c>
      <c r="Y996" t="str">
        <f t="shared" si="107"/>
        <v>Open</v>
      </c>
      <c r="Z996" t="str">
        <f t="shared" si="108"/>
        <v>Aug-2025</v>
      </c>
      <c r="AA996" t="str">
        <f t="shared" si="109"/>
        <v>Q3 2025</v>
      </c>
      <c r="AB996" s="4">
        <f t="shared" ca="1" si="110"/>
        <v>324</v>
      </c>
      <c r="AC996" t="str">
        <f t="shared" si="111"/>
        <v>Medium</v>
      </c>
    </row>
    <row r="997" spans="1:29">
      <c r="A997" t="s">
        <v>3751</v>
      </c>
      <c r="B997" s="2">
        <v>45801</v>
      </c>
      <c r="C997" t="s">
        <v>1529</v>
      </c>
      <c r="D997" t="s">
        <v>1302</v>
      </c>
      <c r="E997" t="s">
        <v>3752</v>
      </c>
      <c r="F997" t="s">
        <v>3753</v>
      </c>
      <c r="G997" t="s">
        <v>34</v>
      </c>
      <c r="H997" t="s">
        <v>60</v>
      </c>
      <c r="I997" t="s">
        <v>141</v>
      </c>
      <c r="J997" t="s">
        <v>131</v>
      </c>
      <c r="K997" t="s">
        <v>100</v>
      </c>
      <c r="L997" t="s">
        <v>81</v>
      </c>
      <c r="M997" t="s">
        <v>73</v>
      </c>
      <c r="N997" t="s">
        <v>73</v>
      </c>
      <c r="O997" s="3">
        <v>235000</v>
      </c>
      <c r="P997" s="4">
        <v>85</v>
      </c>
      <c r="Q997" s="2">
        <v>45834</v>
      </c>
      <c r="R997" s="2">
        <v>46232</v>
      </c>
      <c r="S997" s="2">
        <v>45810</v>
      </c>
      <c r="T997" s="2"/>
      <c r="U997" t="str">
        <f t="shared" si="105"/>
        <v>No</v>
      </c>
      <c r="W9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7" t="str">
        <f t="shared" ca="1" si="106"/>
        <v>Due/Open</v>
      </c>
      <c r="Y997" t="str">
        <f t="shared" si="107"/>
        <v>Open</v>
      </c>
      <c r="Z997" t="str">
        <f t="shared" si="108"/>
        <v>May-2025</v>
      </c>
      <c r="AA997" t="str">
        <f t="shared" si="109"/>
        <v>Q2 2025</v>
      </c>
      <c r="AB997" s="4">
        <f t="shared" ca="1" si="110"/>
        <v>398</v>
      </c>
      <c r="AC997" t="str">
        <f t="shared" si="111"/>
        <v>Medium</v>
      </c>
    </row>
    <row r="998" spans="1:29">
      <c r="A998" t="s">
        <v>3754</v>
      </c>
      <c r="B998" s="2">
        <v>45774</v>
      </c>
      <c r="C998" t="s">
        <v>2210</v>
      </c>
      <c r="D998" t="s">
        <v>742</v>
      </c>
      <c r="E998" t="s">
        <v>3755</v>
      </c>
      <c r="F998" t="s">
        <v>3756</v>
      </c>
      <c r="G998" t="s">
        <v>69</v>
      </c>
      <c r="H998" t="s">
        <v>70</v>
      </c>
      <c r="I998" t="s">
        <v>98</v>
      </c>
      <c r="J998" t="s">
        <v>50</v>
      </c>
      <c r="K998" t="s">
        <v>100</v>
      </c>
      <c r="L998" t="s">
        <v>72</v>
      </c>
      <c r="M998" t="s">
        <v>82</v>
      </c>
      <c r="N998" t="s">
        <v>83</v>
      </c>
      <c r="O998" s="3">
        <v>340000</v>
      </c>
      <c r="P998" s="4">
        <v>10</v>
      </c>
      <c r="Q998" s="2">
        <v>45869</v>
      </c>
      <c r="R998" s="2">
        <v>46241</v>
      </c>
      <c r="S998" s="2">
        <v>45798</v>
      </c>
      <c r="T998" s="2"/>
      <c r="U998" t="str">
        <f t="shared" si="105"/>
        <v>No</v>
      </c>
      <c r="W9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8" t="str">
        <f t="shared" ca="1" si="106"/>
        <v>Due/Open</v>
      </c>
      <c r="Y998" t="str">
        <f t="shared" si="107"/>
        <v>Open</v>
      </c>
      <c r="Z998" t="str">
        <f t="shared" si="108"/>
        <v>Apr-2025</v>
      </c>
      <c r="AA998" t="str">
        <f t="shared" si="109"/>
        <v>Q2 2025</v>
      </c>
      <c r="AB998" s="4">
        <f t="shared" ca="1" si="110"/>
        <v>425</v>
      </c>
      <c r="AC998" t="str">
        <f t="shared" si="111"/>
        <v>High</v>
      </c>
    </row>
    <row r="999" spans="1:29">
      <c r="A999" t="s">
        <v>3757</v>
      </c>
      <c r="B999" s="2">
        <v>45990</v>
      </c>
      <c r="C999" t="s">
        <v>3758</v>
      </c>
      <c r="D999" t="s">
        <v>347</v>
      </c>
      <c r="E999" t="s">
        <v>3759</v>
      </c>
      <c r="F999" t="s">
        <v>3760</v>
      </c>
      <c r="G999" t="s">
        <v>69</v>
      </c>
      <c r="H999" t="s">
        <v>270</v>
      </c>
      <c r="I999" t="s">
        <v>123</v>
      </c>
      <c r="J999" t="s">
        <v>99</v>
      </c>
      <c r="K999" t="s">
        <v>114</v>
      </c>
      <c r="L999" t="s">
        <v>63</v>
      </c>
      <c r="M999" t="s">
        <v>90</v>
      </c>
      <c r="N999" t="s">
        <v>91</v>
      </c>
      <c r="O999" s="3">
        <v>255000</v>
      </c>
      <c r="P999" s="4">
        <v>55</v>
      </c>
      <c r="Q999" s="2">
        <v>46021</v>
      </c>
      <c r="R999" s="2">
        <v>46196</v>
      </c>
      <c r="S999" s="2">
        <v>46014</v>
      </c>
      <c r="T999" s="2"/>
      <c r="U999" t="str">
        <f t="shared" si="105"/>
        <v>No</v>
      </c>
      <c r="W9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999" t="str">
        <f t="shared" ca="1" si="106"/>
        <v>Overdue</v>
      </c>
      <c r="Y999" t="str">
        <f t="shared" si="107"/>
        <v>Open</v>
      </c>
      <c r="Z999" t="str">
        <f t="shared" si="108"/>
        <v>Nov-2025</v>
      </c>
      <c r="AA999" t="str">
        <f t="shared" si="109"/>
        <v>Q4 2025</v>
      </c>
      <c r="AB999" s="4">
        <f t="shared" ca="1" si="110"/>
        <v>209</v>
      </c>
      <c r="AC999" t="str">
        <f t="shared" si="111"/>
        <v>Medium</v>
      </c>
    </row>
    <row r="1000" spans="1:29">
      <c r="A1000" t="s">
        <v>3761</v>
      </c>
      <c r="B1000" s="2">
        <v>46168</v>
      </c>
      <c r="C1000" t="s">
        <v>341</v>
      </c>
      <c r="D1000" t="s">
        <v>299</v>
      </c>
      <c r="E1000" t="s">
        <v>3762</v>
      </c>
      <c r="F1000" t="s">
        <v>3763</v>
      </c>
      <c r="G1000" t="s">
        <v>179</v>
      </c>
      <c r="H1000" t="s">
        <v>186</v>
      </c>
      <c r="I1000" t="s">
        <v>148</v>
      </c>
      <c r="J1000" t="s">
        <v>62</v>
      </c>
      <c r="K1000" t="s">
        <v>51</v>
      </c>
      <c r="L1000" t="s">
        <v>239</v>
      </c>
      <c r="M1000" t="s">
        <v>82</v>
      </c>
      <c r="N1000" t="s">
        <v>83</v>
      </c>
      <c r="O1000" s="3">
        <v>305000</v>
      </c>
      <c r="P1000" s="4">
        <v>5</v>
      </c>
      <c r="Q1000" s="2">
        <v>46198</v>
      </c>
      <c r="R1000" s="2">
        <v>46186</v>
      </c>
      <c r="S1000" s="2">
        <v>46176</v>
      </c>
      <c r="T1000" s="2"/>
      <c r="U1000" t="str">
        <f t="shared" si="105"/>
        <v>No</v>
      </c>
      <c r="W10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0" t="str">
        <f t="shared" ca="1" si="106"/>
        <v>Overdue</v>
      </c>
      <c r="Y1000" t="str">
        <f t="shared" si="107"/>
        <v>Open</v>
      </c>
      <c r="Z1000" t="str">
        <f t="shared" si="108"/>
        <v>May-2026</v>
      </c>
      <c r="AA1000" t="str">
        <f t="shared" si="109"/>
        <v>Q2 2026</v>
      </c>
      <c r="AB1000" s="4">
        <f t="shared" ca="1" si="110"/>
        <v>31</v>
      </c>
      <c r="AC1000" t="str">
        <f t="shared" si="111"/>
        <v>High</v>
      </c>
    </row>
    <row r="1001" spans="1:29">
      <c r="A1001" t="s">
        <v>3764</v>
      </c>
      <c r="B1001" s="2">
        <v>45709</v>
      </c>
      <c r="C1001" t="s">
        <v>3765</v>
      </c>
      <c r="D1001" t="s">
        <v>512</v>
      </c>
      <c r="E1001" t="s">
        <v>3766</v>
      </c>
      <c r="F1001" t="s">
        <v>3767</v>
      </c>
      <c r="G1001" t="s">
        <v>34</v>
      </c>
      <c r="H1001" t="s">
        <v>160</v>
      </c>
      <c r="I1001" t="s">
        <v>187</v>
      </c>
      <c r="J1001" t="s">
        <v>37</v>
      </c>
      <c r="K1001" t="s">
        <v>114</v>
      </c>
      <c r="L1001" t="s">
        <v>115</v>
      </c>
      <c r="M1001" t="s">
        <v>210</v>
      </c>
      <c r="N1001" t="s">
        <v>134</v>
      </c>
      <c r="O1001" s="3">
        <v>65000</v>
      </c>
      <c r="P1001" s="4">
        <v>0</v>
      </c>
      <c r="Q1001" s="2">
        <v>45752</v>
      </c>
      <c r="R1001" s="2"/>
      <c r="S1001" s="2">
        <v>45725</v>
      </c>
      <c r="T1001" s="2">
        <v>45752</v>
      </c>
      <c r="U1001" t="str">
        <f t="shared" si="105"/>
        <v>No</v>
      </c>
      <c r="V1001" t="s">
        <v>135</v>
      </c>
      <c r="W100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43</v>
      </c>
      <c r="X1001" t="str">
        <f t="shared" ca="1" si="106"/>
        <v>Closed</v>
      </c>
      <c r="Y1001" t="str">
        <f t="shared" si="107"/>
        <v>Closed</v>
      </c>
      <c r="Z1001" t="str">
        <f t="shared" si="108"/>
        <v>Feb-2025</v>
      </c>
      <c r="AA1001" t="str">
        <f t="shared" si="109"/>
        <v>Q1 2025</v>
      </c>
      <c r="AB1001" s="4">
        <f t="shared" ca="1" si="110"/>
        <v>490</v>
      </c>
      <c r="AC1001" t="str">
        <f t="shared" si="111"/>
        <v>Low</v>
      </c>
    </row>
    <row r="1002" spans="1:29">
      <c r="A1002" t="s">
        <v>3768</v>
      </c>
      <c r="B1002" s="2">
        <v>46014</v>
      </c>
      <c r="C1002" t="s">
        <v>1233</v>
      </c>
      <c r="D1002" t="s">
        <v>831</v>
      </c>
      <c r="E1002" t="s">
        <v>3769</v>
      </c>
      <c r="F1002" t="s">
        <v>3770</v>
      </c>
      <c r="G1002" t="s">
        <v>69</v>
      </c>
      <c r="H1002" t="s">
        <v>200</v>
      </c>
      <c r="I1002" t="s">
        <v>49</v>
      </c>
      <c r="J1002" t="s">
        <v>99</v>
      </c>
      <c r="K1002" t="s">
        <v>194</v>
      </c>
      <c r="L1002" t="s">
        <v>39</v>
      </c>
      <c r="M1002" t="s">
        <v>166</v>
      </c>
      <c r="N1002" t="s">
        <v>167</v>
      </c>
      <c r="O1002" s="3">
        <v>630000</v>
      </c>
      <c r="P1002" s="4">
        <v>70</v>
      </c>
      <c r="Q1002" s="2">
        <v>46076</v>
      </c>
      <c r="R1002" s="2">
        <v>46228</v>
      </c>
      <c r="S1002" s="2">
        <v>46022</v>
      </c>
      <c r="T1002" s="2"/>
      <c r="U1002" t="str">
        <f t="shared" si="105"/>
        <v>No</v>
      </c>
      <c r="W10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2" t="str">
        <f t="shared" ca="1" si="106"/>
        <v>Due/Open</v>
      </c>
      <c r="Y1002" t="str">
        <f t="shared" si="107"/>
        <v>Open</v>
      </c>
      <c r="Z1002" t="str">
        <f t="shared" si="108"/>
        <v>Dec-2025</v>
      </c>
      <c r="AA1002" t="str">
        <f t="shared" si="109"/>
        <v>Q4 2025</v>
      </c>
      <c r="AB1002" s="4">
        <f t="shared" ca="1" si="110"/>
        <v>185</v>
      </c>
      <c r="AC1002" t="str">
        <f t="shared" si="111"/>
        <v>High</v>
      </c>
    </row>
    <row r="1003" spans="1:29">
      <c r="A1003" t="s">
        <v>3771</v>
      </c>
      <c r="B1003" s="2">
        <v>46016</v>
      </c>
      <c r="C1003" t="s">
        <v>1011</v>
      </c>
      <c r="D1003" t="s">
        <v>176</v>
      </c>
      <c r="E1003" t="s">
        <v>3772</v>
      </c>
      <c r="F1003" t="s">
        <v>3773</v>
      </c>
      <c r="G1003" t="s">
        <v>47</v>
      </c>
      <c r="H1003" t="s">
        <v>113</v>
      </c>
      <c r="I1003" t="s">
        <v>141</v>
      </c>
      <c r="J1003" t="s">
        <v>99</v>
      </c>
      <c r="K1003" t="s">
        <v>114</v>
      </c>
      <c r="L1003" t="s">
        <v>63</v>
      </c>
      <c r="M1003" t="s">
        <v>166</v>
      </c>
      <c r="N1003" t="s">
        <v>167</v>
      </c>
      <c r="O1003" s="3">
        <v>630000</v>
      </c>
      <c r="P1003" s="4">
        <v>70</v>
      </c>
      <c r="Q1003" s="2">
        <v>46074</v>
      </c>
      <c r="R1003" s="2">
        <v>46202</v>
      </c>
      <c r="S1003" s="2">
        <v>46037</v>
      </c>
      <c r="T1003" s="2"/>
      <c r="U1003" t="str">
        <f t="shared" si="105"/>
        <v>No</v>
      </c>
      <c r="W10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3" t="str">
        <f t="shared" ca="1" si="106"/>
        <v>Due/Open</v>
      </c>
      <c r="Y1003" t="str">
        <f t="shared" si="107"/>
        <v>Open</v>
      </c>
      <c r="Z1003" t="str">
        <f t="shared" si="108"/>
        <v>Dec-2025</v>
      </c>
      <c r="AA1003" t="str">
        <f t="shared" si="109"/>
        <v>Q4 2025</v>
      </c>
      <c r="AB1003" s="4">
        <f t="shared" ca="1" si="110"/>
        <v>183</v>
      </c>
      <c r="AC1003" t="str">
        <f t="shared" si="111"/>
        <v>High</v>
      </c>
    </row>
    <row r="1004" spans="1:29">
      <c r="A1004" t="s">
        <v>3774</v>
      </c>
      <c r="B1004" s="2">
        <v>46145</v>
      </c>
      <c r="C1004" t="s">
        <v>196</v>
      </c>
      <c r="D1004" t="s">
        <v>943</v>
      </c>
      <c r="E1004" t="s">
        <v>3775</v>
      </c>
      <c r="F1004" t="s">
        <v>3776</v>
      </c>
      <c r="G1004" t="s">
        <v>79</v>
      </c>
      <c r="H1004" t="s">
        <v>217</v>
      </c>
      <c r="I1004" t="s">
        <v>98</v>
      </c>
      <c r="J1004" t="s">
        <v>124</v>
      </c>
      <c r="K1004" t="s">
        <v>100</v>
      </c>
      <c r="L1004" t="s">
        <v>239</v>
      </c>
      <c r="M1004" t="s">
        <v>82</v>
      </c>
      <c r="N1004" t="s">
        <v>83</v>
      </c>
      <c r="O1004" s="3">
        <v>165000</v>
      </c>
      <c r="P1004" s="4">
        <v>5</v>
      </c>
      <c r="Q1004" s="2">
        <v>46192</v>
      </c>
      <c r="R1004" s="2">
        <v>46235</v>
      </c>
      <c r="S1004" s="2">
        <v>46169</v>
      </c>
      <c r="T1004" s="2"/>
      <c r="U1004" t="str">
        <f t="shared" si="105"/>
        <v>No</v>
      </c>
      <c r="W10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4" t="str">
        <f t="shared" ca="1" si="106"/>
        <v>Due/Open</v>
      </c>
      <c r="Y1004" t="str">
        <f t="shared" si="107"/>
        <v>Open</v>
      </c>
      <c r="Z1004" t="str">
        <f t="shared" si="108"/>
        <v>May-2026</v>
      </c>
      <c r="AA1004" t="str">
        <f t="shared" si="109"/>
        <v>Q2 2026</v>
      </c>
      <c r="AB1004" s="4">
        <f t="shared" ca="1" si="110"/>
        <v>54</v>
      </c>
      <c r="AC1004" t="str">
        <f t="shared" si="111"/>
        <v>Medium</v>
      </c>
    </row>
    <row r="1005" spans="1:29">
      <c r="A1005" t="s">
        <v>3777</v>
      </c>
      <c r="B1005" s="2">
        <v>46104</v>
      </c>
      <c r="C1005" t="s">
        <v>3778</v>
      </c>
      <c r="D1005" t="s">
        <v>1460</v>
      </c>
      <c r="E1005" t="s">
        <v>3779</v>
      </c>
      <c r="F1005" t="s">
        <v>3780</v>
      </c>
      <c r="G1005" t="s">
        <v>47</v>
      </c>
      <c r="H1005" t="s">
        <v>122</v>
      </c>
      <c r="I1005" t="s">
        <v>49</v>
      </c>
      <c r="J1005" t="s">
        <v>124</v>
      </c>
      <c r="K1005" t="s">
        <v>71</v>
      </c>
      <c r="L1005" t="s">
        <v>115</v>
      </c>
      <c r="M1005" t="s">
        <v>90</v>
      </c>
      <c r="N1005" t="s">
        <v>91</v>
      </c>
      <c r="O1005" s="3">
        <v>245000</v>
      </c>
      <c r="P1005" s="4">
        <v>40</v>
      </c>
      <c r="Q1005" s="2">
        <v>46132</v>
      </c>
      <c r="R1005" s="2">
        <v>46183</v>
      </c>
      <c r="S1005" s="2">
        <v>46105</v>
      </c>
      <c r="T1005" s="2"/>
      <c r="U1005" t="str">
        <f t="shared" si="105"/>
        <v>No</v>
      </c>
      <c r="W10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5" t="str">
        <f t="shared" ca="1" si="106"/>
        <v>Overdue</v>
      </c>
      <c r="Y1005" t="str">
        <f t="shared" si="107"/>
        <v>Open</v>
      </c>
      <c r="Z1005" t="str">
        <f t="shared" si="108"/>
        <v>Mar-2026</v>
      </c>
      <c r="AA1005" t="str">
        <f t="shared" si="109"/>
        <v>Q1 2026</v>
      </c>
      <c r="AB1005" s="4">
        <f t="shared" ca="1" si="110"/>
        <v>95</v>
      </c>
      <c r="AC1005" t="str">
        <f t="shared" si="111"/>
        <v>Medium</v>
      </c>
    </row>
    <row r="1006" spans="1:29">
      <c r="A1006" t="s">
        <v>3781</v>
      </c>
      <c r="B1006" s="2">
        <v>45967</v>
      </c>
      <c r="C1006" t="s">
        <v>3782</v>
      </c>
      <c r="D1006" t="s">
        <v>981</v>
      </c>
      <c r="E1006" t="s">
        <v>3783</v>
      </c>
      <c r="F1006" t="s">
        <v>3784</v>
      </c>
      <c r="G1006" t="s">
        <v>179</v>
      </c>
      <c r="H1006" t="s">
        <v>436</v>
      </c>
      <c r="I1006" t="s">
        <v>61</v>
      </c>
      <c r="J1006" t="s">
        <v>124</v>
      </c>
      <c r="K1006" t="s">
        <v>100</v>
      </c>
      <c r="L1006" t="s">
        <v>125</v>
      </c>
      <c r="M1006" t="s">
        <v>90</v>
      </c>
      <c r="N1006" t="s">
        <v>91</v>
      </c>
      <c r="O1006" s="3">
        <v>185000</v>
      </c>
      <c r="P1006" s="4">
        <v>50</v>
      </c>
      <c r="Q1006" s="2">
        <v>46061</v>
      </c>
      <c r="R1006" s="2">
        <v>46226</v>
      </c>
      <c r="S1006" s="2">
        <v>45971</v>
      </c>
      <c r="T1006" s="2"/>
      <c r="U1006" t="str">
        <f t="shared" si="105"/>
        <v>No</v>
      </c>
      <c r="W10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6" t="str">
        <f t="shared" ca="1" si="106"/>
        <v>Due/Open</v>
      </c>
      <c r="Y1006" t="str">
        <f t="shared" si="107"/>
        <v>Open</v>
      </c>
      <c r="Z1006" t="str">
        <f t="shared" si="108"/>
        <v>Nov-2025</v>
      </c>
      <c r="AA1006" t="str">
        <f t="shared" si="109"/>
        <v>Q4 2025</v>
      </c>
      <c r="AB1006" s="4">
        <f t="shared" ca="1" si="110"/>
        <v>232</v>
      </c>
      <c r="AC1006" t="str">
        <f t="shared" si="111"/>
        <v>Medium</v>
      </c>
    </row>
    <row r="1007" spans="1:29">
      <c r="A1007" t="s">
        <v>3785</v>
      </c>
      <c r="B1007" s="2">
        <v>46036</v>
      </c>
      <c r="C1007" t="s">
        <v>1802</v>
      </c>
      <c r="D1007" t="s">
        <v>282</v>
      </c>
      <c r="E1007" t="s">
        <v>3786</v>
      </c>
      <c r="F1007" t="s">
        <v>3787</v>
      </c>
      <c r="G1007" t="s">
        <v>79</v>
      </c>
      <c r="H1007" t="s">
        <v>106</v>
      </c>
      <c r="I1007" t="s">
        <v>148</v>
      </c>
      <c r="J1007" t="s">
        <v>50</v>
      </c>
      <c r="K1007" t="s">
        <v>194</v>
      </c>
      <c r="L1007" t="s">
        <v>63</v>
      </c>
      <c r="M1007" t="s">
        <v>166</v>
      </c>
      <c r="N1007" t="s">
        <v>167</v>
      </c>
      <c r="O1007" s="3">
        <v>280000</v>
      </c>
      <c r="P1007" s="4">
        <v>60</v>
      </c>
      <c r="Q1007" s="2">
        <v>46097</v>
      </c>
      <c r="R1007" s="2">
        <v>46174</v>
      </c>
      <c r="S1007" s="2">
        <v>46055</v>
      </c>
      <c r="T1007" s="2"/>
      <c r="U1007" t="str">
        <f t="shared" si="105"/>
        <v>No</v>
      </c>
      <c r="W10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7" t="str">
        <f t="shared" ca="1" si="106"/>
        <v>Overdue</v>
      </c>
      <c r="Y1007" t="str">
        <f t="shared" si="107"/>
        <v>Open</v>
      </c>
      <c r="Z1007" t="str">
        <f t="shared" si="108"/>
        <v>Jan-2026</v>
      </c>
      <c r="AA1007" t="str">
        <f t="shared" si="109"/>
        <v>Q1 2026</v>
      </c>
      <c r="AB1007" s="4">
        <f t="shared" ca="1" si="110"/>
        <v>163</v>
      </c>
      <c r="AC1007" t="str">
        <f t="shared" si="111"/>
        <v>Medium</v>
      </c>
    </row>
    <row r="1008" spans="1:29">
      <c r="A1008" t="s">
        <v>3788</v>
      </c>
      <c r="B1008" s="2">
        <v>45956</v>
      </c>
      <c r="C1008" t="s">
        <v>649</v>
      </c>
      <c r="D1008" t="s">
        <v>327</v>
      </c>
      <c r="E1008" t="s">
        <v>3789</v>
      </c>
      <c r="F1008" t="s">
        <v>3790</v>
      </c>
      <c r="G1008" t="s">
        <v>47</v>
      </c>
      <c r="H1008" t="s">
        <v>122</v>
      </c>
      <c r="I1008" t="s">
        <v>141</v>
      </c>
      <c r="J1008" t="s">
        <v>62</v>
      </c>
      <c r="K1008" t="s">
        <v>194</v>
      </c>
      <c r="L1008" t="s">
        <v>81</v>
      </c>
      <c r="M1008" t="s">
        <v>166</v>
      </c>
      <c r="N1008" t="s">
        <v>167</v>
      </c>
      <c r="O1008" s="3">
        <v>230000</v>
      </c>
      <c r="P1008" s="4">
        <v>70</v>
      </c>
      <c r="Q1008" s="2">
        <v>45996</v>
      </c>
      <c r="R1008" s="2">
        <v>46215</v>
      </c>
      <c r="S1008" s="2">
        <v>45972</v>
      </c>
      <c r="T1008" s="2"/>
      <c r="U1008" t="str">
        <f t="shared" si="105"/>
        <v>No</v>
      </c>
      <c r="W10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8" t="str">
        <f t="shared" ca="1" si="106"/>
        <v>Due/Open</v>
      </c>
      <c r="Y1008" t="str">
        <f t="shared" si="107"/>
        <v>Open</v>
      </c>
      <c r="Z1008" t="str">
        <f t="shared" si="108"/>
        <v>Oct-2025</v>
      </c>
      <c r="AA1008" t="str">
        <f t="shared" si="109"/>
        <v>Q4 2025</v>
      </c>
      <c r="AB1008" s="4">
        <f t="shared" ca="1" si="110"/>
        <v>243</v>
      </c>
      <c r="AC1008" t="str">
        <f t="shared" si="111"/>
        <v>Medium</v>
      </c>
    </row>
    <row r="1009" spans="1:29">
      <c r="A1009" t="s">
        <v>3791</v>
      </c>
      <c r="B1009" s="2">
        <v>45663</v>
      </c>
      <c r="C1009" t="s">
        <v>3622</v>
      </c>
      <c r="D1009" t="s">
        <v>1127</v>
      </c>
      <c r="E1009" t="s">
        <v>3792</v>
      </c>
      <c r="F1009" t="s">
        <v>3793</v>
      </c>
      <c r="G1009" t="s">
        <v>47</v>
      </c>
      <c r="H1009" t="s">
        <v>89</v>
      </c>
      <c r="I1009" t="s">
        <v>36</v>
      </c>
      <c r="J1009" t="s">
        <v>37</v>
      </c>
      <c r="K1009" t="s">
        <v>51</v>
      </c>
      <c r="L1009" t="s">
        <v>52</v>
      </c>
      <c r="M1009" t="s">
        <v>116</v>
      </c>
      <c r="N1009" t="s">
        <v>54</v>
      </c>
      <c r="O1009" s="3">
        <v>85000</v>
      </c>
      <c r="P1009" s="4">
        <v>20</v>
      </c>
      <c r="Q1009" s="2">
        <v>45730</v>
      </c>
      <c r="R1009" s="2">
        <v>46238</v>
      </c>
      <c r="S1009" s="2">
        <v>45686</v>
      </c>
      <c r="T1009" s="2"/>
      <c r="U1009" t="str">
        <f t="shared" si="105"/>
        <v>No</v>
      </c>
      <c r="W10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09" t="str">
        <f t="shared" ca="1" si="106"/>
        <v>Due/Open</v>
      </c>
      <c r="Y1009" t="str">
        <f t="shared" si="107"/>
        <v>Open</v>
      </c>
      <c r="Z1009" t="str">
        <f t="shared" si="108"/>
        <v>Jan-2025</v>
      </c>
      <c r="AA1009" t="str">
        <f t="shared" si="109"/>
        <v>Q1 2025</v>
      </c>
      <c r="AB1009" s="4">
        <f t="shared" ca="1" si="110"/>
        <v>536</v>
      </c>
      <c r="AC1009" t="str">
        <f t="shared" si="111"/>
        <v>Low</v>
      </c>
    </row>
    <row r="1010" spans="1:29">
      <c r="A1010" t="s">
        <v>3794</v>
      </c>
      <c r="B1010" s="2">
        <v>45693</v>
      </c>
      <c r="C1010" t="s">
        <v>2222</v>
      </c>
      <c r="D1010" t="s">
        <v>407</v>
      </c>
      <c r="E1010" t="s">
        <v>3795</v>
      </c>
      <c r="F1010" t="s">
        <v>3796</v>
      </c>
      <c r="G1010" t="s">
        <v>47</v>
      </c>
      <c r="H1010" t="s">
        <v>48</v>
      </c>
      <c r="I1010" t="s">
        <v>49</v>
      </c>
      <c r="J1010" t="s">
        <v>124</v>
      </c>
      <c r="K1010" t="s">
        <v>38</v>
      </c>
      <c r="L1010" t="s">
        <v>63</v>
      </c>
      <c r="M1010" t="s">
        <v>53</v>
      </c>
      <c r="N1010" t="s">
        <v>54</v>
      </c>
      <c r="O1010" s="3">
        <v>255000</v>
      </c>
      <c r="P1010" s="4">
        <v>30</v>
      </c>
      <c r="Q1010" s="2">
        <v>45736</v>
      </c>
      <c r="R1010" s="2">
        <v>46202</v>
      </c>
      <c r="S1010" s="2">
        <v>45714</v>
      </c>
      <c r="T1010" s="2"/>
      <c r="U1010" t="str">
        <f t="shared" si="105"/>
        <v>No</v>
      </c>
      <c r="W10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0" t="str">
        <f t="shared" ca="1" si="106"/>
        <v>Due/Open</v>
      </c>
      <c r="Y1010" t="str">
        <f t="shared" si="107"/>
        <v>Open</v>
      </c>
      <c r="Z1010" t="str">
        <f t="shared" si="108"/>
        <v>Feb-2025</v>
      </c>
      <c r="AA1010" t="str">
        <f t="shared" si="109"/>
        <v>Q1 2025</v>
      </c>
      <c r="AB1010" s="4">
        <f t="shared" ca="1" si="110"/>
        <v>506</v>
      </c>
      <c r="AC1010" t="str">
        <f t="shared" si="111"/>
        <v>Medium</v>
      </c>
    </row>
    <row r="1011" spans="1:29">
      <c r="A1011" t="s">
        <v>3797</v>
      </c>
      <c r="B1011" s="2">
        <v>45701</v>
      </c>
      <c r="C1011" t="s">
        <v>3798</v>
      </c>
      <c r="D1011" t="s">
        <v>1722</v>
      </c>
      <c r="E1011" t="s">
        <v>3799</v>
      </c>
      <c r="F1011" t="s">
        <v>3800</v>
      </c>
      <c r="G1011" t="s">
        <v>69</v>
      </c>
      <c r="H1011" t="s">
        <v>193</v>
      </c>
      <c r="I1011" t="s">
        <v>98</v>
      </c>
      <c r="J1011" t="s">
        <v>62</v>
      </c>
      <c r="K1011" t="s">
        <v>38</v>
      </c>
      <c r="L1011" t="s">
        <v>39</v>
      </c>
      <c r="M1011" t="s">
        <v>210</v>
      </c>
      <c r="N1011" t="s">
        <v>134</v>
      </c>
      <c r="O1011" s="3">
        <v>410000</v>
      </c>
      <c r="P1011" s="4">
        <v>0</v>
      </c>
      <c r="Q1011" s="2">
        <v>45736</v>
      </c>
      <c r="R1011" s="2"/>
      <c r="S1011" s="2">
        <v>45709</v>
      </c>
      <c r="T1011" s="2">
        <v>45736</v>
      </c>
      <c r="U1011" t="str">
        <f t="shared" si="105"/>
        <v>No</v>
      </c>
      <c r="V1011" t="s">
        <v>135</v>
      </c>
      <c r="W10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1011" t="str">
        <f t="shared" ca="1" si="106"/>
        <v>Closed</v>
      </c>
      <c r="Y1011" t="str">
        <f t="shared" si="107"/>
        <v>Closed</v>
      </c>
      <c r="Z1011" t="str">
        <f t="shared" si="108"/>
        <v>Feb-2025</v>
      </c>
      <c r="AA1011" t="str">
        <f t="shared" si="109"/>
        <v>Q1 2025</v>
      </c>
      <c r="AB1011" s="4">
        <f t="shared" ca="1" si="110"/>
        <v>498</v>
      </c>
      <c r="AC1011" t="str">
        <f t="shared" si="111"/>
        <v>High</v>
      </c>
    </row>
    <row r="1012" spans="1:29">
      <c r="A1012" t="s">
        <v>3801</v>
      </c>
      <c r="B1012" s="2">
        <v>45800</v>
      </c>
      <c r="C1012" t="s">
        <v>1164</v>
      </c>
      <c r="D1012" t="s">
        <v>119</v>
      </c>
      <c r="E1012" t="s">
        <v>3802</v>
      </c>
      <c r="F1012" t="s">
        <v>3803</v>
      </c>
      <c r="G1012" t="s">
        <v>47</v>
      </c>
      <c r="H1012" t="s">
        <v>493</v>
      </c>
      <c r="I1012" t="s">
        <v>141</v>
      </c>
      <c r="J1012" t="s">
        <v>50</v>
      </c>
      <c r="K1012" t="s">
        <v>51</v>
      </c>
      <c r="L1012" t="s">
        <v>154</v>
      </c>
      <c r="M1012" t="s">
        <v>116</v>
      </c>
      <c r="N1012" t="s">
        <v>54</v>
      </c>
      <c r="O1012" s="3">
        <v>275000</v>
      </c>
      <c r="P1012" s="4">
        <v>25</v>
      </c>
      <c r="Q1012" s="2">
        <v>45833</v>
      </c>
      <c r="R1012" s="2">
        <v>46181</v>
      </c>
      <c r="S1012" s="2">
        <v>45813</v>
      </c>
      <c r="T1012" s="2"/>
      <c r="U1012" t="str">
        <f t="shared" si="105"/>
        <v>No</v>
      </c>
      <c r="W10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2" t="str">
        <f t="shared" ca="1" si="106"/>
        <v>Overdue</v>
      </c>
      <c r="Y1012" t="str">
        <f t="shared" si="107"/>
        <v>Open</v>
      </c>
      <c r="Z1012" t="str">
        <f t="shared" si="108"/>
        <v>May-2025</v>
      </c>
      <c r="AA1012" t="str">
        <f t="shared" si="109"/>
        <v>Q2 2025</v>
      </c>
      <c r="AB1012" s="4">
        <f t="shared" ca="1" si="110"/>
        <v>399</v>
      </c>
      <c r="AC1012" t="str">
        <f t="shared" si="111"/>
        <v>Medium</v>
      </c>
    </row>
    <row r="1013" spans="1:29">
      <c r="A1013" t="s">
        <v>3804</v>
      </c>
      <c r="B1013" s="2">
        <v>45808</v>
      </c>
      <c r="C1013" t="s">
        <v>3805</v>
      </c>
      <c r="D1013" t="s">
        <v>831</v>
      </c>
      <c r="E1013" t="s">
        <v>3806</v>
      </c>
      <c r="F1013" t="s">
        <v>3807</v>
      </c>
      <c r="G1013" t="s">
        <v>79</v>
      </c>
      <c r="H1013" t="s">
        <v>217</v>
      </c>
      <c r="I1013" t="s">
        <v>98</v>
      </c>
      <c r="J1013" t="s">
        <v>124</v>
      </c>
      <c r="K1013" t="s">
        <v>114</v>
      </c>
      <c r="L1013" t="s">
        <v>154</v>
      </c>
      <c r="M1013" t="s">
        <v>166</v>
      </c>
      <c r="N1013" t="s">
        <v>167</v>
      </c>
      <c r="O1013" s="3">
        <v>205000</v>
      </c>
      <c r="P1013" s="4">
        <v>60</v>
      </c>
      <c r="Q1013" s="2">
        <v>45872</v>
      </c>
      <c r="R1013" s="2">
        <v>46228</v>
      </c>
      <c r="S1013" s="2">
        <v>45819</v>
      </c>
      <c r="T1013" s="2"/>
      <c r="U1013" t="str">
        <f t="shared" si="105"/>
        <v>No</v>
      </c>
      <c r="W10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3" t="str">
        <f t="shared" ca="1" si="106"/>
        <v>Due/Open</v>
      </c>
      <c r="Y1013" t="str">
        <f t="shared" si="107"/>
        <v>Open</v>
      </c>
      <c r="Z1013" t="str">
        <f t="shared" si="108"/>
        <v>May-2025</v>
      </c>
      <c r="AA1013" t="str">
        <f t="shared" si="109"/>
        <v>Q2 2025</v>
      </c>
      <c r="AB1013" s="4">
        <f t="shared" ca="1" si="110"/>
        <v>391</v>
      </c>
      <c r="AC1013" t="str">
        <f t="shared" si="111"/>
        <v>Medium</v>
      </c>
    </row>
    <row r="1014" spans="1:29">
      <c r="A1014" t="s">
        <v>3808</v>
      </c>
      <c r="B1014" s="2">
        <v>46144</v>
      </c>
      <c r="C1014" t="s">
        <v>499</v>
      </c>
      <c r="D1014" t="s">
        <v>423</v>
      </c>
      <c r="E1014" t="s">
        <v>3809</v>
      </c>
      <c r="F1014" t="s">
        <v>3810</v>
      </c>
      <c r="G1014" t="s">
        <v>69</v>
      </c>
      <c r="H1014" t="s">
        <v>285</v>
      </c>
      <c r="I1014" t="s">
        <v>61</v>
      </c>
      <c r="J1014" t="s">
        <v>131</v>
      </c>
      <c r="K1014" t="s">
        <v>194</v>
      </c>
      <c r="L1014" t="s">
        <v>132</v>
      </c>
      <c r="M1014" t="s">
        <v>53</v>
      </c>
      <c r="N1014" t="s">
        <v>54</v>
      </c>
      <c r="O1014" s="3">
        <v>255000</v>
      </c>
      <c r="P1014" s="4">
        <v>30</v>
      </c>
      <c r="Q1014" s="2">
        <v>46166</v>
      </c>
      <c r="R1014" s="2">
        <v>46225</v>
      </c>
      <c r="S1014" s="2">
        <v>46147</v>
      </c>
      <c r="T1014" s="2"/>
      <c r="U1014" t="str">
        <f t="shared" si="105"/>
        <v>No</v>
      </c>
      <c r="W10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4" t="str">
        <f t="shared" ca="1" si="106"/>
        <v>Due/Open</v>
      </c>
      <c r="Y1014" t="str">
        <f t="shared" si="107"/>
        <v>Open</v>
      </c>
      <c r="Z1014" t="str">
        <f t="shared" si="108"/>
        <v>May-2026</v>
      </c>
      <c r="AA1014" t="str">
        <f t="shared" si="109"/>
        <v>Q2 2026</v>
      </c>
      <c r="AB1014" s="4">
        <f t="shared" ca="1" si="110"/>
        <v>55</v>
      </c>
      <c r="AC1014" t="str">
        <f t="shared" si="111"/>
        <v>Medium</v>
      </c>
    </row>
    <row r="1015" spans="1:29">
      <c r="A1015" t="s">
        <v>3811</v>
      </c>
      <c r="B1015" s="2">
        <v>45700</v>
      </c>
      <c r="C1015" t="s">
        <v>2354</v>
      </c>
      <c r="D1015" t="s">
        <v>1012</v>
      </c>
      <c r="E1015" t="s">
        <v>3812</v>
      </c>
      <c r="F1015" t="s">
        <v>3813</v>
      </c>
      <c r="G1015" t="s">
        <v>47</v>
      </c>
      <c r="H1015" t="s">
        <v>122</v>
      </c>
      <c r="I1015" t="s">
        <v>49</v>
      </c>
      <c r="J1015" t="s">
        <v>62</v>
      </c>
      <c r="K1015" t="s">
        <v>114</v>
      </c>
      <c r="L1015" t="s">
        <v>154</v>
      </c>
      <c r="M1015" t="s">
        <v>90</v>
      </c>
      <c r="N1015" t="s">
        <v>91</v>
      </c>
      <c r="O1015" s="3">
        <v>355000</v>
      </c>
      <c r="P1015" s="4">
        <v>50</v>
      </c>
      <c r="Q1015" s="2">
        <v>45768</v>
      </c>
      <c r="R1015" s="2">
        <v>46238</v>
      </c>
      <c r="S1015" s="2">
        <v>45728</v>
      </c>
      <c r="T1015" s="2"/>
      <c r="U1015" t="str">
        <f t="shared" si="105"/>
        <v>No</v>
      </c>
      <c r="W10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5" t="str">
        <f t="shared" ca="1" si="106"/>
        <v>Due/Open</v>
      </c>
      <c r="Y1015" t="str">
        <f t="shared" si="107"/>
        <v>Open</v>
      </c>
      <c r="Z1015" t="str">
        <f t="shared" si="108"/>
        <v>Feb-2025</v>
      </c>
      <c r="AA1015" t="str">
        <f t="shared" si="109"/>
        <v>Q1 2025</v>
      </c>
      <c r="AB1015" s="4">
        <f t="shared" ca="1" si="110"/>
        <v>499</v>
      </c>
      <c r="AC1015" t="str">
        <f t="shared" si="111"/>
        <v>High</v>
      </c>
    </row>
    <row r="1016" spans="1:29">
      <c r="A1016" t="s">
        <v>3814</v>
      </c>
      <c r="B1016" s="2">
        <v>45979</v>
      </c>
      <c r="C1016" t="s">
        <v>175</v>
      </c>
      <c r="D1016" t="s">
        <v>1127</v>
      </c>
      <c r="E1016" t="s">
        <v>3815</v>
      </c>
      <c r="F1016" t="s">
        <v>3816</v>
      </c>
      <c r="G1016" t="s">
        <v>69</v>
      </c>
      <c r="H1016" t="s">
        <v>193</v>
      </c>
      <c r="I1016" t="s">
        <v>187</v>
      </c>
      <c r="J1016" t="s">
        <v>99</v>
      </c>
      <c r="K1016" t="s">
        <v>51</v>
      </c>
      <c r="L1016" t="s">
        <v>239</v>
      </c>
      <c r="M1016" t="s">
        <v>40</v>
      </c>
      <c r="N1016" t="s">
        <v>41</v>
      </c>
      <c r="O1016" s="3">
        <v>385000</v>
      </c>
      <c r="P1016" s="4">
        <v>100</v>
      </c>
      <c r="Q1016" s="2">
        <v>46015</v>
      </c>
      <c r="R1016" s="2"/>
      <c r="S1016" s="2">
        <v>45991</v>
      </c>
      <c r="T1016" s="2">
        <v>46015</v>
      </c>
      <c r="U1016" t="str">
        <f t="shared" si="105"/>
        <v>Yes</v>
      </c>
      <c r="W101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1016" t="str">
        <f t="shared" ca="1" si="106"/>
        <v>Closed</v>
      </c>
      <c r="Y1016" t="str">
        <f t="shared" si="107"/>
        <v>Closed</v>
      </c>
      <c r="Z1016" t="str">
        <f t="shared" si="108"/>
        <v>Nov-2025</v>
      </c>
      <c r="AA1016" t="str">
        <f t="shared" si="109"/>
        <v>Q4 2025</v>
      </c>
      <c r="AB1016" s="4">
        <f t="shared" ca="1" si="110"/>
        <v>220</v>
      </c>
      <c r="AC1016" t="str">
        <f t="shared" si="111"/>
        <v>High</v>
      </c>
    </row>
    <row r="1017" spans="1:29">
      <c r="A1017" t="s">
        <v>3817</v>
      </c>
      <c r="B1017" s="2">
        <v>46094</v>
      </c>
      <c r="C1017" t="s">
        <v>507</v>
      </c>
      <c r="D1017" t="s">
        <v>1183</v>
      </c>
      <c r="E1017" t="s">
        <v>3818</v>
      </c>
      <c r="F1017" t="s">
        <v>3819</v>
      </c>
      <c r="G1017" t="s">
        <v>179</v>
      </c>
      <c r="H1017" t="s">
        <v>180</v>
      </c>
      <c r="I1017" t="s">
        <v>36</v>
      </c>
      <c r="J1017" t="s">
        <v>50</v>
      </c>
      <c r="K1017" t="s">
        <v>114</v>
      </c>
      <c r="L1017" t="s">
        <v>125</v>
      </c>
      <c r="M1017" t="s">
        <v>210</v>
      </c>
      <c r="N1017" t="s">
        <v>134</v>
      </c>
      <c r="O1017" s="3">
        <v>260000</v>
      </c>
      <c r="P1017" s="4">
        <v>0</v>
      </c>
      <c r="Q1017" s="2">
        <v>46134</v>
      </c>
      <c r="R1017" s="2"/>
      <c r="S1017" s="2">
        <v>46104</v>
      </c>
      <c r="T1017" s="2">
        <v>46134</v>
      </c>
      <c r="U1017" t="str">
        <f t="shared" si="105"/>
        <v>No</v>
      </c>
      <c r="V1017" t="s">
        <v>1105</v>
      </c>
      <c r="W101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1017" t="str">
        <f t="shared" ca="1" si="106"/>
        <v>Closed</v>
      </c>
      <c r="Y1017" t="str">
        <f t="shared" si="107"/>
        <v>Closed</v>
      </c>
      <c r="Z1017" t="str">
        <f t="shared" si="108"/>
        <v>Mar-2026</v>
      </c>
      <c r="AA1017" t="str">
        <f t="shared" si="109"/>
        <v>Q1 2026</v>
      </c>
      <c r="AB1017" s="4">
        <f t="shared" ca="1" si="110"/>
        <v>105</v>
      </c>
      <c r="AC1017" t="str">
        <f t="shared" si="111"/>
        <v>Medium</v>
      </c>
    </row>
    <row r="1018" spans="1:29">
      <c r="A1018" t="s">
        <v>3820</v>
      </c>
      <c r="B1018" s="2">
        <v>45884</v>
      </c>
      <c r="C1018" t="s">
        <v>3385</v>
      </c>
      <c r="D1018" t="s">
        <v>943</v>
      </c>
      <c r="E1018" t="s">
        <v>3821</v>
      </c>
      <c r="F1018" t="s">
        <v>3822</v>
      </c>
      <c r="G1018" t="s">
        <v>69</v>
      </c>
      <c r="H1018" t="s">
        <v>285</v>
      </c>
      <c r="I1018" t="s">
        <v>141</v>
      </c>
      <c r="J1018" t="s">
        <v>99</v>
      </c>
      <c r="K1018" t="s">
        <v>194</v>
      </c>
      <c r="L1018" t="s">
        <v>115</v>
      </c>
      <c r="M1018" t="s">
        <v>90</v>
      </c>
      <c r="N1018" t="s">
        <v>91</v>
      </c>
      <c r="O1018" s="3">
        <v>525000</v>
      </c>
      <c r="P1018" s="4">
        <v>55</v>
      </c>
      <c r="Q1018" s="2">
        <v>45962</v>
      </c>
      <c r="R1018" s="2">
        <v>46194</v>
      </c>
      <c r="S1018" s="2">
        <v>45885</v>
      </c>
      <c r="T1018" s="2"/>
      <c r="U1018" t="str">
        <f t="shared" si="105"/>
        <v>No</v>
      </c>
      <c r="W10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8" t="str">
        <f t="shared" ca="1" si="106"/>
        <v>Overdue</v>
      </c>
      <c r="Y1018" t="str">
        <f t="shared" si="107"/>
        <v>Open</v>
      </c>
      <c r="Z1018" t="str">
        <f t="shared" si="108"/>
        <v>Aug-2025</v>
      </c>
      <c r="AA1018" t="str">
        <f t="shared" si="109"/>
        <v>Q3 2025</v>
      </c>
      <c r="AB1018" s="4">
        <f t="shared" ca="1" si="110"/>
        <v>315</v>
      </c>
      <c r="AC1018" t="str">
        <f t="shared" si="111"/>
        <v>High</v>
      </c>
    </row>
    <row r="1019" spans="1:29">
      <c r="A1019" t="s">
        <v>3823</v>
      </c>
      <c r="B1019" s="2">
        <v>45718</v>
      </c>
      <c r="C1019" t="s">
        <v>3765</v>
      </c>
      <c r="D1019" t="s">
        <v>1560</v>
      </c>
      <c r="E1019" t="s">
        <v>3824</v>
      </c>
      <c r="F1019" t="s">
        <v>3825</v>
      </c>
      <c r="G1019" t="s">
        <v>79</v>
      </c>
      <c r="H1019" t="s">
        <v>106</v>
      </c>
      <c r="I1019" t="s">
        <v>98</v>
      </c>
      <c r="J1019" t="s">
        <v>50</v>
      </c>
      <c r="K1019" t="s">
        <v>38</v>
      </c>
      <c r="L1019" t="s">
        <v>63</v>
      </c>
      <c r="M1019" t="s">
        <v>73</v>
      </c>
      <c r="N1019" t="s">
        <v>73</v>
      </c>
      <c r="O1019" s="3">
        <v>340000</v>
      </c>
      <c r="P1019" s="4">
        <v>80</v>
      </c>
      <c r="Q1019" s="2">
        <v>45780</v>
      </c>
      <c r="R1019" s="2">
        <v>46235</v>
      </c>
      <c r="S1019" s="2">
        <v>45746</v>
      </c>
      <c r="T1019" s="2"/>
      <c r="U1019" t="str">
        <f t="shared" si="105"/>
        <v>No</v>
      </c>
      <c r="W10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19" t="str">
        <f t="shared" ca="1" si="106"/>
        <v>Due/Open</v>
      </c>
      <c r="Y1019" t="str">
        <f t="shared" si="107"/>
        <v>Open</v>
      </c>
      <c r="Z1019" t="str">
        <f t="shared" si="108"/>
        <v>Mar-2025</v>
      </c>
      <c r="AA1019" t="str">
        <f t="shared" si="109"/>
        <v>Q1 2025</v>
      </c>
      <c r="AB1019" s="4">
        <f t="shared" ca="1" si="110"/>
        <v>481</v>
      </c>
      <c r="AC1019" t="str">
        <f t="shared" si="111"/>
        <v>High</v>
      </c>
    </row>
    <row r="1020" spans="1:29">
      <c r="A1020" t="s">
        <v>3826</v>
      </c>
      <c r="B1020" s="2">
        <v>45710</v>
      </c>
      <c r="C1020" t="s">
        <v>202</v>
      </c>
      <c r="D1020" t="s">
        <v>459</v>
      </c>
      <c r="E1020" t="s">
        <v>3827</v>
      </c>
      <c r="F1020" t="s">
        <v>3828</v>
      </c>
      <c r="G1020" t="s">
        <v>69</v>
      </c>
      <c r="H1020" t="s">
        <v>200</v>
      </c>
      <c r="I1020" t="s">
        <v>148</v>
      </c>
      <c r="J1020" t="s">
        <v>124</v>
      </c>
      <c r="K1020" t="s">
        <v>114</v>
      </c>
      <c r="L1020" t="s">
        <v>81</v>
      </c>
      <c r="M1020" t="s">
        <v>90</v>
      </c>
      <c r="N1020" t="s">
        <v>91</v>
      </c>
      <c r="O1020" s="3">
        <v>170000</v>
      </c>
      <c r="P1020" s="4">
        <v>55</v>
      </c>
      <c r="Q1020" s="2">
        <v>45798</v>
      </c>
      <c r="R1020" s="2">
        <v>46236</v>
      </c>
      <c r="S1020" s="2">
        <v>45714</v>
      </c>
      <c r="T1020" s="2"/>
      <c r="U1020" t="str">
        <f t="shared" si="105"/>
        <v>No</v>
      </c>
      <c r="W10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0" t="str">
        <f t="shared" ca="1" si="106"/>
        <v>Due/Open</v>
      </c>
      <c r="Y1020" t="str">
        <f t="shared" si="107"/>
        <v>Open</v>
      </c>
      <c r="Z1020" t="str">
        <f t="shared" si="108"/>
        <v>Feb-2025</v>
      </c>
      <c r="AA1020" t="str">
        <f t="shared" si="109"/>
        <v>Q1 2025</v>
      </c>
      <c r="AB1020" s="4">
        <f t="shared" ca="1" si="110"/>
        <v>489</v>
      </c>
      <c r="AC1020" t="str">
        <f t="shared" si="111"/>
        <v>Medium</v>
      </c>
    </row>
    <row r="1021" spans="1:29">
      <c r="A1021" t="s">
        <v>3829</v>
      </c>
      <c r="B1021" s="2">
        <v>45859</v>
      </c>
      <c r="C1021" t="s">
        <v>1136</v>
      </c>
      <c r="D1021" t="s">
        <v>1086</v>
      </c>
      <c r="E1021" t="s">
        <v>3830</v>
      </c>
      <c r="F1021" t="s">
        <v>3831</v>
      </c>
      <c r="G1021" t="s">
        <v>34</v>
      </c>
      <c r="H1021" t="s">
        <v>35</v>
      </c>
      <c r="I1021" t="s">
        <v>36</v>
      </c>
      <c r="J1021" t="s">
        <v>99</v>
      </c>
      <c r="K1021" t="s">
        <v>38</v>
      </c>
      <c r="L1021" t="s">
        <v>52</v>
      </c>
      <c r="M1021" t="s">
        <v>40</v>
      </c>
      <c r="N1021" t="s">
        <v>41</v>
      </c>
      <c r="O1021" s="3">
        <v>415000</v>
      </c>
      <c r="P1021" s="4">
        <v>100</v>
      </c>
      <c r="Q1021" s="2">
        <v>45909</v>
      </c>
      <c r="R1021" s="2"/>
      <c r="S1021" s="2">
        <v>45861</v>
      </c>
      <c r="T1021" s="2">
        <v>45909</v>
      </c>
      <c r="U1021" t="str">
        <f t="shared" si="105"/>
        <v>Yes</v>
      </c>
      <c r="W102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1021" t="str">
        <f t="shared" ca="1" si="106"/>
        <v>Closed</v>
      </c>
      <c r="Y1021" t="str">
        <f t="shared" si="107"/>
        <v>Closed</v>
      </c>
      <c r="Z1021" t="str">
        <f t="shared" si="108"/>
        <v>Jul-2025</v>
      </c>
      <c r="AA1021" t="str">
        <f t="shared" si="109"/>
        <v>Q3 2025</v>
      </c>
      <c r="AB1021" s="4">
        <f t="shared" ca="1" si="110"/>
        <v>340</v>
      </c>
      <c r="AC1021" t="str">
        <f t="shared" si="111"/>
        <v>High</v>
      </c>
    </row>
    <row r="1022" spans="1:29">
      <c r="A1022" t="s">
        <v>3832</v>
      </c>
      <c r="B1022" s="2">
        <v>45789</v>
      </c>
      <c r="C1022" t="s">
        <v>1941</v>
      </c>
      <c r="D1022" t="s">
        <v>1683</v>
      </c>
      <c r="E1022" t="s">
        <v>3833</v>
      </c>
      <c r="F1022" t="s">
        <v>3834</v>
      </c>
      <c r="G1022" t="s">
        <v>47</v>
      </c>
      <c r="H1022" t="s">
        <v>89</v>
      </c>
      <c r="I1022" t="s">
        <v>98</v>
      </c>
      <c r="J1022" t="s">
        <v>62</v>
      </c>
      <c r="K1022" t="s">
        <v>71</v>
      </c>
      <c r="L1022" t="s">
        <v>72</v>
      </c>
      <c r="M1022" t="s">
        <v>40</v>
      </c>
      <c r="N1022" t="s">
        <v>41</v>
      </c>
      <c r="O1022" s="3">
        <v>410000</v>
      </c>
      <c r="P1022" s="4">
        <v>100</v>
      </c>
      <c r="Q1022" s="2">
        <v>45826</v>
      </c>
      <c r="R1022" s="2"/>
      <c r="S1022" s="2">
        <v>45797</v>
      </c>
      <c r="T1022" s="2">
        <v>45826</v>
      </c>
      <c r="U1022" t="str">
        <f t="shared" si="105"/>
        <v>Yes</v>
      </c>
      <c r="W10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022" t="str">
        <f t="shared" ca="1" si="106"/>
        <v>Closed</v>
      </c>
      <c r="Y1022" t="str">
        <f t="shared" si="107"/>
        <v>Closed</v>
      </c>
      <c r="Z1022" t="str">
        <f t="shared" si="108"/>
        <v>May-2025</v>
      </c>
      <c r="AA1022" t="str">
        <f t="shared" si="109"/>
        <v>Q2 2025</v>
      </c>
      <c r="AB1022" s="4">
        <f t="shared" ca="1" si="110"/>
        <v>410</v>
      </c>
      <c r="AC1022" t="str">
        <f t="shared" si="111"/>
        <v>High</v>
      </c>
    </row>
    <row r="1023" spans="1:29">
      <c r="A1023" t="s">
        <v>3835</v>
      </c>
      <c r="B1023" s="2">
        <v>45856</v>
      </c>
      <c r="C1023" t="s">
        <v>1207</v>
      </c>
      <c r="D1023" t="s">
        <v>887</v>
      </c>
      <c r="E1023" t="s">
        <v>3836</v>
      </c>
      <c r="F1023" t="s">
        <v>3837</v>
      </c>
      <c r="G1023" t="s">
        <v>179</v>
      </c>
      <c r="H1023" t="s">
        <v>296</v>
      </c>
      <c r="I1023" t="s">
        <v>36</v>
      </c>
      <c r="J1023" t="s">
        <v>50</v>
      </c>
      <c r="K1023" t="s">
        <v>194</v>
      </c>
      <c r="L1023" t="s">
        <v>142</v>
      </c>
      <c r="M1023" t="s">
        <v>40</v>
      </c>
      <c r="N1023" t="s">
        <v>41</v>
      </c>
      <c r="O1023" s="3">
        <v>440000</v>
      </c>
      <c r="P1023" s="4">
        <v>100</v>
      </c>
      <c r="Q1023" s="2">
        <v>45904</v>
      </c>
      <c r="R1023" s="2"/>
      <c r="S1023" s="2">
        <v>45869</v>
      </c>
      <c r="T1023" s="2">
        <v>45904</v>
      </c>
      <c r="U1023" t="str">
        <f t="shared" si="105"/>
        <v>Yes</v>
      </c>
      <c r="W10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1023" t="str">
        <f t="shared" ca="1" si="106"/>
        <v>Closed</v>
      </c>
      <c r="Y1023" t="str">
        <f t="shared" si="107"/>
        <v>Closed</v>
      </c>
      <c r="Z1023" t="str">
        <f t="shared" si="108"/>
        <v>Jul-2025</v>
      </c>
      <c r="AA1023" t="str">
        <f t="shared" si="109"/>
        <v>Q3 2025</v>
      </c>
      <c r="AB1023" s="4">
        <f t="shared" ca="1" si="110"/>
        <v>343</v>
      </c>
      <c r="AC1023" t="str">
        <f t="shared" si="111"/>
        <v>High</v>
      </c>
    </row>
    <row r="1024" spans="1:29">
      <c r="A1024" t="s">
        <v>3838</v>
      </c>
      <c r="B1024" s="2">
        <v>45902</v>
      </c>
      <c r="C1024" t="s">
        <v>2254</v>
      </c>
      <c r="D1024" t="s">
        <v>190</v>
      </c>
      <c r="E1024" t="s">
        <v>3839</v>
      </c>
      <c r="F1024" t="s">
        <v>3840</v>
      </c>
      <c r="G1024" t="s">
        <v>79</v>
      </c>
      <c r="H1024" t="s">
        <v>217</v>
      </c>
      <c r="I1024" t="s">
        <v>187</v>
      </c>
      <c r="J1024" t="s">
        <v>99</v>
      </c>
      <c r="K1024" t="s">
        <v>194</v>
      </c>
      <c r="L1024" t="s">
        <v>125</v>
      </c>
      <c r="M1024" t="s">
        <v>73</v>
      </c>
      <c r="N1024" t="s">
        <v>73</v>
      </c>
      <c r="O1024" s="3">
        <v>440000</v>
      </c>
      <c r="P1024" s="4">
        <v>75</v>
      </c>
      <c r="Q1024" s="2">
        <v>45926</v>
      </c>
      <c r="R1024" s="2">
        <v>46238</v>
      </c>
      <c r="S1024" s="2">
        <v>45913</v>
      </c>
      <c r="T1024" s="2"/>
      <c r="U1024" t="str">
        <f t="shared" si="105"/>
        <v>No</v>
      </c>
      <c r="W10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4" t="str">
        <f t="shared" ca="1" si="106"/>
        <v>Due/Open</v>
      </c>
      <c r="Y1024" t="str">
        <f t="shared" si="107"/>
        <v>Open</v>
      </c>
      <c r="Z1024" t="str">
        <f t="shared" si="108"/>
        <v>Sep-2025</v>
      </c>
      <c r="AA1024" t="str">
        <f t="shared" si="109"/>
        <v>Q3 2025</v>
      </c>
      <c r="AB1024" s="4">
        <f t="shared" ca="1" si="110"/>
        <v>297</v>
      </c>
      <c r="AC1024" t="str">
        <f t="shared" si="111"/>
        <v>High</v>
      </c>
    </row>
    <row r="1025" spans="1:29">
      <c r="A1025" t="s">
        <v>3841</v>
      </c>
      <c r="B1025" s="2">
        <v>46111</v>
      </c>
      <c r="C1025" t="s">
        <v>958</v>
      </c>
      <c r="D1025" t="s">
        <v>157</v>
      </c>
      <c r="E1025" t="s">
        <v>3842</v>
      </c>
      <c r="F1025" t="s">
        <v>3843</v>
      </c>
      <c r="G1025" t="s">
        <v>69</v>
      </c>
      <c r="H1025" t="s">
        <v>270</v>
      </c>
      <c r="I1025" t="s">
        <v>36</v>
      </c>
      <c r="J1025" t="s">
        <v>50</v>
      </c>
      <c r="K1025" t="s">
        <v>194</v>
      </c>
      <c r="L1025" t="s">
        <v>72</v>
      </c>
      <c r="M1025" t="s">
        <v>166</v>
      </c>
      <c r="N1025" t="s">
        <v>167</v>
      </c>
      <c r="O1025" s="3">
        <v>410000</v>
      </c>
      <c r="P1025" s="4">
        <v>60</v>
      </c>
      <c r="Q1025" s="2">
        <v>46151</v>
      </c>
      <c r="R1025" s="2">
        <v>46215</v>
      </c>
      <c r="S1025" s="2">
        <v>46120</v>
      </c>
      <c r="T1025" s="2"/>
      <c r="U1025" t="str">
        <f t="shared" si="105"/>
        <v>No</v>
      </c>
      <c r="W10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5" t="str">
        <f t="shared" ca="1" si="106"/>
        <v>Due/Open</v>
      </c>
      <c r="Y1025" t="str">
        <f t="shared" si="107"/>
        <v>Open</v>
      </c>
      <c r="Z1025" t="str">
        <f t="shared" si="108"/>
        <v>Mar-2026</v>
      </c>
      <c r="AA1025" t="str">
        <f t="shared" si="109"/>
        <v>Q1 2026</v>
      </c>
      <c r="AB1025" s="4">
        <f t="shared" ca="1" si="110"/>
        <v>88</v>
      </c>
      <c r="AC1025" t="str">
        <f t="shared" si="111"/>
        <v>High</v>
      </c>
    </row>
    <row r="1026" spans="1:29">
      <c r="A1026" t="s">
        <v>3844</v>
      </c>
      <c r="B1026" s="2">
        <v>45726</v>
      </c>
      <c r="C1026" t="s">
        <v>3845</v>
      </c>
      <c r="D1026" t="s">
        <v>1052</v>
      </c>
      <c r="E1026" t="s">
        <v>3846</v>
      </c>
      <c r="F1026" t="s">
        <v>3847</v>
      </c>
      <c r="G1026" t="s">
        <v>179</v>
      </c>
      <c r="H1026" t="s">
        <v>436</v>
      </c>
      <c r="I1026" t="s">
        <v>49</v>
      </c>
      <c r="J1026" t="s">
        <v>99</v>
      </c>
      <c r="K1026" t="s">
        <v>114</v>
      </c>
      <c r="L1026" t="s">
        <v>107</v>
      </c>
      <c r="M1026" t="s">
        <v>82</v>
      </c>
      <c r="N1026" t="s">
        <v>83</v>
      </c>
      <c r="O1026" s="3">
        <v>675000</v>
      </c>
      <c r="P1026" s="4">
        <v>5</v>
      </c>
      <c r="Q1026" s="2">
        <v>45758</v>
      </c>
      <c r="R1026" s="2">
        <v>46168</v>
      </c>
      <c r="S1026" s="2">
        <v>45740</v>
      </c>
      <c r="T1026" s="2"/>
      <c r="U1026" t="str">
        <f t="shared" ref="U1026:U1089" si="112">IF(M1026="Converted","Yes","No")</f>
        <v>No</v>
      </c>
      <c r="W10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6" t="str">
        <f t="shared" ref="X1026:X1089" ca="1" si="113">IF(OR(M1026="Converted",M1026="Lost",M1026="Not Interested"),"Closed",IF(R1026&lt;TODAY(),"Overdue","Due/Open"))</f>
        <v>Overdue</v>
      </c>
      <c r="Y1026" t="str">
        <f t="shared" ref="Y1026:Y1089" si="114">IF(OR(M1026="Converted",M1026="Lost",M1026="Not Interested"),"Closed","Open")</f>
        <v>Open</v>
      </c>
      <c r="Z1026" t="str">
        <f t="shared" ref="Z1026:Z1089" si="115">TEXT(B1026,"mmm-yyyy")</f>
        <v>Mar-2025</v>
      </c>
      <c r="AA1026" t="str">
        <f t="shared" ref="AA1026:AA1089" si="116">"Q"&amp;ROUNDUP(MONTH(B1026)/3,0)&amp;" "&amp;YEAR(B1026)</f>
        <v>Q1 2025</v>
      </c>
      <c r="AB1026" s="4">
        <f t="shared" ref="AB1026:AB1089" ca="1" si="117">TODAY()-B1026</f>
        <v>473</v>
      </c>
      <c r="AC1026" t="str">
        <f t="shared" ref="AC1026:AC1089" si="118">IF(O1026&gt;=300000,"High",IF(O1026&gt;=120000,"Medium","Low"))</f>
        <v>High</v>
      </c>
    </row>
    <row r="1027" spans="1:29">
      <c r="A1027" t="s">
        <v>3848</v>
      </c>
      <c r="B1027" s="2">
        <v>45805</v>
      </c>
      <c r="C1027" t="s">
        <v>530</v>
      </c>
      <c r="D1027" t="s">
        <v>151</v>
      </c>
      <c r="E1027" t="s">
        <v>3849</v>
      </c>
      <c r="F1027" t="s">
        <v>3850</v>
      </c>
      <c r="G1027" t="s">
        <v>34</v>
      </c>
      <c r="H1027" t="s">
        <v>60</v>
      </c>
      <c r="I1027" t="s">
        <v>98</v>
      </c>
      <c r="J1027" t="s">
        <v>50</v>
      </c>
      <c r="K1027" t="s">
        <v>100</v>
      </c>
      <c r="L1027" t="s">
        <v>154</v>
      </c>
      <c r="M1027" t="s">
        <v>116</v>
      </c>
      <c r="N1027" t="s">
        <v>54</v>
      </c>
      <c r="O1027" s="3">
        <v>230000</v>
      </c>
      <c r="P1027" s="4">
        <v>20</v>
      </c>
      <c r="Q1027" s="2">
        <v>45896</v>
      </c>
      <c r="R1027" s="2">
        <v>46207</v>
      </c>
      <c r="S1027" s="2">
        <v>45826</v>
      </c>
      <c r="T1027" s="2"/>
      <c r="U1027" t="str">
        <f t="shared" si="112"/>
        <v>No</v>
      </c>
      <c r="W10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7" t="str">
        <f t="shared" ca="1" si="113"/>
        <v>Due/Open</v>
      </c>
      <c r="Y1027" t="str">
        <f t="shared" si="114"/>
        <v>Open</v>
      </c>
      <c r="Z1027" t="str">
        <f t="shared" si="115"/>
        <v>May-2025</v>
      </c>
      <c r="AA1027" t="str">
        <f t="shared" si="116"/>
        <v>Q2 2025</v>
      </c>
      <c r="AB1027" s="4">
        <f t="shared" ca="1" si="117"/>
        <v>394</v>
      </c>
      <c r="AC1027" t="str">
        <f t="shared" si="118"/>
        <v>Medium</v>
      </c>
    </row>
    <row r="1028" spans="1:29">
      <c r="A1028" t="s">
        <v>3851</v>
      </c>
      <c r="B1028" s="2">
        <v>45889</v>
      </c>
      <c r="C1028" t="s">
        <v>495</v>
      </c>
      <c r="D1028" t="s">
        <v>423</v>
      </c>
      <c r="E1028" t="s">
        <v>3852</v>
      </c>
      <c r="F1028" t="s">
        <v>3853</v>
      </c>
      <c r="G1028" t="s">
        <v>179</v>
      </c>
      <c r="H1028" t="s">
        <v>436</v>
      </c>
      <c r="I1028" t="s">
        <v>187</v>
      </c>
      <c r="J1028" t="s">
        <v>131</v>
      </c>
      <c r="K1028" t="s">
        <v>114</v>
      </c>
      <c r="L1028" t="s">
        <v>39</v>
      </c>
      <c r="M1028" t="s">
        <v>166</v>
      </c>
      <c r="N1028" t="s">
        <v>167</v>
      </c>
      <c r="O1028" s="3">
        <v>150000</v>
      </c>
      <c r="P1028" s="4">
        <v>65</v>
      </c>
      <c r="Q1028" s="2">
        <v>45961</v>
      </c>
      <c r="R1028" s="2">
        <v>46216</v>
      </c>
      <c r="S1028" s="2">
        <v>45906</v>
      </c>
      <c r="T1028" s="2"/>
      <c r="U1028" t="str">
        <f t="shared" si="112"/>
        <v>No</v>
      </c>
      <c r="W10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28" t="str">
        <f t="shared" ca="1" si="113"/>
        <v>Due/Open</v>
      </c>
      <c r="Y1028" t="str">
        <f t="shared" si="114"/>
        <v>Open</v>
      </c>
      <c r="Z1028" t="str">
        <f t="shared" si="115"/>
        <v>Aug-2025</v>
      </c>
      <c r="AA1028" t="str">
        <f t="shared" si="116"/>
        <v>Q3 2025</v>
      </c>
      <c r="AB1028" s="4">
        <f t="shared" ca="1" si="117"/>
        <v>310</v>
      </c>
      <c r="AC1028" t="str">
        <f t="shared" si="118"/>
        <v>Medium</v>
      </c>
    </row>
    <row r="1029" spans="1:29">
      <c r="A1029" t="s">
        <v>3854</v>
      </c>
      <c r="B1029" s="2">
        <v>45770</v>
      </c>
      <c r="C1029" t="s">
        <v>763</v>
      </c>
      <c r="D1029" t="s">
        <v>1683</v>
      </c>
      <c r="E1029" t="s">
        <v>3855</v>
      </c>
      <c r="F1029" t="s">
        <v>3856</v>
      </c>
      <c r="G1029" t="s">
        <v>179</v>
      </c>
      <c r="H1029" t="s">
        <v>436</v>
      </c>
      <c r="I1029" t="s">
        <v>98</v>
      </c>
      <c r="J1029" t="s">
        <v>50</v>
      </c>
      <c r="K1029" t="s">
        <v>194</v>
      </c>
      <c r="L1029" t="s">
        <v>142</v>
      </c>
      <c r="M1029" t="s">
        <v>133</v>
      </c>
      <c r="N1029" t="s">
        <v>134</v>
      </c>
      <c r="O1029" s="3">
        <v>435000</v>
      </c>
      <c r="P1029" s="4">
        <v>0</v>
      </c>
      <c r="Q1029" s="2">
        <v>45808</v>
      </c>
      <c r="R1029" s="2"/>
      <c r="S1029" s="2">
        <v>45784</v>
      </c>
      <c r="T1029" s="2">
        <v>45808</v>
      </c>
      <c r="U1029" t="str">
        <f t="shared" si="112"/>
        <v>No</v>
      </c>
      <c r="V1029" t="s">
        <v>276</v>
      </c>
      <c r="W10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1029" t="str">
        <f t="shared" ca="1" si="113"/>
        <v>Closed</v>
      </c>
      <c r="Y1029" t="str">
        <f t="shared" si="114"/>
        <v>Closed</v>
      </c>
      <c r="Z1029" t="str">
        <f t="shared" si="115"/>
        <v>Apr-2025</v>
      </c>
      <c r="AA1029" t="str">
        <f t="shared" si="116"/>
        <v>Q2 2025</v>
      </c>
      <c r="AB1029" s="4">
        <f t="shared" ca="1" si="117"/>
        <v>429</v>
      </c>
      <c r="AC1029" t="str">
        <f t="shared" si="118"/>
        <v>High</v>
      </c>
    </row>
    <row r="1030" spans="1:29">
      <c r="A1030" t="s">
        <v>3857</v>
      </c>
      <c r="B1030" s="2">
        <v>46082</v>
      </c>
      <c r="C1030" t="s">
        <v>538</v>
      </c>
      <c r="D1030" t="s">
        <v>119</v>
      </c>
      <c r="E1030" t="s">
        <v>3858</v>
      </c>
      <c r="F1030" t="s">
        <v>3859</v>
      </c>
      <c r="G1030" t="s">
        <v>79</v>
      </c>
      <c r="H1030" t="s">
        <v>97</v>
      </c>
      <c r="I1030" t="s">
        <v>98</v>
      </c>
      <c r="J1030" t="s">
        <v>37</v>
      </c>
      <c r="K1030" t="s">
        <v>114</v>
      </c>
      <c r="L1030" t="s">
        <v>81</v>
      </c>
      <c r="M1030" t="s">
        <v>40</v>
      </c>
      <c r="N1030" t="s">
        <v>41</v>
      </c>
      <c r="O1030" s="3">
        <v>35000</v>
      </c>
      <c r="P1030" s="4">
        <v>100</v>
      </c>
      <c r="Q1030" s="2">
        <v>46143</v>
      </c>
      <c r="R1030" s="2"/>
      <c r="S1030" s="2">
        <v>46089</v>
      </c>
      <c r="T1030" s="2">
        <v>46143</v>
      </c>
      <c r="U1030" t="str">
        <f t="shared" si="112"/>
        <v>Yes</v>
      </c>
      <c r="W103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1030" t="str">
        <f t="shared" ca="1" si="113"/>
        <v>Closed</v>
      </c>
      <c r="Y1030" t="str">
        <f t="shared" si="114"/>
        <v>Closed</v>
      </c>
      <c r="Z1030" t="str">
        <f t="shared" si="115"/>
        <v>Mar-2026</v>
      </c>
      <c r="AA1030" t="str">
        <f t="shared" si="116"/>
        <v>Q1 2026</v>
      </c>
      <c r="AB1030" s="4">
        <f t="shared" ca="1" si="117"/>
        <v>117</v>
      </c>
      <c r="AC1030" t="str">
        <f t="shared" si="118"/>
        <v>Low</v>
      </c>
    </row>
    <row r="1031" spans="1:29">
      <c r="A1031" t="s">
        <v>3860</v>
      </c>
      <c r="B1031" s="2">
        <v>45754</v>
      </c>
      <c r="C1031" t="s">
        <v>2581</v>
      </c>
      <c r="D1031" t="s">
        <v>640</v>
      </c>
      <c r="E1031" t="s">
        <v>3861</v>
      </c>
      <c r="F1031" t="s">
        <v>3862</v>
      </c>
      <c r="G1031" t="s">
        <v>47</v>
      </c>
      <c r="H1031" t="s">
        <v>122</v>
      </c>
      <c r="I1031" t="s">
        <v>98</v>
      </c>
      <c r="J1031" t="s">
        <v>37</v>
      </c>
      <c r="K1031" t="s">
        <v>194</v>
      </c>
      <c r="L1031" t="s">
        <v>142</v>
      </c>
      <c r="M1031" t="s">
        <v>116</v>
      </c>
      <c r="N1031" t="s">
        <v>54</v>
      </c>
      <c r="O1031" s="3">
        <v>45000</v>
      </c>
      <c r="P1031" s="4">
        <v>25</v>
      </c>
      <c r="Q1031" s="2">
        <v>45815</v>
      </c>
      <c r="R1031" s="2">
        <v>46171</v>
      </c>
      <c r="S1031" s="2">
        <v>45761</v>
      </c>
      <c r="T1031" s="2"/>
      <c r="U1031" t="str">
        <f t="shared" si="112"/>
        <v>No</v>
      </c>
      <c r="W10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1" t="str">
        <f t="shared" ca="1" si="113"/>
        <v>Overdue</v>
      </c>
      <c r="Y1031" t="str">
        <f t="shared" si="114"/>
        <v>Open</v>
      </c>
      <c r="Z1031" t="str">
        <f t="shared" si="115"/>
        <v>Apr-2025</v>
      </c>
      <c r="AA1031" t="str">
        <f t="shared" si="116"/>
        <v>Q2 2025</v>
      </c>
      <c r="AB1031" s="4">
        <f t="shared" ca="1" si="117"/>
        <v>445</v>
      </c>
      <c r="AC1031" t="str">
        <f t="shared" si="118"/>
        <v>Low</v>
      </c>
    </row>
    <row r="1032" spans="1:29">
      <c r="A1032" t="s">
        <v>3863</v>
      </c>
      <c r="B1032" s="2">
        <v>46178</v>
      </c>
      <c r="C1032" t="s">
        <v>442</v>
      </c>
      <c r="D1032" t="s">
        <v>1701</v>
      </c>
      <c r="E1032" t="s">
        <v>3864</v>
      </c>
      <c r="F1032" t="s">
        <v>3865</v>
      </c>
      <c r="G1032" t="s">
        <v>69</v>
      </c>
      <c r="H1032" t="s">
        <v>193</v>
      </c>
      <c r="I1032" t="s">
        <v>36</v>
      </c>
      <c r="J1032" t="s">
        <v>62</v>
      </c>
      <c r="K1032" t="s">
        <v>38</v>
      </c>
      <c r="L1032" t="s">
        <v>63</v>
      </c>
      <c r="M1032" t="s">
        <v>166</v>
      </c>
      <c r="N1032" t="s">
        <v>167</v>
      </c>
      <c r="O1032" s="3">
        <v>415000</v>
      </c>
      <c r="P1032" s="4">
        <v>70</v>
      </c>
      <c r="Q1032" s="2">
        <v>46261</v>
      </c>
      <c r="R1032" s="2">
        <v>46206</v>
      </c>
      <c r="S1032" s="2">
        <v>46196</v>
      </c>
      <c r="T1032" s="2"/>
      <c r="U1032" t="str">
        <f t="shared" si="112"/>
        <v>No</v>
      </c>
      <c r="W10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2" t="str">
        <f t="shared" ca="1" si="113"/>
        <v>Due/Open</v>
      </c>
      <c r="Y1032" t="str">
        <f t="shared" si="114"/>
        <v>Open</v>
      </c>
      <c r="Z1032" t="str">
        <f t="shared" si="115"/>
        <v>Jun-2026</v>
      </c>
      <c r="AA1032" t="str">
        <f t="shared" si="116"/>
        <v>Q2 2026</v>
      </c>
      <c r="AB1032" s="4">
        <f t="shared" ca="1" si="117"/>
        <v>21</v>
      </c>
      <c r="AC1032" t="str">
        <f t="shared" si="118"/>
        <v>High</v>
      </c>
    </row>
    <row r="1033" spans="1:29">
      <c r="A1033" t="s">
        <v>3866</v>
      </c>
      <c r="B1033" s="2">
        <v>45982</v>
      </c>
      <c r="C1033" t="s">
        <v>3867</v>
      </c>
      <c r="D1033" t="s">
        <v>347</v>
      </c>
      <c r="E1033" t="s">
        <v>3868</v>
      </c>
      <c r="F1033" t="s">
        <v>3869</v>
      </c>
      <c r="G1033" t="s">
        <v>79</v>
      </c>
      <c r="H1033" t="s">
        <v>106</v>
      </c>
      <c r="I1033" t="s">
        <v>61</v>
      </c>
      <c r="J1033" t="s">
        <v>124</v>
      </c>
      <c r="K1033" t="s">
        <v>100</v>
      </c>
      <c r="L1033" t="s">
        <v>52</v>
      </c>
      <c r="M1033" t="s">
        <v>133</v>
      </c>
      <c r="N1033" t="s">
        <v>134</v>
      </c>
      <c r="O1033" s="3">
        <v>255000</v>
      </c>
      <c r="P1033" s="4">
        <v>0</v>
      </c>
      <c r="Q1033" s="2">
        <v>46016</v>
      </c>
      <c r="R1033" s="2"/>
      <c r="S1033" s="2">
        <v>46007</v>
      </c>
      <c r="T1033" s="2">
        <v>46016</v>
      </c>
      <c r="U1033" t="str">
        <f t="shared" si="112"/>
        <v>No</v>
      </c>
      <c r="V1033" t="s">
        <v>276</v>
      </c>
      <c r="W10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34</v>
      </c>
      <c r="X1033" t="str">
        <f t="shared" ca="1" si="113"/>
        <v>Closed</v>
      </c>
      <c r="Y1033" t="str">
        <f t="shared" si="114"/>
        <v>Closed</v>
      </c>
      <c r="Z1033" t="str">
        <f t="shared" si="115"/>
        <v>Nov-2025</v>
      </c>
      <c r="AA1033" t="str">
        <f t="shared" si="116"/>
        <v>Q4 2025</v>
      </c>
      <c r="AB1033" s="4">
        <f t="shared" ca="1" si="117"/>
        <v>217</v>
      </c>
      <c r="AC1033" t="str">
        <f t="shared" si="118"/>
        <v>Medium</v>
      </c>
    </row>
    <row r="1034" spans="1:29">
      <c r="A1034" t="s">
        <v>3870</v>
      </c>
      <c r="B1034" s="2">
        <v>45673</v>
      </c>
      <c r="C1034" t="s">
        <v>1757</v>
      </c>
      <c r="D1034" t="s">
        <v>767</v>
      </c>
      <c r="E1034" t="s">
        <v>3871</v>
      </c>
      <c r="F1034" t="s">
        <v>3872</v>
      </c>
      <c r="G1034" t="s">
        <v>79</v>
      </c>
      <c r="H1034" t="s">
        <v>80</v>
      </c>
      <c r="I1034" t="s">
        <v>141</v>
      </c>
      <c r="J1034" t="s">
        <v>131</v>
      </c>
      <c r="K1034" t="s">
        <v>114</v>
      </c>
      <c r="L1034" t="s">
        <v>52</v>
      </c>
      <c r="M1034" t="s">
        <v>73</v>
      </c>
      <c r="N1034" t="s">
        <v>73</v>
      </c>
      <c r="O1034" s="3">
        <v>360000</v>
      </c>
      <c r="P1034" s="4">
        <v>75</v>
      </c>
      <c r="Q1034" s="2">
        <v>45740</v>
      </c>
      <c r="R1034" s="2">
        <v>46234</v>
      </c>
      <c r="S1034" s="2">
        <v>45697</v>
      </c>
      <c r="T1034" s="2"/>
      <c r="U1034" t="str">
        <f t="shared" si="112"/>
        <v>No</v>
      </c>
      <c r="W10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4" t="str">
        <f t="shared" ca="1" si="113"/>
        <v>Due/Open</v>
      </c>
      <c r="Y1034" t="str">
        <f t="shared" si="114"/>
        <v>Open</v>
      </c>
      <c r="Z1034" t="str">
        <f t="shared" si="115"/>
        <v>Jan-2025</v>
      </c>
      <c r="AA1034" t="str">
        <f t="shared" si="116"/>
        <v>Q1 2025</v>
      </c>
      <c r="AB1034" s="4">
        <f t="shared" ca="1" si="117"/>
        <v>526</v>
      </c>
      <c r="AC1034" t="str">
        <f t="shared" si="118"/>
        <v>High</v>
      </c>
    </row>
    <row r="1035" spans="1:29">
      <c r="A1035" t="s">
        <v>3873</v>
      </c>
      <c r="B1035" s="2">
        <v>45925</v>
      </c>
      <c r="C1035" t="s">
        <v>3874</v>
      </c>
      <c r="D1035" t="s">
        <v>557</v>
      </c>
      <c r="E1035" t="s">
        <v>3875</v>
      </c>
      <c r="F1035" t="s">
        <v>3876</v>
      </c>
      <c r="G1035" t="s">
        <v>69</v>
      </c>
      <c r="H1035" t="s">
        <v>312</v>
      </c>
      <c r="I1035" t="s">
        <v>98</v>
      </c>
      <c r="J1035" t="s">
        <v>37</v>
      </c>
      <c r="K1035" t="s">
        <v>194</v>
      </c>
      <c r="L1035" t="s">
        <v>63</v>
      </c>
      <c r="M1035" t="s">
        <v>73</v>
      </c>
      <c r="N1035" t="s">
        <v>73</v>
      </c>
      <c r="O1035" s="3">
        <v>150000</v>
      </c>
      <c r="P1035" s="4">
        <v>85</v>
      </c>
      <c r="Q1035" s="2">
        <v>46014</v>
      </c>
      <c r="R1035" s="2">
        <v>46178</v>
      </c>
      <c r="S1035" s="2">
        <v>45935</v>
      </c>
      <c r="T1035" s="2"/>
      <c r="U1035" t="str">
        <f t="shared" si="112"/>
        <v>No</v>
      </c>
      <c r="W10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5" t="str">
        <f t="shared" ca="1" si="113"/>
        <v>Overdue</v>
      </c>
      <c r="Y1035" t="str">
        <f t="shared" si="114"/>
        <v>Open</v>
      </c>
      <c r="Z1035" t="str">
        <f t="shared" si="115"/>
        <v>Sep-2025</v>
      </c>
      <c r="AA1035" t="str">
        <f t="shared" si="116"/>
        <v>Q3 2025</v>
      </c>
      <c r="AB1035" s="4">
        <f t="shared" ca="1" si="117"/>
        <v>274</v>
      </c>
      <c r="AC1035" t="str">
        <f t="shared" si="118"/>
        <v>Medium</v>
      </c>
    </row>
    <row r="1036" spans="1:29">
      <c r="A1036" t="s">
        <v>3877</v>
      </c>
      <c r="B1036" s="2">
        <v>46046</v>
      </c>
      <c r="C1036" t="s">
        <v>3414</v>
      </c>
      <c r="D1036" t="s">
        <v>1937</v>
      </c>
      <c r="E1036" t="s">
        <v>3878</v>
      </c>
      <c r="F1036" t="s">
        <v>3879</v>
      </c>
      <c r="G1036" t="s">
        <v>34</v>
      </c>
      <c r="H1036" t="s">
        <v>238</v>
      </c>
      <c r="I1036" t="s">
        <v>49</v>
      </c>
      <c r="J1036" t="s">
        <v>37</v>
      </c>
      <c r="K1036" t="s">
        <v>71</v>
      </c>
      <c r="L1036" t="s">
        <v>52</v>
      </c>
      <c r="M1036" t="s">
        <v>40</v>
      </c>
      <c r="N1036" t="s">
        <v>41</v>
      </c>
      <c r="O1036" s="3">
        <v>160000</v>
      </c>
      <c r="P1036" s="4">
        <v>100</v>
      </c>
      <c r="Q1036" s="2">
        <v>46074</v>
      </c>
      <c r="R1036" s="2"/>
      <c r="S1036" s="2">
        <v>46052</v>
      </c>
      <c r="T1036" s="2">
        <v>46074</v>
      </c>
      <c r="U1036" t="str">
        <f t="shared" si="112"/>
        <v>Yes</v>
      </c>
      <c r="W103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1036" t="str">
        <f t="shared" ca="1" si="113"/>
        <v>Closed</v>
      </c>
      <c r="Y1036" t="str">
        <f t="shared" si="114"/>
        <v>Closed</v>
      </c>
      <c r="Z1036" t="str">
        <f t="shared" si="115"/>
        <v>Jan-2026</v>
      </c>
      <c r="AA1036" t="str">
        <f t="shared" si="116"/>
        <v>Q1 2026</v>
      </c>
      <c r="AB1036" s="4">
        <f t="shared" ca="1" si="117"/>
        <v>153</v>
      </c>
      <c r="AC1036" t="str">
        <f t="shared" si="118"/>
        <v>Medium</v>
      </c>
    </row>
    <row r="1037" spans="1:29">
      <c r="A1037" t="s">
        <v>3880</v>
      </c>
      <c r="B1037" s="2">
        <v>45962</v>
      </c>
      <c r="C1037" t="s">
        <v>1102</v>
      </c>
      <c r="D1037" t="s">
        <v>110</v>
      </c>
      <c r="E1037" t="s">
        <v>3881</v>
      </c>
      <c r="F1037" t="s">
        <v>3882</v>
      </c>
      <c r="G1037" t="s">
        <v>69</v>
      </c>
      <c r="H1037" t="s">
        <v>193</v>
      </c>
      <c r="I1037" t="s">
        <v>61</v>
      </c>
      <c r="J1037" t="s">
        <v>124</v>
      </c>
      <c r="K1037" t="s">
        <v>114</v>
      </c>
      <c r="L1037" t="s">
        <v>52</v>
      </c>
      <c r="M1037" t="s">
        <v>82</v>
      </c>
      <c r="N1037" t="s">
        <v>83</v>
      </c>
      <c r="O1037" s="3">
        <v>205000</v>
      </c>
      <c r="P1037" s="4">
        <v>10</v>
      </c>
      <c r="Q1037" s="2">
        <v>46052</v>
      </c>
      <c r="R1037" s="2">
        <v>46227</v>
      </c>
      <c r="S1037" s="2">
        <v>45967</v>
      </c>
      <c r="T1037" s="2"/>
      <c r="U1037" t="str">
        <f t="shared" si="112"/>
        <v>No</v>
      </c>
      <c r="W10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7" t="str">
        <f t="shared" ca="1" si="113"/>
        <v>Due/Open</v>
      </c>
      <c r="Y1037" t="str">
        <f t="shared" si="114"/>
        <v>Open</v>
      </c>
      <c r="Z1037" t="str">
        <f t="shared" si="115"/>
        <v>Nov-2025</v>
      </c>
      <c r="AA1037" t="str">
        <f t="shared" si="116"/>
        <v>Q4 2025</v>
      </c>
      <c r="AB1037" s="4">
        <f t="shared" ca="1" si="117"/>
        <v>237</v>
      </c>
      <c r="AC1037" t="str">
        <f t="shared" si="118"/>
        <v>Medium</v>
      </c>
    </row>
    <row r="1038" spans="1:29">
      <c r="A1038" t="s">
        <v>3883</v>
      </c>
      <c r="B1038" s="2">
        <v>45710</v>
      </c>
      <c r="C1038" t="s">
        <v>3697</v>
      </c>
      <c r="D1038" t="s">
        <v>684</v>
      </c>
      <c r="E1038" t="s">
        <v>3884</v>
      </c>
      <c r="F1038" t="s">
        <v>3885</v>
      </c>
      <c r="G1038" t="s">
        <v>79</v>
      </c>
      <c r="H1038" t="s">
        <v>80</v>
      </c>
      <c r="I1038" t="s">
        <v>187</v>
      </c>
      <c r="J1038" t="s">
        <v>37</v>
      </c>
      <c r="K1038" t="s">
        <v>100</v>
      </c>
      <c r="L1038" t="s">
        <v>132</v>
      </c>
      <c r="M1038" t="s">
        <v>90</v>
      </c>
      <c r="N1038" t="s">
        <v>91</v>
      </c>
      <c r="O1038" s="3">
        <v>105000</v>
      </c>
      <c r="P1038" s="4">
        <v>40</v>
      </c>
      <c r="Q1038" s="2">
        <v>45747</v>
      </c>
      <c r="R1038" s="2">
        <v>46200</v>
      </c>
      <c r="S1038" s="2">
        <v>45734</v>
      </c>
      <c r="T1038" s="2"/>
      <c r="U1038" t="str">
        <f t="shared" si="112"/>
        <v>No</v>
      </c>
      <c r="W10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8" t="str">
        <f t="shared" ca="1" si="113"/>
        <v>Due/Open</v>
      </c>
      <c r="Y1038" t="str">
        <f t="shared" si="114"/>
        <v>Open</v>
      </c>
      <c r="Z1038" t="str">
        <f t="shared" si="115"/>
        <v>Feb-2025</v>
      </c>
      <c r="AA1038" t="str">
        <f t="shared" si="116"/>
        <v>Q1 2025</v>
      </c>
      <c r="AB1038" s="4">
        <f t="shared" ca="1" si="117"/>
        <v>489</v>
      </c>
      <c r="AC1038" t="str">
        <f t="shared" si="118"/>
        <v>Low</v>
      </c>
    </row>
    <row r="1039" spans="1:29">
      <c r="A1039" t="s">
        <v>3886</v>
      </c>
      <c r="B1039" s="2">
        <v>45842</v>
      </c>
      <c r="C1039" t="s">
        <v>2235</v>
      </c>
      <c r="D1039" t="s">
        <v>1183</v>
      </c>
      <c r="E1039" t="s">
        <v>3887</v>
      </c>
      <c r="F1039" t="s">
        <v>3888</v>
      </c>
      <c r="G1039" t="s">
        <v>79</v>
      </c>
      <c r="H1039" t="s">
        <v>260</v>
      </c>
      <c r="I1039" t="s">
        <v>98</v>
      </c>
      <c r="J1039" t="s">
        <v>50</v>
      </c>
      <c r="K1039" t="s">
        <v>38</v>
      </c>
      <c r="L1039" t="s">
        <v>115</v>
      </c>
      <c r="M1039" t="s">
        <v>73</v>
      </c>
      <c r="N1039" t="s">
        <v>73</v>
      </c>
      <c r="O1039" s="3">
        <v>305000</v>
      </c>
      <c r="P1039" s="4">
        <v>80</v>
      </c>
      <c r="Q1039" s="2">
        <v>45929</v>
      </c>
      <c r="R1039" s="2">
        <v>46196</v>
      </c>
      <c r="S1039" s="2">
        <v>45868</v>
      </c>
      <c r="T1039" s="2"/>
      <c r="U1039" t="str">
        <f t="shared" si="112"/>
        <v>No</v>
      </c>
      <c r="W10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39" t="str">
        <f t="shared" ca="1" si="113"/>
        <v>Overdue</v>
      </c>
      <c r="Y1039" t="str">
        <f t="shared" si="114"/>
        <v>Open</v>
      </c>
      <c r="Z1039" t="str">
        <f t="shared" si="115"/>
        <v>Jul-2025</v>
      </c>
      <c r="AA1039" t="str">
        <f t="shared" si="116"/>
        <v>Q3 2025</v>
      </c>
      <c r="AB1039" s="4">
        <f t="shared" ca="1" si="117"/>
        <v>357</v>
      </c>
      <c r="AC1039" t="str">
        <f t="shared" si="118"/>
        <v>High</v>
      </c>
    </row>
    <row r="1040" spans="1:29">
      <c r="A1040" t="s">
        <v>3889</v>
      </c>
      <c r="B1040" s="2">
        <v>45762</v>
      </c>
      <c r="C1040" t="s">
        <v>3890</v>
      </c>
      <c r="D1040" t="s">
        <v>361</v>
      </c>
      <c r="E1040" t="s">
        <v>3891</v>
      </c>
      <c r="F1040" t="s">
        <v>3892</v>
      </c>
      <c r="G1040" t="s">
        <v>47</v>
      </c>
      <c r="H1040" t="s">
        <v>48</v>
      </c>
      <c r="I1040" t="s">
        <v>98</v>
      </c>
      <c r="J1040" t="s">
        <v>50</v>
      </c>
      <c r="K1040" t="s">
        <v>194</v>
      </c>
      <c r="L1040" t="s">
        <v>132</v>
      </c>
      <c r="M1040" t="s">
        <v>82</v>
      </c>
      <c r="N1040" t="s">
        <v>83</v>
      </c>
      <c r="O1040" s="3">
        <v>430000</v>
      </c>
      <c r="P1040" s="4">
        <v>10</v>
      </c>
      <c r="Q1040" s="2">
        <v>45817</v>
      </c>
      <c r="R1040" s="2">
        <v>46238</v>
      </c>
      <c r="S1040" s="2">
        <v>45777</v>
      </c>
      <c r="T1040" s="2"/>
      <c r="U1040" t="str">
        <f t="shared" si="112"/>
        <v>No</v>
      </c>
      <c r="W10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0" t="str">
        <f t="shared" ca="1" si="113"/>
        <v>Due/Open</v>
      </c>
      <c r="Y1040" t="str">
        <f t="shared" si="114"/>
        <v>Open</v>
      </c>
      <c r="Z1040" t="str">
        <f t="shared" si="115"/>
        <v>Apr-2025</v>
      </c>
      <c r="AA1040" t="str">
        <f t="shared" si="116"/>
        <v>Q2 2025</v>
      </c>
      <c r="AB1040" s="4">
        <f t="shared" ca="1" si="117"/>
        <v>437</v>
      </c>
      <c r="AC1040" t="str">
        <f t="shared" si="118"/>
        <v>High</v>
      </c>
    </row>
    <row r="1041" spans="1:29">
      <c r="A1041" t="s">
        <v>3893</v>
      </c>
      <c r="B1041" s="2">
        <v>46149</v>
      </c>
      <c r="C1041" t="s">
        <v>2935</v>
      </c>
      <c r="D1041" t="s">
        <v>684</v>
      </c>
      <c r="E1041" t="s">
        <v>3073</v>
      </c>
      <c r="F1041" t="s">
        <v>3894</v>
      </c>
      <c r="G1041" t="s">
        <v>47</v>
      </c>
      <c r="H1041" t="s">
        <v>418</v>
      </c>
      <c r="I1041" t="s">
        <v>141</v>
      </c>
      <c r="J1041" t="s">
        <v>99</v>
      </c>
      <c r="K1041" t="s">
        <v>194</v>
      </c>
      <c r="L1041" t="s">
        <v>132</v>
      </c>
      <c r="M1041" t="s">
        <v>90</v>
      </c>
      <c r="N1041" t="s">
        <v>91</v>
      </c>
      <c r="O1041" s="3">
        <v>410000</v>
      </c>
      <c r="P1041" s="4">
        <v>50</v>
      </c>
      <c r="Q1041" s="2">
        <v>46170</v>
      </c>
      <c r="R1041" s="2">
        <v>46159</v>
      </c>
      <c r="S1041" s="2">
        <v>46150</v>
      </c>
      <c r="T1041" s="2"/>
      <c r="U1041" t="str">
        <f t="shared" si="112"/>
        <v>No</v>
      </c>
      <c r="W10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1" t="str">
        <f t="shared" ca="1" si="113"/>
        <v>Overdue</v>
      </c>
      <c r="Y1041" t="str">
        <f t="shared" si="114"/>
        <v>Open</v>
      </c>
      <c r="Z1041" t="str">
        <f t="shared" si="115"/>
        <v>May-2026</v>
      </c>
      <c r="AA1041" t="str">
        <f t="shared" si="116"/>
        <v>Q2 2026</v>
      </c>
      <c r="AB1041" s="4">
        <f t="shared" ca="1" si="117"/>
        <v>50</v>
      </c>
      <c r="AC1041" t="str">
        <f t="shared" si="118"/>
        <v>High</v>
      </c>
    </row>
    <row r="1042" spans="1:29">
      <c r="A1042" t="s">
        <v>3895</v>
      </c>
      <c r="B1042" s="2">
        <v>46165</v>
      </c>
      <c r="C1042" t="s">
        <v>326</v>
      </c>
      <c r="D1042" t="s">
        <v>767</v>
      </c>
      <c r="E1042" t="s">
        <v>3896</v>
      </c>
      <c r="F1042" t="s">
        <v>3897</v>
      </c>
      <c r="G1042" t="s">
        <v>69</v>
      </c>
      <c r="H1042" t="s">
        <v>193</v>
      </c>
      <c r="I1042" t="s">
        <v>36</v>
      </c>
      <c r="J1042" t="s">
        <v>37</v>
      </c>
      <c r="K1042" t="s">
        <v>194</v>
      </c>
      <c r="L1042" t="s">
        <v>132</v>
      </c>
      <c r="M1042" t="s">
        <v>40</v>
      </c>
      <c r="N1042" t="s">
        <v>41</v>
      </c>
      <c r="O1042" s="3">
        <v>140000</v>
      </c>
      <c r="P1042" s="4">
        <v>100</v>
      </c>
      <c r="Q1042" s="2">
        <v>46192</v>
      </c>
      <c r="R1042" s="2"/>
      <c r="S1042" s="2">
        <v>46171</v>
      </c>
      <c r="T1042" s="2">
        <v>46192</v>
      </c>
      <c r="U1042" t="str">
        <f t="shared" si="112"/>
        <v>Yes</v>
      </c>
      <c r="W10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1042" t="str">
        <f t="shared" ca="1" si="113"/>
        <v>Closed</v>
      </c>
      <c r="Y1042" t="str">
        <f t="shared" si="114"/>
        <v>Closed</v>
      </c>
      <c r="Z1042" t="str">
        <f t="shared" si="115"/>
        <v>May-2026</v>
      </c>
      <c r="AA1042" t="str">
        <f t="shared" si="116"/>
        <v>Q2 2026</v>
      </c>
      <c r="AB1042" s="4">
        <f t="shared" ca="1" si="117"/>
        <v>34</v>
      </c>
      <c r="AC1042" t="str">
        <f t="shared" si="118"/>
        <v>Medium</v>
      </c>
    </row>
    <row r="1043" spans="1:29">
      <c r="A1043" t="s">
        <v>3898</v>
      </c>
      <c r="B1043" s="2">
        <v>46046</v>
      </c>
      <c r="C1043" t="s">
        <v>880</v>
      </c>
      <c r="D1043" t="s">
        <v>552</v>
      </c>
      <c r="E1043" t="s">
        <v>3899</v>
      </c>
      <c r="F1043" t="s">
        <v>3900</v>
      </c>
      <c r="G1043" t="s">
        <v>47</v>
      </c>
      <c r="H1043" t="s">
        <v>493</v>
      </c>
      <c r="I1043" t="s">
        <v>61</v>
      </c>
      <c r="J1043" t="s">
        <v>37</v>
      </c>
      <c r="K1043" t="s">
        <v>51</v>
      </c>
      <c r="L1043" t="s">
        <v>239</v>
      </c>
      <c r="M1043" t="s">
        <v>40</v>
      </c>
      <c r="N1043" t="s">
        <v>41</v>
      </c>
      <c r="O1043" s="3">
        <v>45000</v>
      </c>
      <c r="P1043" s="4">
        <v>100</v>
      </c>
      <c r="Q1043" s="2">
        <v>46118</v>
      </c>
      <c r="R1043" s="2"/>
      <c r="S1043" s="2">
        <v>46065</v>
      </c>
      <c r="T1043" s="2">
        <v>46118</v>
      </c>
      <c r="U1043" t="str">
        <f t="shared" si="112"/>
        <v>Yes</v>
      </c>
      <c r="W10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043" t="str">
        <f t="shared" ca="1" si="113"/>
        <v>Closed</v>
      </c>
      <c r="Y1043" t="str">
        <f t="shared" si="114"/>
        <v>Closed</v>
      </c>
      <c r="Z1043" t="str">
        <f t="shared" si="115"/>
        <v>Jan-2026</v>
      </c>
      <c r="AA1043" t="str">
        <f t="shared" si="116"/>
        <v>Q1 2026</v>
      </c>
      <c r="AB1043" s="4">
        <f t="shared" ca="1" si="117"/>
        <v>153</v>
      </c>
      <c r="AC1043" t="str">
        <f t="shared" si="118"/>
        <v>Low</v>
      </c>
    </row>
    <row r="1044" spans="1:29">
      <c r="A1044" t="s">
        <v>3901</v>
      </c>
      <c r="B1044" s="2">
        <v>45702</v>
      </c>
      <c r="C1044" t="s">
        <v>2165</v>
      </c>
      <c r="D1044" t="s">
        <v>337</v>
      </c>
      <c r="E1044" t="s">
        <v>3902</v>
      </c>
      <c r="F1044" t="s">
        <v>3903</v>
      </c>
      <c r="G1044" t="s">
        <v>79</v>
      </c>
      <c r="H1044" t="s">
        <v>80</v>
      </c>
      <c r="I1044" t="s">
        <v>36</v>
      </c>
      <c r="J1044" t="s">
        <v>50</v>
      </c>
      <c r="K1044" t="s">
        <v>194</v>
      </c>
      <c r="L1044" t="s">
        <v>52</v>
      </c>
      <c r="M1044" t="s">
        <v>53</v>
      </c>
      <c r="N1044" t="s">
        <v>54</v>
      </c>
      <c r="O1044" s="3">
        <v>275000</v>
      </c>
      <c r="P1044" s="4">
        <v>25</v>
      </c>
      <c r="Q1044" s="2">
        <v>45777</v>
      </c>
      <c r="R1044" s="2">
        <v>46210</v>
      </c>
      <c r="S1044" s="2">
        <v>45711</v>
      </c>
      <c r="T1044" s="2"/>
      <c r="U1044" t="str">
        <f t="shared" si="112"/>
        <v>No</v>
      </c>
      <c r="W10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4" t="str">
        <f t="shared" ca="1" si="113"/>
        <v>Due/Open</v>
      </c>
      <c r="Y1044" t="str">
        <f t="shared" si="114"/>
        <v>Open</v>
      </c>
      <c r="Z1044" t="str">
        <f t="shared" si="115"/>
        <v>Feb-2025</v>
      </c>
      <c r="AA1044" t="str">
        <f t="shared" si="116"/>
        <v>Q1 2025</v>
      </c>
      <c r="AB1044" s="4">
        <f t="shared" ca="1" si="117"/>
        <v>497</v>
      </c>
      <c r="AC1044" t="str">
        <f t="shared" si="118"/>
        <v>Medium</v>
      </c>
    </row>
    <row r="1045" spans="1:29">
      <c r="A1045" t="s">
        <v>3904</v>
      </c>
      <c r="B1045" s="2">
        <v>46029</v>
      </c>
      <c r="C1045" t="s">
        <v>3437</v>
      </c>
      <c r="D1045" t="s">
        <v>145</v>
      </c>
      <c r="E1045" t="s">
        <v>3905</v>
      </c>
      <c r="F1045" t="s">
        <v>3906</v>
      </c>
      <c r="G1045" t="s">
        <v>69</v>
      </c>
      <c r="H1045" t="s">
        <v>285</v>
      </c>
      <c r="I1045" t="s">
        <v>49</v>
      </c>
      <c r="J1045" t="s">
        <v>99</v>
      </c>
      <c r="K1045" t="s">
        <v>194</v>
      </c>
      <c r="L1045" t="s">
        <v>142</v>
      </c>
      <c r="M1045" t="s">
        <v>40</v>
      </c>
      <c r="N1045" t="s">
        <v>41</v>
      </c>
      <c r="O1045" s="3">
        <v>300000</v>
      </c>
      <c r="P1045" s="4">
        <v>100</v>
      </c>
      <c r="Q1045" s="2">
        <v>46059</v>
      </c>
      <c r="R1045" s="2"/>
      <c r="S1045" s="2">
        <v>46033</v>
      </c>
      <c r="T1045" s="2">
        <v>46059</v>
      </c>
      <c r="U1045" t="str">
        <f t="shared" si="112"/>
        <v>Yes</v>
      </c>
      <c r="W104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30</v>
      </c>
      <c r="X1045" t="str">
        <f t="shared" ca="1" si="113"/>
        <v>Closed</v>
      </c>
      <c r="Y1045" t="str">
        <f t="shared" si="114"/>
        <v>Closed</v>
      </c>
      <c r="Z1045" t="str">
        <f t="shared" si="115"/>
        <v>Jan-2026</v>
      </c>
      <c r="AA1045" t="str">
        <f t="shared" si="116"/>
        <v>Q1 2026</v>
      </c>
      <c r="AB1045" s="4">
        <f t="shared" ca="1" si="117"/>
        <v>170</v>
      </c>
      <c r="AC1045" t="str">
        <f t="shared" si="118"/>
        <v>High</v>
      </c>
    </row>
    <row r="1046" spans="1:29">
      <c r="A1046" t="s">
        <v>3907</v>
      </c>
      <c r="B1046" s="2">
        <v>46139</v>
      </c>
      <c r="C1046" t="s">
        <v>2142</v>
      </c>
      <c r="D1046" t="s">
        <v>797</v>
      </c>
      <c r="E1046" t="s">
        <v>3908</v>
      </c>
      <c r="F1046" t="s">
        <v>3909</v>
      </c>
      <c r="G1046" t="s">
        <v>179</v>
      </c>
      <c r="H1046" t="s">
        <v>436</v>
      </c>
      <c r="I1046" t="s">
        <v>187</v>
      </c>
      <c r="J1046" t="s">
        <v>37</v>
      </c>
      <c r="K1046" t="s">
        <v>100</v>
      </c>
      <c r="L1046" t="s">
        <v>63</v>
      </c>
      <c r="M1046" t="s">
        <v>40</v>
      </c>
      <c r="N1046" t="s">
        <v>41</v>
      </c>
      <c r="O1046" s="3">
        <v>70000</v>
      </c>
      <c r="P1046" s="4">
        <v>100</v>
      </c>
      <c r="Q1046" s="2">
        <v>46162</v>
      </c>
      <c r="R1046" s="2"/>
      <c r="S1046" s="2">
        <v>46166</v>
      </c>
      <c r="T1046" s="2">
        <v>46162</v>
      </c>
      <c r="U1046" t="str">
        <f t="shared" si="112"/>
        <v>Yes</v>
      </c>
      <c r="W10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23</v>
      </c>
      <c r="X1046" t="str">
        <f t="shared" ca="1" si="113"/>
        <v>Closed</v>
      </c>
      <c r="Y1046" t="str">
        <f t="shared" si="114"/>
        <v>Closed</v>
      </c>
      <c r="Z1046" t="str">
        <f t="shared" si="115"/>
        <v>Apr-2026</v>
      </c>
      <c r="AA1046" t="str">
        <f t="shared" si="116"/>
        <v>Q2 2026</v>
      </c>
      <c r="AB1046" s="4">
        <f t="shared" ca="1" si="117"/>
        <v>60</v>
      </c>
      <c r="AC1046" t="str">
        <f t="shared" si="118"/>
        <v>Low</v>
      </c>
    </row>
    <row r="1047" spans="1:29">
      <c r="A1047" t="s">
        <v>3910</v>
      </c>
      <c r="B1047" s="2">
        <v>45695</v>
      </c>
      <c r="C1047" t="s">
        <v>2187</v>
      </c>
      <c r="D1047" t="s">
        <v>1012</v>
      </c>
      <c r="E1047" t="s">
        <v>3911</v>
      </c>
      <c r="F1047" t="s">
        <v>3912</v>
      </c>
      <c r="G1047" t="s">
        <v>34</v>
      </c>
      <c r="H1047" t="s">
        <v>238</v>
      </c>
      <c r="I1047" t="s">
        <v>187</v>
      </c>
      <c r="J1047" t="s">
        <v>99</v>
      </c>
      <c r="K1047" t="s">
        <v>194</v>
      </c>
      <c r="L1047" t="s">
        <v>125</v>
      </c>
      <c r="M1047" t="s">
        <v>40</v>
      </c>
      <c r="N1047" t="s">
        <v>41</v>
      </c>
      <c r="O1047" s="3">
        <v>685000</v>
      </c>
      <c r="P1047" s="4">
        <v>100</v>
      </c>
      <c r="Q1047" s="2">
        <v>45744</v>
      </c>
      <c r="R1047" s="2"/>
      <c r="S1047" s="2">
        <v>45696</v>
      </c>
      <c r="T1047" s="2">
        <v>45744</v>
      </c>
      <c r="U1047" t="str">
        <f t="shared" si="112"/>
        <v>Yes</v>
      </c>
      <c r="W10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49</v>
      </c>
      <c r="X1047" t="str">
        <f t="shared" ca="1" si="113"/>
        <v>Closed</v>
      </c>
      <c r="Y1047" t="str">
        <f t="shared" si="114"/>
        <v>Closed</v>
      </c>
      <c r="Z1047" t="str">
        <f t="shared" si="115"/>
        <v>Feb-2025</v>
      </c>
      <c r="AA1047" t="str">
        <f t="shared" si="116"/>
        <v>Q1 2025</v>
      </c>
      <c r="AB1047" s="4">
        <f t="shared" ca="1" si="117"/>
        <v>504</v>
      </c>
      <c r="AC1047" t="str">
        <f t="shared" si="118"/>
        <v>High</v>
      </c>
    </row>
    <row r="1048" spans="1:29">
      <c r="A1048" t="s">
        <v>3913</v>
      </c>
      <c r="B1048" s="2">
        <v>46005</v>
      </c>
      <c r="C1048" t="s">
        <v>1981</v>
      </c>
      <c r="D1048" t="s">
        <v>1093</v>
      </c>
      <c r="E1048" t="s">
        <v>3914</v>
      </c>
      <c r="F1048" t="s">
        <v>3915</v>
      </c>
      <c r="G1048" t="s">
        <v>179</v>
      </c>
      <c r="H1048" t="s">
        <v>487</v>
      </c>
      <c r="I1048" t="s">
        <v>98</v>
      </c>
      <c r="J1048" t="s">
        <v>124</v>
      </c>
      <c r="K1048" t="s">
        <v>38</v>
      </c>
      <c r="L1048" t="s">
        <v>72</v>
      </c>
      <c r="M1048" t="s">
        <v>73</v>
      </c>
      <c r="N1048" t="s">
        <v>73</v>
      </c>
      <c r="O1048" s="3">
        <v>230000</v>
      </c>
      <c r="P1048" s="4">
        <v>75</v>
      </c>
      <c r="Q1048" s="2">
        <v>46055</v>
      </c>
      <c r="R1048" s="2">
        <v>46222</v>
      </c>
      <c r="S1048" s="2">
        <v>46008</v>
      </c>
      <c r="T1048" s="2"/>
      <c r="U1048" t="str">
        <f t="shared" si="112"/>
        <v>No</v>
      </c>
      <c r="W10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8" t="str">
        <f t="shared" ca="1" si="113"/>
        <v>Due/Open</v>
      </c>
      <c r="Y1048" t="str">
        <f t="shared" si="114"/>
        <v>Open</v>
      </c>
      <c r="Z1048" t="str">
        <f t="shared" si="115"/>
        <v>Dec-2025</v>
      </c>
      <c r="AA1048" t="str">
        <f t="shared" si="116"/>
        <v>Q4 2025</v>
      </c>
      <c r="AB1048" s="4">
        <f t="shared" ca="1" si="117"/>
        <v>194</v>
      </c>
      <c r="AC1048" t="str">
        <f t="shared" si="118"/>
        <v>Medium</v>
      </c>
    </row>
    <row r="1049" spans="1:29">
      <c r="A1049" t="s">
        <v>3916</v>
      </c>
      <c r="B1049" s="2">
        <v>46103</v>
      </c>
      <c r="C1049" t="s">
        <v>1740</v>
      </c>
      <c r="D1049" t="s">
        <v>428</v>
      </c>
      <c r="E1049" t="s">
        <v>3917</v>
      </c>
      <c r="F1049" t="s">
        <v>3918</v>
      </c>
      <c r="G1049" t="s">
        <v>69</v>
      </c>
      <c r="H1049" t="s">
        <v>70</v>
      </c>
      <c r="I1049" t="s">
        <v>49</v>
      </c>
      <c r="J1049" t="s">
        <v>62</v>
      </c>
      <c r="K1049" t="s">
        <v>114</v>
      </c>
      <c r="L1049" t="s">
        <v>132</v>
      </c>
      <c r="M1049" t="s">
        <v>53</v>
      </c>
      <c r="N1049" t="s">
        <v>54</v>
      </c>
      <c r="O1049" s="3">
        <v>260000</v>
      </c>
      <c r="P1049" s="4">
        <v>30</v>
      </c>
      <c r="Q1049" s="2">
        <v>46177</v>
      </c>
      <c r="R1049" s="2">
        <v>46170</v>
      </c>
      <c r="S1049" s="2">
        <v>46121</v>
      </c>
      <c r="T1049" s="2"/>
      <c r="U1049" t="str">
        <f t="shared" si="112"/>
        <v>No</v>
      </c>
      <c r="W10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49" t="str">
        <f t="shared" ca="1" si="113"/>
        <v>Overdue</v>
      </c>
      <c r="Y1049" t="str">
        <f t="shared" si="114"/>
        <v>Open</v>
      </c>
      <c r="Z1049" t="str">
        <f t="shared" si="115"/>
        <v>Mar-2026</v>
      </c>
      <c r="AA1049" t="str">
        <f t="shared" si="116"/>
        <v>Q1 2026</v>
      </c>
      <c r="AB1049" s="4">
        <f t="shared" ca="1" si="117"/>
        <v>96</v>
      </c>
      <c r="AC1049" t="str">
        <f t="shared" si="118"/>
        <v>Medium</v>
      </c>
    </row>
    <row r="1050" spans="1:29">
      <c r="A1050" t="s">
        <v>3919</v>
      </c>
      <c r="B1050" s="2">
        <v>45742</v>
      </c>
      <c r="C1050" t="s">
        <v>303</v>
      </c>
      <c r="D1050" t="s">
        <v>1717</v>
      </c>
      <c r="E1050" t="s">
        <v>3920</v>
      </c>
      <c r="F1050" t="s">
        <v>3921</v>
      </c>
      <c r="G1050" t="s">
        <v>47</v>
      </c>
      <c r="H1050" t="s">
        <v>418</v>
      </c>
      <c r="I1050" t="s">
        <v>98</v>
      </c>
      <c r="J1050" t="s">
        <v>99</v>
      </c>
      <c r="K1050" t="s">
        <v>38</v>
      </c>
      <c r="L1050" t="s">
        <v>72</v>
      </c>
      <c r="M1050" t="s">
        <v>116</v>
      </c>
      <c r="N1050" t="s">
        <v>54</v>
      </c>
      <c r="O1050" s="3">
        <v>680000</v>
      </c>
      <c r="P1050" s="4">
        <v>25</v>
      </c>
      <c r="Q1050" s="2">
        <v>45819</v>
      </c>
      <c r="R1050" s="2">
        <v>46202</v>
      </c>
      <c r="S1050" s="2">
        <v>45763</v>
      </c>
      <c r="T1050" s="2"/>
      <c r="U1050" t="str">
        <f t="shared" si="112"/>
        <v>No</v>
      </c>
      <c r="W10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0" t="str">
        <f t="shared" ca="1" si="113"/>
        <v>Due/Open</v>
      </c>
      <c r="Y1050" t="str">
        <f t="shared" si="114"/>
        <v>Open</v>
      </c>
      <c r="Z1050" t="str">
        <f t="shared" si="115"/>
        <v>Mar-2025</v>
      </c>
      <c r="AA1050" t="str">
        <f t="shared" si="116"/>
        <v>Q1 2025</v>
      </c>
      <c r="AB1050" s="4">
        <f t="shared" ca="1" si="117"/>
        <v>457</v>
      </c>
      <c r="AC1050" t="str">
        <f t="shared" si="118"/>
        <v>High</v>
      </c>
    </row>
    <row r="1051" spans="1:29">
      <c r="A1051" t="s">
        <v>3922</v>
      </c>
      <c r="B1051" s="2">
        <v>46121</v>
      </c>
      <c r="C1051" t="s">
        <v>3569</v>
      </c>
      <c r="D1051" t="s">
        <v>676</v>
      </c>
      <c r="E1051" t="s">
        <v>3923</v>
      </c>
      <c r="F1051" t="s">
        <v>3924</v>
      </c>
      <c r="G1051" t="s">
        <v>179</v>
      </c>
      <c r="H1051" t="s">
        <v>487</v>
      </c>
      <c r="I1051" t="s">
        <v>141</v>
      </c>
      <c r="J1051" t="s">
        <v>131</v>
      </c>
      <c r="K1051" t="s">
        <v>71</v>
      </c>
      <c r="L1051" t="s">
        <v>81</v>
      </c>
      <c r="M1051" t="s">
        <v>116</v>
      </c>
      <c r="N1051" t="s">
        <v>54</v>
      </c>
      <c r="O1051" s="3">
        <v>120000</v>
      </c>
      <c r="P1051" s="4">
        <v>20</v>
      </c>
      <c r="Q1051" s="2">
        <v>46210</v>
      </c>
      <c r="R1051" s="2">
        <v>46190</v>
      </c>
      <c r="S1051" s="2">
        <v>46150</v>
      </c>
      <c r="T1051" s="2"/>
      <c r="U1051" t="str">
        <f t="shared" si="112"/>
        <v>No</v>
      </c>
      <c r="W10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1" t="str">
        <f t="shared" ca="1" si="113"/>
        <v>Overdue</v>
      </c>
      <c r="Y1051" t="str">
        <f t="shared" si="114"/>
        <v>Open</v>
      </c>
      <c r="Z1051" t="str">
        <f t="shared" si="115"/>
        <v>Apr-2026</v>
      </c>
      <c r="AA1051" t="str">
        <f t="shared" si="116"/>
        <v>Q2 2026</v>
      </c>
      <c r="AB1051" s="4">
        <f t="shared" ca="1" si="117"/>
        <v>78</v>
      </c>
      <c r="AC1051" t="str">
        <f t="shared" si="118"/>
        <v>Medium</v>
      </c>
    </row>
    <row r="1052" spans="1:29">
      <c r="A1052" t="s">
        <v>3925</v>
      </c>
      <c r="B1052" s="2">
        <v>45736</v>
      </c>
      <c r="C1052" t="s">
        <v>3926</v>
      </c>
      <c r="D1052" t="s">
        <v>282</v>
      </c>
      <c r="E1052" t="s">
        <v>3927</v>
      </c>
      <c r="F1052" t="s">
        <v>3928</v>
      </c>
      <c r="G1052" t="s">
        <v>179</v>
      </c>
      <c r="H1052" t="s">
        <v>296</v>
      </c>
      <c r="I1052" t="s">
        <v>123</v>
      </c>
      <c r="J1052" t="s">
        <v>50</v>
      </c>
      <c r="K1052" t="s">
        <v>38</v>
      </c>
      <c r="L1052" t="s">
        <v>52</v>
      </c>
      <c r="M1052" t="s">
        <v>73</v>
      </c>
      <c r="N1052" t="s">
        <v>73</v>
      </c>
      <c r="O1052" s="3">
        <v>420000</v>
      </c>
      <c r="P1052" s="4">
        <v>80</v>
      </c>
      <c r="Q1052" s="2">
        <v>45794</v>
      </c>
      <c r="R1052" s="2">
        <v>46239</v>
      </c>
      <c r="S1052" s="2">
        <v>45740</v>
      </c>
      <c r="T1052" s="2"/>
      <c r="U1052" t="str">
        <f t="shared" si="112"/>
        <v>No</v>
      </c>
      <c r="W10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2" t="str">
        <f t="shared" ca="1" si="113"/>
        <v>Due/Open</v>
      </c>
      <c r="Y1052" t="str">
        <f t="shared" si="114"/>
        <v>Open</v>
      </c>
      <c r="Z1052" t="str">
        <f t="shared" si="115"/>
        <v>Mar-2025</v>
      </c>
      <c r="AA1052" t="str">
        <f t="shared" si="116"/>
        <v>Q1 2025</v>
      </c>
      <c r="AB1052" s="4">
        <f t="shared" ca="1" si="117"/>
        <v>463</v>
      </c>
      <c r="AC1052" t="str">
        <f t="shared" si="118"/>
        <v>High</v>
      </c>
    </row>
    <row r="1053" spans="1:29">
      <c r="A1053" t="s">
        <v>3929</v>
      </c>
      <c r="B1053" s="2">
        <v>45992</v>
      </c>
      <c r="C1053" t="s">
        <v>267</v>
      </c>
      <c r="D1053" t="s">
        <v>263</v>
      </c>
      <c r="E1053" t="s">
        <v>3930</v>
      </c>
      <c r="F1053" t="s">
        <v>3931</v>
      </c>
      <c r="G1053" t="s">
        <v>179</v>
      </c>
      <c r="H1053" t="s">
        <v>180</v>
      </c>
      <c r="I1053" t="s">
        <v>49</v>
      </c>
      <c r="J1053" t="s">
        <v>99</v>
      </c>
      <c r="K1053" t="s">
        <v>38</v>
      </c>
      <c r="L1053" t="s">
        <v>125</v>
      </c>
      <c r="M1053" t="s">
        <v>53</v>
      </c>
      <c r="N1053" t="s">
        <v>54</v>
      </c>
      <c r="O1053" s="3">
        <v>665000</v>
      </c>
      <c r="P1053" s="4">
        <v>25</v>
      </c>
      <c r="Q1053" s="2">
        <v>46083</v>
      </c>
      <c r="R1053" s="2">
        <v>46170</v>
      </c>
      <c r="S1053" s="2">
        <v>46020</v>
      </c>
      <c r="T1053" s="2"/>
      <c r="U1053" t="str">
        <f t="shared" si="112"/>
        <v>No</v>
      </c>
      <c r="W10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3" t="str">
        <f t="shared" ca="1" si="113"/>
        <v>Overdue</v>
      </c>
      <c r="Y1053" t="str">
        <f t="shared" si="114"/>
        <v>Open</v>
      </c>
      <c r="Z1053" t="str">
        <f t="shared" si="115"/>
        <v>Dec-2025</v>
      </c>
      <c r="AA1053" t="str">
        <f t="shared" si="116"/>
        <v>Q4 2025</v>
      </c>
      <c r="AB1053" s="4">
        <f t="shared" ca="1" si="117"/>
        <v>207</v>
      </c>
      <c r="AC1053" t="str">
        <f t="shared" si="118"/>
        <v>High</v>
      </c>
    </row>
    <row r="1054" spans="1:29">
      <c r="A1054" t="s">
        <v>3932</v>
      </c>
      <c r="B1054" s="2">
        <v>46097</v>
      </c>
      <c r="C1054" t="s">
        <v>3933</v>
      </c>
      <c r="D1054" t="s">
        <v>2211</v>
      </c>
      <c r="E1054" t="s">
        <v>3934</v>
      </c>
      <c r="F1054" t="s">
        <v>3935</v>
      </c>
      <c r="G1054" t="s">
        <v>34</v>
      </c>
      <c r="H1054" t="s">
        <v>173</v>
      </c>
      <c r="I1054" t="s">
        <v>187</v>
      </c>
      <c r="J1054" t="s">
        <v>99</v>
      </c>
      <c r="K1054" t="s">
        <v>38</v>
      </c>
      <c r="L1054" t="s">
        <v>115</v>
      </c>
      <c r="M1054" t="s">
        <v>90</v>
      </c>
      <c r="N1054" t="s">
        <v>91</v>
      </c>
      <c r="O1054" s="3">
        <v>385000</v>
      </c>
      <c r="P1054" s="4">
        <v>40</v>
      </c>
      <c r="Q1054" s="2">
        <v>46151</v>
      </c>
      <c r="R1054" s="2">
        <v>46213</v>
      </c>
      <c r="S1054" s="2">
        <v>46104</v>
      </c>
      <c r="T1054" s="2"/>
      <c r="U1054" t="str">
        <f t="shared" si="112"/>
        <v>No</v>
      </c>
      <c r="W10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4" t="str">
        <f t="shared" ca="1" si="113"/>
        <v>Due/Open</v>
      </c>
      <c r="Y1054" t="str">
        <f t="shared" si="114"/>
        <v>Open</v>
      </c>
      <c r="Z1054" t="str">
        <f t="shared" si="115"/>
        <v>Mar-2026</v>
      </c>
      <c r="AA1054" t="str">
        <f t="shared" si="116"/>
        <v>Q1 2026</v>
      </c>
      <c r="AB1054" s="4">
        <f t="shared" ca="1" si="117"/>
        <v>102</v>
      </c>
      <c r="AC1054" t="str">
        <f t="shared" si="118"/>
        <v>High</v>
      </c>
    </row>
    <row r="1055" spans="1:29">
      <c r="A1055" t="s">
        <v>3936</v>
      </c>
      <c r="B1055" s="2">
        <v>46125</v>
      </c>
      <c r="C1055" t="s">
        <v>1623</v>
      </c>
      <c r="D1055" t="s">
        <v>1086</v>
      </c>
      <c r="E1055" t="s">
        <v>3937</v>
      </c>
      <c r="F1055" t="s">
        <v>3938</v>
      </c>
      <c r="G1055" t="s">
        <v>47</v>
      </c>
      <c r="H1055" t="s">
        <v>493</v>
      </c>
      <c r="I1055" t="s">
        <v>49</v>
      </c>
      <c r="J1055" t="s">
        <v>37</v>
      </c>
      <c r="K1055" t="s">
        <v>100</v>
      </c>
      <c r="L1055" t="s">
        <v>125</v>
      </c>
      <c r="M1055" t="s">
        <v>53</v>
      </c>
      <c r="N1055" t="s">
        <v>54</v>
      </c>
      <c r="O1055" s="3">
        <v>100000</v>
      </c>
      <c r="P1055" s="4">
        <v>30</v>
      </c>
      <c r="Q1055" s="2">
        <v>46172</v>
      </c>
      <c r="R1055" s="2">
        <v>46162</v>
      </c>
      <c r="S1055" s="2">
        <v>46134</v>
      </c>
      <c r="T1055" s="2"/>
      <c r="U1055" t="str">
        <f t="shared" si="112"/>
        <v>No</v>
      </c>
      <c r="W10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5" t="str">
        <f t="shared" ca="1" si="113"/>
        <v>Overdue</v>
      </c>
      <c r="Y1055" t="str">
        <f t="shared" si="114"/>
        <v>Open</v>
      </c>
      <c r="Z1055" t="str">
        <f t="shared" si="115"/>
        <v>Apr-2026</v>
      </c>
      <c r="AA1055" t="str">
        <f t="shared" si="116"/>
        <v>Q2 2026</v>
      </c>
      <c r="AB1055" s="4">
        <f t="shared" ca="1" si="117"/>
        <v>74</v>
      </c>
      <c r="AC1055" t="str">
        <f t="shared" si="118"/>
        <v>Low</v>
      </c>
    </row>
    <row r="1056" spans="1:29">
      <c r="A1056" t="s">
        <v>3939</v>
      </c>
      <c r="B1056" s="2">
        <v>46037</v>
      </c>
      <c r="C1056" t="s">
        <v>3263</v>
      </c>
      <c r="D1056" t="s">
        <v>914</v>
      </c>
      <c r="E1056" t="s">
        <v>3940</v>
      </c>
      <c r="F1056" t="s">
        <v>3941</v>
      </c>
      <c r="G1056" t="s">
        <v>79</v>
      </c>
      <c r="H1056" t="s">
        <v>260</v>
      </c>
      <c r="I1056" t="s">
        <v>98</v>
      </c>
      <c r="J1056" t="s">
        <v>99</v>
      </c>
      <c r="K1056" t="s">
        <v>51</v>
      </c>
      <c r="L1056" t="s">
        <v>239</v>
      </c>
      <c r="M1056" t="s">
        <v>166</v>
      </c>
      <c r="N1056" t="s">
        <v>167</v>
      </c>
      <c r="O1056" s="3">
        <v>175000</v>
      </c>
      <c r="P1056" s="4">
        <v>65</v>
      </c>
      <c r="Q1056" s="2">
        <v>46118</v>
      </c>
      <c r="R1056" s="2">
        <v>46205</v>
      </c>
      <c r="S1056" s="2">
        <v>46067</v>
      </c>
      <c r="T1056" s="2"/>
      <c r="U1056" t="str">
        <f t="shared" si="112"/>
        <v>No</v>
      </c>
      <c r="W10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6" t="str">
        <f t="shared" ca="1" si="113"/>
        <v>Due/Open</v>
      </c>
      <c r="Y1056" t="str">
        <f t="shared" si="114"/>
        <v>Open</v>
      </c>
      <c r="Z1056" t="str">
        <f t="shared" si="115"/>
        <v>Jan-2026</v>
      </c>
      <c r="AA1056" t="str">
        <f t="shared" si="116"/>
        <v>Q1 2026</v>
      </c>
      <c r="AB1056" s="4">
        <f t="shared" ca="1" si="117"/>
        <v>162</v>
      </c>
      <c r="AC1056" t="str">
        <f t="shared" si="118"/>
        <v>Medium</v>
      </c>
    </row>
    <row r="1057" spans="1:29">
      <c r="A1057" t="s">
        <v>3942</v>
      </c>
      <c r="B1057" s="2">
        <v>46127</v>
      </c>
      <c r="C1057" t="s">
        <v>1782</v>
      </c>
      <c r="D1057" t="s">
        <v>2143</v>
      </c>
      <c r="E1057" t="s">
        <v>2550</v>
      </c>
      <c r="F1057" t="s">
        <v>3943</v>
      </c>
      <c r="G1057" t="s">
        <v>79</v>
      </c>
      <c r="H1057" t="s">
        <v>97</v>
      </c>
      <c r="I1057" t="s">
        <v>123</v>
      </c>
      <c r="J1057" t="s">
        <v>131</v>
      </c>
      <c r="K1057" t="s">
        <v>100</v>
      </c>
      <c r="L1057" t="s">
        <v>132</v>
      </c>
      <c r="M1057" t="s">
        <v>166</v>
      </c>
      <c r="N1057" t="s">
        <v>167</v>
      </c>
      <c r="O1057" s="3">
        <v>250000</v>
      </c>
      <c r="P1057" s="4">
        <v>70</v>
      </c>
      <c r="Q1057" s="2">
        <v>46161</v>
      </c>
      <c r="R1057" s="2">
        <v>46161</v>
      </c>
      <c r="S1057" s="2">
        <v>46139</v>
      </c>
      <c r="T1057" s="2"/>
      <c r="U1057" t="str">
        <f t="shared" si="112"/>
        <v>No</v>
      </c>
      <c r="W10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7" t="str">
        <f t="shared" ca="1" si="113"/>
        <v>Overdue</v>
      </c>
      <c r="Y1057" t="str">
        <f t="shared" si="114"/>
        <v>Open</v>
      </c>
      <c r="Z1057" t="str">
        <f t="shared" si="115"/>
        <v>Apr-2026</v>
      </c>
      <c r="AA1057" t="str">
        <f t="shared" si="116"/>
        <v>Q2 2026</v>
      </c>
      <c r="AB1057" s="4">
        <f t="shared" ca="1" si="117"/>
        <v>72</v>
      </c>
      <c r="AC1057" t="str">
        <f t="shared" si="118"/>
        <v>Medium</v>
      </c>
    </row>
    <row r="1058" spans="1:29">
      <c r="A1058" t="s">
        <v>3944</v>
      </c>
      <c r="B1058" s="2">
        <v>46126</v>
      </c>
      <c r="C1058" t="s">
        <v>2322</v>
      </c>
      <c r="D1058" t="s">
        <v>1093</v>
      </c>
      <c r="E1058" t="s">
        <v>3945</v>
      </c>
      <c r="F1058" t="s">
        <v>3946</v>
      </c>
      <c r="G1058" t="s">
        <v>179</v>
      </c>
      <c r="H1058" t="s">
        <v>296</v>
      </c>
      <c r="I1058" t="s">
        <v>36</v>
      </c>
      <c r="J1058" t="s">
        <v>131</v>
      </c>
      <c r="K1058" t="s">
        <v>51</v>
      </c>
      <c r="L1058" t="s">
        <v>63</v>
      </c>
      <c r="M1058" t="s">
        <v>166</v>
      </c>
      <c r="N1058" t="s">
        <v>167</v>
      </c>
      <c r="O1058" s="3">
        <v>350000</v>
      </c>
      <c r="P1058" s="4">
        <v>60</v>
      </c>
      <c r="Q1058" s="2">
        <v>46190</v>
      </c>
      <c r="R1058" s="2">
        <v>46231</v>
      </c>
      <c r="S1058" s="2">
        <v>46139</v>
      </c>
      <c r="T1058" s="2"/>
      <c r="U1058" t="str">
        <f t="shared" si="112"/>
        <v>No</v>
      </c>
      <c r="W10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58" t="str">
        <f t="shared" ca="1" si="113"/>
        <v>Due/Open</v>
      </c>
      <c r="Y1058" t="str">
        <f t="shared" si="114"/>
        <v>Open</v>
      </c>
      <c r="Z1058" t="str">
        <f t="shared" si="115"/>
        <v>Apr-2026</v>
      </c>
      <c r="AA1058" t="str">
        <f t="shared" si="116"/>
        <v>Q2 2026</v>
      </c>
      <c r="AB1058" s="4">
        <f t="shared" ca="1" si="117"/>
        <v>73</v>
      </c>
      <c r="AC1058" t="str">
        <f t="shared" si="118"/>
        <v>High</v>
      </c>
    </row>
    <row r="1059" spans="1:29">
      <c r="A1059" t="s">
        <v>3947</v>
      </c>
      <c r="B1059" s="2">
        <v>45887</v>
      </c>
      <c r="C1059" t="s">
        <v>1778</v>
      </c>
      <c r="D1059" t="s">
        <v>701</v>
      </c>
      <c r="E1059" t="s">
        <v>3948</v>
      </c>
      <c r="F1059" t="s">
        <v>3949</v>
      </c>
      <c r="G1059" t="s">
        <v>179</v>
      </c>
      <c r="H1059" t="s">
        <v>180</v>
      </c>
      <c r="I1059" t="s">
        <v>187</v>
      </c>
      <c r="J1059" t="s">
        <v>50</v>
      </c>
      <c r="K1059" t="s">
        <v>71</v>
      </c>
      <c r="L1059" t="s">
        <v>115</v>
      </c>
      <c r="M1059" t="s">
        <v>40</v>
      </c>
      <c r="N1059" t="s">
        <v>41</v>
      </c>
      <c r="O1059" s="3">
        <v>395000</v>
      </c>
      <c r="P1059" s="4">
        <v>100</v>
      </c>
      <c r="Q1059" s="2">
        <v>45963</v>
      </c>
      <c r="R1059" s="2"/>
      <c r="S1059" s="2">
        <v>45892</v>
      </c>
      <c r="T1059" s="2">
        <v>45963</v>
      </c>
      <c r="U1059" t="str">
        <f t="shared" si="112"/>
        <v>Yes</v>
      </c>
      <c r="W10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76</v>
      </c>
      <c r="X1059" t="str">
        <f t="shared" ca="1" si="113"/>
        <v>Closed</v>
      </c>
      <c r="Y1059" t="str">
        <f t="shared" si="114"/>
        <v>Closed</v>
      </c>
      <c r="Z1059" t="str">
        <f t="shared" si="115"/>
        <v>Aug-2025</v>
      </c>
      <c r="AA1059" t="str">
        <f t="shared" si="116"/>
        <v>Q3 2025</v>
      </c>
      <c r="AB1059" s="4">
        <f t="shared" ca="1" si="117"/>
        <v>312</v>
      </c>
      <c r="AC1059" t="str">
        <f t="shared" si="118"/>
        <v>High</v>
      </c>
    </row>
    <row r="1060" spans="1:29">
      <c r="A1060" t="s">
        <v>3950</v>
      </c>
      <c r="B1060" s="2">
        <v>46007</v>
      </c>
      <c r="C1060" t="s">
        <v>2428</v>
      </c>
      <c r="D1060" t="s">
        <v>1683</v>
      </c>
      <c r="E1060" t="s">
        <v>3951</v>
      </c>
      <c r="F1060" t="s">
        <v>3952</v>
      </c>
      <c r="G1060" t="s">
        <v>69</v>
      </c>
      <c r="H1060" t="s">
        <v>200</v>
      </c>
      <c r="I1060" t="s">
        <v>36</v>
      </c>
      <c r="J1060" t="s">
        <v>131</v>
      </c>
      <c r="K1060" t="s">
        <v>114</v>
      </c>
      <c r="L1060" t="s">
        <v>125</v>
      </c>
      <c r="M1060" t="s">
        <v>90</v>
      </c>
      <c r="N1060" t="s">
        <v>91</v>
      </c>
      <c r="O1060" s="3">
        <v>335000</v>
      </c>
      <c r="P1060" s="4">
        <v>40</v>
      </c>
      <c r="Q1060" s="2">
        <v>46088</v>
      </c>
      <c r="R1060" s="2">
        <v>46214</v>
      </c>
      <c r="S1060" s="2">
        <v>46030</v>
      </c>
      <c r="T1060" s="2"/>
      <c r="U1060" t="str">
        <f t="shared" si="112"/>
        <v>No</v>
      </c>
      <c r="W10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0" t="str">
        <f t="shared" ca="1" si="113"/>
        <v>Due/Open</v>
      </c>
      <c r="Y1060" t="str">
        <f t="shared" si="114"/>
        <v>Open</v>
      </c>
      <c r="Z1060" t="str">
        <f t="shared" si="115"/>
        <v>Dec-2025</v>
      </c>
      <c r="AA1060" t="str">
        <f t="shared" si="116"/>
        <v>Q4 2025</v>
      </c>
      <c r="AB1060" s="4">
        <f t="shared" ca="1" si="117"/>
        <v>192</v>
      </c>
      <c r="AC1060" t="str">
        <f t="shared" si="118"/>
        <v>High</v>
      </c>
    </row>
    <row r="1061" spans="1:29">
      <c r="A1061" t="s">
        <v>3953</v>
      </c>
      <c r="B1061" s="2">
        <v>46103</v>
      </c>
      <c r="C1061" t="s">
        <v>3343</v>
      </c>
      <c r="D1061" t="s">
        <v>755</v>
      </c>
      <c r="E1061" t="s">
        <v>3954</v>
      </c>
      <c r="F1061" t="s">
        <v>3955</v>
      </c>
      <c r="G1061" t="s">
        <v>79</v>
      </c>
      <c r="H1061" t="s">
        <v>106</v>
      </c>
      <c r="I1061" t="s">
        <v>141</v>
      </c>
      <c r="J1061" t="s">
        <v>131</v>
      </c>
      <c r="K1061" t="s">
        <v>194</v>
      </c>
      <c r="L1061" t="s">
        <v>72</v>
      </c>
      <c r="M1061" t="s">
        <v>40</v>
      </c>
      <c r="N1061" t="s">
        <v>41</v>
      </c>
      <c r="O1061" s="3">
        <v>285000</v>
      </c>
      <c r="P1061" s="4">
        <v>100</v>
      </c>
      <c r="Q1061" s="2">
        <v>46138</v>
      </c>
      <c r="R1061" s="2"/>
      <c r="S1061" s="2">
        <v>46115</v>
      </c>
      <c r="T1061" s="2">
        <v>46138</v>
      </c>
      <c r="U1061" t="str">
        <f t="shared" si="112"/>
        <v>Yes</v>
      </c>
      <c r="W106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1061" t="str">
        <f t="shared" ca="1" si="113"/>
        <v>Closed</v>
      </c>
      <c r="Y1061" t="str">
        <f t="shared" si="114"/>
        <v>Closed</v>
      </c>
      <c r="Z1061" t="str">
        <f t="shared" si="115"/>
        <v>Mar-2026</v>
      </c>
      <c r="AA1061" t="str">
        <f t="shared" si="116"/>
        <v>Q1 2026</v>
      </c>
      <c r="AB1061" s="4">
        <f t="shared" ca="1" si="117"/>
        <v>96</v>
      </c>
      <c r="AC1061" t="str">
        <f t="shared" si="118"/>
        <v>Medium</v>
      </c>
    </row>
    <row r="1062" spans="1:29">
      <c r="A1062" t="s">
        <v>3956</v>
      </c>
      <c r="B1062" s="2">
        <v>45698</v>
      </c>
      <c r="C1062" t="s">
        <v>671</v>
      </c>
      <c r="D1062" t="s">
        <v>157</v>
      </c>
      <c r="E1062" t="s">
        <v>3957</v>
      </c>
      <c r="F1062" t="s">
        <v>3958</v>
      </c>
      <c r="G1062" t="s">
        <v>34</v>
      </c>
      <c r="H1062" t="s">
        <v>173</v>
      </c>
      <c r="I1062" t="s">
        <v>123</v>
      </c>
      <c r="J1062" t="s">
        <v>131</v>
      </c>
      <c r="K1062" t="s">
        <v>38</v>
      </c>
      <c r="L1062" t="s">
        <v>81</v>
      </c>
      <c r="M1062" t="s">
        <v>166</v>
      </c>
      <c r="N1062" t="s">
        <v>167</v>
      </c>
      <c r="O1062" s="3">
        <v>290000</v>
      </c>
      <c r="P1062" s="4">
        <v>60</v>
      </c>
      <c r="Q1062" s="2">
        <v>45759</v>
      </c>
      <c r="R1062" s="2">
        <v>46239</v>
      </c>
      <c r="S1062" s="2">
        <v>45715</v>
      </c>
      <c r="T1062" s="2"/>
      <c r="U1062" t="str">
        <f t="shared" si="112"/>
        <v>No</v>
      </c>
      <c r="W10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2" t="str">
        <f t="shared" ca="1" si="113"/>
        <v>Due/Open</v>
      </c>
      <c r="Y1062" t="str">
        <f t="shared" si="114"/>
        <v>Open</v>
      </c>
      <c r="Z1062" t="str">
        <f t="shared" si="115"/>
        <v>Feb-2025</v>
      </c>
      <c r="AA1062" t="str">
        <f t="shared" si="116"/>
        <v>Q1 2025</v>
      </c>
      <c r="AB1062" s="4">
        <f t="shared" ca="1" si="117"/>
        <v>501</v>
      </c>
      <c r="AC1062" t="str">
        <f t="shared" si="118"/>
        <v>Medium</v>
      </c>
    </row>
    <row r="1063" spans="1:29">
      <c r="A1063" t="s">
        <v>3959</v>
      </c>
      <c r="B1063" s="2">
        <v>46134</v>
      </c>
      <c r="C1063" t="s">
        <v>1330</v>
      </c>
      <c r="D1063" t="s">
        <v>710</v>
      </c>
      <c r="E1063" t="s">
        <v>3960</v>
      </c>
      <c r="F1063" t="s">
        <v>3961</v>
      </c>
      <c r="G1063" t="s">
        <v>34</v>
      </c>
      <c r="H1063" t="s">
        <v>35</v>
      </c>
      <c r="I1063" t="s">
        <v>187</v>
      </c>
      <c r="J1063" t="s">
        <v>50</v>
      </c>
      <c r="K1063" t="s">
        <v>114</v>
      </c>
      <c r="L1063" t="s">
        <v>115</v>
      </c>
      <c r="M1063" t="s">
        <v>40</v>
      </c>
      <c r="N1063" t="s">
        <v>41</v>
      </c>
      <c r="O1063" s="3">
        <v>125000</v>
      </c>
      <c r="P1063" s="4">
        <v>100</v>
      </c>
      <c r="Q1063" s="2">
        <v>46194</v>
      </c>
      <c r="R1063" s="2"/>
      <c r="S1063" s="2">
        <v>46137</v>
      </c>
      <c r="T1063" s="2">
        <v>46194</v>
      </c>
      <c r="U1063" t="str">
        <f t="shared" si="112"/>
        <v>Yes</v>
      </c>
      <c r="W10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063" t="str">
        <f t="shared" ca="1" si="113"/>
        <v>Closed</v>
      </c>
      <c r="Y1063" t="str">
        <f t="shared" si="114"/>
        <v>Closed</v>
      </c>
      <c r="Z1063" t="str">
        <f t="shared" si="115"/>
        <v>Apr-2026</v>
      </c>
      <c r="AA1063" t="str">
        <f t="shared" si="116"/>
        <v>Q2 2026</v>
      </c>
      <c r="AB1063" s="4">
        <f t="shared" ca="1" si="117"/>
        <v>65</v>
      </c>
      <c r="AC1063" t="str">
        <f t="shared" si="118"/>
        <v>Medium</v>
      </c>
    </row>
    <row r="1064" spans="1:29">
      <c r="A1064" t="s">
        <v>3962</v>
      </c>
      <c r="B1064" s="2">
        <v>45754</v>
      </c>
      <c r="C1064" t="s">
        <v>2939</v>
      </c>
      <c r="D1064" t="s">
        <v>1148</v>
      </c>
      <c r="E1064" t="s">
        <v>3963</v>
      </c>
      <c r="F1064" t="s">
        <v>3964</v>
      </c>
      <c r="G1064" t="s">
        <v>79</v>
      </c>
      <c r="H1064" t="s">
        <v>217</v>
      </c>
      <c r="I1064" t="s">
        <v>98</v>
      </c>
      <c r="J1064" t="s">
        <v>131</v>
      </c>
      <c r="K1064" t="s">
        <v>51</v>
      </c>
      <c r="L1064" t="s">
        <v>52</v>
      </c>
      <c r="M1064" t="s">
        <v>40</v>
      </c>
      <c r="N1064" t="s">
        <v>41</v>
      </c>
      <c r="O1064" s="3">
        <v>110000</v>
      </c>
      <c r="P1064" s="4">
        <v>100</v>
      </c>
      <c r="Q1064" s="2">
        <v>45810</v>
      </c>
      <c r="R1064" s="2"/>
      <c r="S1064" s="2">
        <v>45783</v>
      </c>
      <c r="T1064" s="2">
        <v>45810</v>
      </c>
      <c r="U1064" t="str">
        <f t="shared" si="112"/>
        <v>Yes</v>
      </c>
      <c r="W106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1064" t="str">
        <f t="shared" ca="1" si="113"/>
        <v>Closed</v>
      </c>
      <c r="Y1064" t="str">
        <f t="shared" si="114"/>
        <v>Closed</v>
      </c>
      <c r="Z1064" t="str">
        <f t="shared" si="115"/>
        <v>Apr-2025</v>
      </c>
      <c r="AA1064" t="str">
        <f t="shared" si="116"/>
        <v>Q2 2025</v>
      </c>
      <c r="AB1064" s="4">
        <f t="shared" ca="1" si="117"/>
        <v>445</v>
      </c>
      <c r="AC1064" t="str">
        <f t="shared" si="118"/>
        <v>Low</v>
      </c>
    </row>
    <row r="1065" spans="1:29">
      <c r="A1065" t="s">
        <v>3965</v>
      </c>
      <c r="B1065" s="2">
        <v>45741</v>
      </c>
      <c r="C1065" t="s">
        <v>507</v>
      </c>
      <c r="D1065" t="s">
        <v>384</v>
      </c>
      <c r="E1065" t="s">
        <v>3966</v>
      </c>
      <c r="F1065" t="s">
        <v>3967</v>
      </c>
      <c r="G1065" t="s">
        <v>34</v>
      </c>
      <c r="H1065" t="s">
        <v>446</v>
      </c>
      <c r="I1065" t="s">
        <v>98</v>
      </c>
      <c r="J1065" t="s">
        <v>99</v>
      </c>
      <c r="K1065" t="s">
        <v>38</v>
      </c>
      <c r="L1065" t="s">
        <v>132</v>
      </c>
      <c r="M1065" t="s">
        <v>73</v>
      </c>
      <c r="N1065" t="s">
        <v>73</v>
      </c>
      <c r="O1065" s="3">
        <v>435000</v>
      </c>
      <c r="P1065" s="4">
        <v>75</v>
      </c>
      <c r="Q1065" s="2">
        <v>45828</v>
      </c>
      <c r="R1065" s="2">
        <v>46209</v>
      </c>
      <c r="S1065" s="2">
        <v>45752</v>
      </c>
      <c r="T1065" s="2"/>
      <c r="U1065" t="str">
        <f t="shared" si="112"/>
        <v>No</v>
      </c>
      <c r="W10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5" t="str">
        <f t="shared" ca="1" si="113"/>
        <v>Due/Open</v>
      </c>
      <c r="Y1065" t="str">
        <f t="shared" si="114"/>
        <v>Open</v>
      </c>
      <c r="Z1065" t="str">
        <f t="shared" si="115"/>
        <v>Mar-2025</v>
      </c>
      <c r="AA1065" t="str">
        <f t="shared" si="116"/>
        <v>Q1 2025</v>
      </c>
      <c r="AB1065" s="4">
        <f t="shared" ca="1" si="117"/>
        <v>458</v>
      </c>
      <c r="AC1065" t="str">
        <f t="shared" si="118"/>
        <v>High</v>
      </c>
    </row>
    <row r="1066" spans="1:29">
      <c r="A1066" t="s">
        <v>3968</v>
      </c>
      <c r="B1066" s="2">
        <v>46082</v>
      </c>
      <c r="C1066" t="s">
        <v>3969</v>
      </c>
      <c r="D1066" t="s">
        <v>640</v>
      </c>
      <c r="E1066" t="s">
        <v>3970</v>
      </c>
      <c r="F1066" t="s">
        <v>3971</v>
      </c>
      <c r="G1066" t="s">
        <v>34</v>
      </c>
      <c r="H1066" t="s">
        <v>35</v>
      </c>
      <c r="I1066" t="s">
        <v>98</v>
      </c>
      <c r="J1066" t="s">
        <v>62</v>
      </c>
      <c r="K1066" t="s">
        <v>71</v>
      </c>
      <c r="L1066" t="s">
        <v>132</v>
      </c>
      <c r="M1066" t="s">
        <v>210</v>
      </c>
      <c r="N1066" t="s">
        <v>134</v>
      </c>
      <c r="O1066" s="3">
        <v>190000</v>
      </c>
      <c r="P1066" s="4">
        <v>0</v>
      </c>
      <c r="Q1066" s="2">
        <v>46157</v>
      </c>
      <c r="R1066" s="2"/>
      <c r="S1066" s="2">
        <v>46091</v>
      </c>
      <c r="T1066" s="2">
        <v>46157</v>
      </c>
      <c r="U1066" t="str">
        <f t="shared" si="112"/>
        <v>No</v>
      </c>
      <c r="V1066" t="s">
        <v>211</v>
      </c>
      <c r="W106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066" t="str">
        <f t="shared" ca="1" si="113"/>
        <v>Closed</v>
      </c>
      <c r="Y1066" t="str">
        <f t="shared" si="114"/>
        <v>Closed</v>
      </c>
      <c r="Z1066" t="str">
        <f t="shared" si="115"/>
        <v>Mar-2026</v>
      </c>
      <c r="AA1066" t="str">
        <f t="shared" si="116"/>
        <v>Q1 2026</v>
      </c>
      <c r="AB1066" s="4">
        <f t="shared" ca="1" si="117"/>
        <v>117</v>
      </c>
      <c r="AC1066" t="str">
        <f t="shared" si="118"/>
        <v>Medium</v>
      </c>
    </row>
    <row r="1067" spans="1:29">
      <c r="A1067" t="s">
        <v>3972</v>
      </c>
      <c r="B1067" s="2">
        <v>45713</v>
      </c>
      <c r="C1067" t="s">
        <v>1365</v>
      </c>
      <c r="D1067" t="s">
        <v>1148</v>
      </c>
      <c r="E1067" t="s">
        <v>3973</v>
      </c>
      <c r="F1067" t="s">
        <v>3974</v>
      </c>
      <c r="G1067" t="s">
        <v>179</v>
      </c>
      <c r="H1067" t="s">
        <v>180</v>
      </c>
      <c r="I1067" t="s">
        <v>98</v>
      </c>
      <c r="J1067" t="s">
        <v>62</v>
      </c>
      <c r="K1067" t="s">
        <v>100</v>
      </c>
      <c r="L1067" t="s">
        <v>142</v>
      </c>
      <c r="M1067" t="s">
        <v>116</v>
      </c>
      <c r="N1067" t="s">
        <v>54</v>
      </c>
      <c r="O1067" s="3">
        <v>405000</v>
      </c>
      <c r="P1067" s="4">
        <v>15</v>
      </c>
      <c r="Q1067" s="2">
        <v>45779</v>
      </c>
      <c r="R1067" s="2">
        <v>46237</v>
      </c>
      <c r="S1067" s="2">
        <v>45730</v>
      </c>
      <c r="T1067" s="2"/>
      <c r="U1067" t="str">
        <f t="shared" si="112"/>
        <v>No</v>
      </c>
      <c r="W10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7" t="str">
        <f t="shared" ca="1" si="113"/>
        <v>Due/Open</v>
      </c>
      <c r="Y1067" t="str">
        <f t="shared" si="114"/>
        <v>Open</v>
      </c>
      <c r="Z1067" t="str">
        <f t="shared" si="115"/>
        <v>Feb-2025</v>
      </c>
      <c r="AA1067" t="str">
        <f t="shared" si="116"/>
        <v>Q1 2025</v>
      </c>
      <c r="AB1067" s="4">
        <f t="shared" ca="1" si="117"/>
        <v>486</v>
      </c>
      <c r="AC1067" t="str">
        <f t="shared" si="118"/>
        <v>High</v>
      </c>
    </row>
    <row r="1068" spans="1:29">
      <c r="A1068" t="s">
        <v>3975</v>
      </c>
      <c r="B1068" s="2">
        <v>45968</v>
      </c>
      <c r="C1068" t="s">
        <v>1365</v>
      </c>
      <c r="D1068" t="s">
        <v>407</v>
      </c>
      <c r="E1068" t="s">
        <v>3976</v>
      </c>
      <c r="F1068" t="s">
        <v>3977</v>
      </c>
      <c r="G1068" t="s">
        <v>69</v>
      </c>
      <c r="H1068" t="s">
        <v>270</v>
      </c>
      <c r="I1068" t="s">
        <v>187</v>
      </c>
      <c r="J1068" t="s">
        <v>99</v>
      </c>
      <c r="K1068" t="s">
        <v>71</v>
      </c>
      <c r="L1068" t="s">
        <v>125</v>
      </c>
      <c r="M1068" t="s">
        <v>166</v>
      </c>
      <c r="N1068" t="s">
        <v>167</v>
      </c>
      <c r="O1068" s="3">
        <v>500000</v>
      </c>
      <c r="P1068" s="4">
        <v>60</v>
      </c>
      <c r="Q1068" s="2">
        <v>46032</v>
      </c>
      <c r="R1068" s="2">
        <v>46154</v>
      </c>
      <c r="S1068" s="2">
        <v>45992</v>
      </c>
      <c r="T1068" s="2"/>
      <c r="U1068" t="str">
        <f t="shared" si="112"/>
        <v>No</v>
      </c>
      <c r="W10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8" t="str">
        <f t="shared" ca="1" si="113"/>
        <v>Overdue</v>
      </c>
      <c r="Y1068" t="str">
        <f t="shared" si="114"/>
        <v>Open</v>
      </c>
      <c r="Z1068" t="str">
        <f t="shared" si="115"/>
        <v>Nov-2025</v>
      </c>
      <c r="AA1068" t="str">
        <f t="shared" si="116"/>
        <v>Q4 2025</v>
      </c>
      <c r="AB1068" s="4">
        <f t="shared" ca="1" si="117"/>
        <v>231</v>
      </c>
      <c r="AC1068" t="str">
        <f t="shared" si="118"/>
        <v>High</v>
      </c>
    </row>
    <row r="1069" spans="1:29">
      <c r="A1069" t="s">
        <v>3978</v>
      </c>
      <c r="B1069" s="2">
        <v>45985</v>
      </c>
      <c r="C1069" t="s">
        <v>3058</v>
      </c>
      <c r="D1069" t="s">
        <v>1052</v>
      </c>
      <c r="E1069" t="s">
        <v>3979</v>
      </c>
      <c r="F1069" t="s">
        <v>3980</v>
      </c>
      <c r="G1069" t="s">
        <v>69</v>
      </c>
      <c r="H1069" t="s">
        <v>270</v>
      </c>
      <c r="I1069" t="s">
        <v>36</v>
      </c>
      <c r="J1069" t="s">
        <v>37</v>
      </c>
      <c r="K1069" t="s">
        <v>71</v>
      </c>
      <c r="L1069" t="s">
        <v>132</v>
      </c>
      <c r="M1069" t="s">
        <v>90</v>
      </c>
      <c r="N1069" t="s">
        <v>91</v>
      </c>
      <c r="O1069" s="3">
        <v>110000</v>
      </c>
      <c r="P1069" s="4">
        <v>55</v>
      </c>
      <c r="Q1069" s="2">
        <v>46017</v>
      </c>
      <c r="R1069" s="2">
        <v>46154</v>
      </c>
      <c r="S1069" s="2">
        <v>45998</v>
      </c>
      <c r="T1069" s="2"/>
      <c r="U1069" t="str">
        <f t="shared" si="112"/>
        <v>No</v>
      </c>
      <c r="W10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69" t="str">
        <f t="shared" ca="1" si="113"/>
        <v>Overdue</v>
      </c>
      <c r="Y1069" t="str">
        <f t="shared" si="114"/>
        <v>Open</v>
      </c>
      <c r="Z1069" t="str">
        <f t="shared" si="115"/>
        <v>Nov-2025</v>
      </c>
      <c r="AA1069" t="str">
        <f t="shared" si="116"/>
        <v>Q4 2025</v>
      </c>
      <c r="AB1069" s="4">
        <f t="shared" ca="1" si="117"/>
        <v>214</v>
      </c>
      <c r="AC1069" t="str">
        <f t="shared" si="118"/>
        <v>Low</v>
      </c>
    </row>
    <row r="1070" spans="1:29">
      <c r="A1070" t="s">
        <v>3981</v>
      </c>
      <c r="B1070" s="2">
        <v>46150</v>
      </c>
      <c r="C1070" t="s">
        <v>2265</v>
      </c>
      <c r="D1070" t="s">
        <v>1021</v>
      </c>
      <c r="E1070" t="s">
        <v>3982</v>
      </c>
      <c r="F1070" t="s">
        <v>3983</v>
      </c>
      <c r="G1070" t="s">
        <v>179</v>
      </c>
      <c r="H1070" t="s">
        <v>180</v>
      </c>
      <c r="I1070" t="s">
        <v>36</v>
      </c>
      <c r="J1070" t="s">
        <v>62</v>
      </c>
      <c r="K1070" t="s">
        <v>114</v>
      </c>
      <c r="L1070" t="s">
        <v>39</v>
      </c>
      <c r="M1070" t="s">
        <v>73</v>
      </c>
      <c r="N1070" t="s">
        <v>73</v>
      </c>
      <c r="O1070" s="3">
        <v>260000</v>
      </c>
      <c r="P1070" s="4">
        <v>85</v>
      </c>
      <c r="Q1070" s="2">
        <v>46228</v>
      </c>
      <c r="R1070" s="2">
        <v>46193</v>
      </c>
      <c r="S1070" s="2">
        <v>46160</v>
      </c>
      <c r="T1070" s="2"/>
      <c r="U1070" t="str">
        <f t="shared" si="112"/>
        <v>No</v>
      </c>
      <c r="W10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0" t="str">
        <f t="shared" ca="1" si="113"/>
        <v>Overdue</v>
      </c>
      <c r="Y1070" t="str">
        <f t="shared" si="114"/>
        <v>Open</v>
      </c>
      <c r="Z1070" t="str">
        <f t="shared" si="115"/>
        <v>May-2026</v>
      </c>
      <c r="AA1070" t="str">
        <f t="shared" si="116"/>
        <v>Q2 2026</v>
      </c>
      <c r="AB1070" s="4">
        <f t="shared" ca="1" si="117"/>
        <v>49</v>
      </c>
      <c r="AC1070" t="str">
        <f t="shared" si="118"/>
        <v>Medium</v>
      </c>
    </row>
    <row r="1071" spans="1:29">
      <c r="A1071" t="s">
        <v>3984</v>
      </c>
      <c r="B1071" s="2">
        <v>45874</v>
      </c>
      <c r="C1071" t="s">
        <v>1747</v>
      </c>
      <c r="D1071" t="s">
        <v>926</v>
      </c>
      <c r="E1071" t="s">
        <v>3985</v>
      </c>
      <c r="F1071" t="s">
        <v>3986</v>
      </c>
      <c r="G1071" t="s">
        <v>34</v>
      </c>
      <c r="H1071" t="s">
        <v>60</v>
      </c>
      <c r="I1071" t="s">
        <v>49</v>
      </c>
      <c r="J1071" t="s">
        <v>62</v>
      </c>
      <c r="K1071" t="s">
        <v>114</v>
      </c>
      <c r="L1071" t="s">
        <v>107</v>
      </c>
      <c r="M1071" t="s">
        <v>116</v>
      </c>
      <c r="N1071" t="s">
        <v>54</v>
      </c>
      <c r="O1071" s="3">
        <v>390000</v>
      </c>
      <c r="P1071" s="4">
        <v>25</v>
      </c>
      <c r="Q1071" s="2">
        <v>45901</v>
      </c>
      <c r="R1071" s="2">
        <v>46238</v>
      </c>
      <c r="S1071" s="2">
        <v>45899</v>
      </c>
      <c r="T1071" s="2"/>
      <c r="U1071" t="str">
        <f t="shared" si="112"/>
        <v>No</v>
      </c>
      <c r="W10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1" t="str">
        <f t="shared" ca="1" si="113"/>
        <v>Due/Open</v>
      </c>
      <c r="Y1071" t="str">
        <f t="shared" si="114"/>
        <v>Open</v>
      </c>
      <c r="Z1071" t="str">
        <f t="shared" si="115"/>
        <v>Aug-2025</v>
      </c>
      <c r="AA1071" t="str">
        <f t="shared" si="116"/>
        <v>Q3 2025</v>
      </c>
      <c r="AB1071" s="4">
        <f t="shared" ca="1" si="117"/>
        <v>325</v>
      </c>
      <c r="AC1071" t="str">
        <f t="shared" si="118"/>
        <v>High</v>
      </c>
    </row>
    <row r="1072" spans="1:29">
      <c r="A1072" t="s">
        <v>3987</v>
      </c>
      <c r="B1072" s="2">
        <v>46128</v>
      </c>
      <c r="C1072" t="s">
        <v>3058</v>
      </c>
      <c r="D1072" t="s">
        <v>1404</v>
      </c>
      <c r="E1072" t="s">
        <v>3988</v>
      </c>
      <c r="F1072" t="s">
        <v>3989</v>
      </c>
      <c r="G1072" t="s">
        <v>69</v>
      </c>
      <c r="H1072" t="s">
        <v>70</v>
      </c>
      <c r="I1072" t="s">
        <v>148</v>
      </c>
      <c r="J1072" t="s">
        <v>37</v>
      </c>
      <c r="K1072" t="s">
        <v>100</v>
      </c>
      <c r="L1072" t="s">
        <v>52</v>
      </c>
      <c r="M1072" t="s">
        <v>82</v>
      </c>
      <c r="N1072" t="s">
        <v>83</v>
      </c>
      <c r="O1072" s="3">
        <v>105000</v>
      </c>
      <c r="P1072" s="4">
        <v>5</v>
      </c>
      <c r="Q1072" s="2">
        <v>46182</v>
      </c>
      <c r="R1072" s="2">
        <v>46238</v>
      </c>
      <c r="S1072" s="2">
        <v>46157</v>
      </c>
      <c r="T1072" s="2"/>
      <c r="U1072" t="str">
        <f t="shared" si="112"/>
        <v>No</v>
      </c>
      <c r="W10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2" t="str">
        <f t="shared" ca="1" si="113"/>
        <v>Due/Open</v>
      </c>
      <c r="Y1072" t="str">
        <f t="shared" si="114"/>
        <v>Open</v>
      </c>
      <c r="Z1072" t="str">
        <f t="shared" si="115"/>
        <v>Apr-2026</v>
      </c>
      <c r="AA1072" t="str">
        <f t="shared" si="116"/>
        <v>Q2 2026</v>
      </c>
      <c r="AB1072" s="4">
        <f t="shared" ca="1" si="117"/>
        <v>71</v>
      </c>
      <c r="AC1072" t="str">
        <f t="shared" si="118"/>
        <v>Low</v>
      </c>
    </row>
    <row r="1073" spans="1:29">
      <c r="A1073" t="s">
        <v>3990</v>
      </c>
      <c r="B1073" s="2">
        <v>45985</v>
      </c>
      <c r="C1073" t="s">
        <v>1432</v>
      </c>
      <c r="D1073" t="s">
        <v>640</v>
      </c>
      <c r="E1073" t="s">
        <v>3991</v>
      </c>
      <c r="F1073" t="s">
        <v>3992</v>
      </c>
      <c r="G1073" t="s">
        <v>79</v>
      </c>
      <c r="H1073" t="s">
        <v>97</v>
      </c>
      <c r="I1073" t="s">
        <v>141</v>
      </c>
      <c r="J1073" t="s">
        <v>50</v>
      </c>
      <c r="K1073" t="s">
        <v>114</v>
      </c>
      <c r="L1073" t="s">
        <v>52</v>
      </c>
      <c r="M1073" t="s">
        <v>116</v>
      </c>
      <c r="N1073" t="s">
        <v>54</v>
      </c>
      <c r="O1073" s="3">
        <v>345000</v>
      </c>
      <c r="P1073" s="4">
        <v>25</v>
      </c>
      <c r="Q1073" s="2">
        <v>46031</v>
      </c>
      <c r="R1073" s="2">
        <v>46234</v>
      </c>
      <c r="S1073" s="2">
        <v>46006</v>
      </c>
      <c r="T1073" s="2"/>
      <c r="U1073" t="str">
        <f t="shared" si="112"/>
        <v>No</v>
      </c>
      <c r="W10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3" t="str">
        <f t="shared" ca="1" si="113"/>
        <v>Due/Open</v>
      </c>
      <c r="Y1073" t="str">
        <f t="shared" si="114"/>
        <v>Open</v>
      </c>
      <c r="Z1073" t="str">
        <f t="shared" si="115"/>
        <v>Nov-2025</v>
      </c>
      <c r="AA1073" t="str">
        <f t="shared" si="116"/>
        <v>Q4 2025</v>
      </c>
      <c r="AB1073" s="4">
        <f t="shared" ca="1" si="117"/>
        <v>214</v>
      </c>
      <c r="AC1073" t="str">
        <f t="shared" si="118"/>
        <v>High</v>
      </c>
    </row>
    <row r="1074" spans="1:29">
      <c r="A1074" t="s">
        <v>3993</v>
      </c>
      <c r="B1074" s="2">
        <v>45758</v>
      </c>
      <c r="C1074" t="s">
        <v>1917</v>
      </c>
      <c r="D1074" t="s">
        <v>428</v>
      </c>
      <c r="E1074" t="s">
        <v>3994</v>
      </c>
      <c r="F1074" t="s">
        <v>3995</v>
      </c>
      <c r="G1074" t="s">
        <v>34</v>
      </c>
      <c r="H1074" t="s">
        <v>35</v>
      </c>
      <c r="I1074" t="s">
        <v>49</v>
      </c>
      <c r="J1074" t="s">
        <v>131</v>
      </c>
      <c r="K1074" t="s">
        <v>100</v>
      </c>
      <c r="L1074" t="s">
        <v>72</v>
      </c>
      <c r="M1074" t="s">
        <v>90</v>
      </c>
      <c r="N1074" t="s">
        <v>91</v>
      </c>
      <c r="O1074" s="3">
        <v>145000</v>
      </c>
      <c r="P1074" s="4">
        <v>55</v>
      </c>
      <c r="Q1074" s="2">
        <v>45792</v>
      </c>
      <c r="R1074" s="2">
        <v>46185</v>
      </c>
      <c r="S1074" s="2">
        <v>45783</v>
      </c>
      <c r="T1074" s="2"/>
      <c r="U1074" t="str">
        <f t="shared" si="112"/>
        <v>No</v>
      </c>
      <c r="W10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4" t="str">
        <f t="shared" ca="1" si="113"/>
        <v>Overdue</v>
      </c>
      <c r="Y1074" t="str">
        <f t="shared" si="114"/>
        <v>Open</v>
      </c>
      <c r="Z1074" t="str">
        <f t="shared" si="115"/>
        <v>Apr-2025</v>
      </c>
      <c r="AA1074" t="str">
        <f t="shared" si="116"/>
        <v>Q2 2025</v>
      </c>
      <c r="AB1074" s="4">
        <f t="shared" ca="1" si="117"/>
        <v>441</v>
      </c>
      <c r="AC1074" t="str">
        <f t="shared" si="118"/>
        <v>Medium</v>
      </c>
    </row>
    <row r="1075" spans="1:29">
      <c r="A1075" t="s">
        <v>3996</v>
      </c>
      <c r="B1075" s="2">
        <v>46165</v>
      </c>
      <c r="C1075" t="s">
        <v>1164</v>
      </c>
      <c r="D1075" t="s">
        <v>309</v>
      </c>
      <c r="E1075" t="s">
        <v>3997</v>
      </c>
      <c r="F1075" t="s">
        <v>3998</v>
      </c>
      <c r="G1075" t="s">
        <v>47</v>
      </c>
      <c r="H1075" t="s">
        <v>113</v>
      </c>
      <c r="I1075" t="s">
        <v>36</v>
      </c>
      <c r="J1075" t="s">
        <v>124</v>
      </c>
      <c r="K1075" t="s">
        <v>51</v>
      </c>
      <c r="L1075" t="s">
        <v>81</v>
      </c>
      <c r="M1075" t="s">
        <v>82</v>
      </c>
      <c r="N1075" t="s">
        <v>83</v>
      </c>
      <c r="O1075" s="3">
        <v>195000</v>
      </c>
      <c r="P1075" s="4">
        <v>5</v>
      </c>
      <c r="Q1075" s="2">
        <v>46212</v>
      </c>
      <c r="R1075" s="2">
        <v>46236</v>
      </c>
      <c r="S1075" s="2">
        <v>46181</v>
      </c>
      <c r="T1075" s="2"/>
      <c r="U1075" t="str">
        <f t="shared" si="112"/>
        <v>No</v>
      </c>
      <c r="W10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5" t="str">
        <f t="shared" ca="1" si="113"/>
        <v>Due/Open</v>
      </c>
      <c r="Y1075" t="str">
        <f t="shared" si="114"/>
        <v>Open</v>
      </c>
      <c r="Z1075" t="str">
        <f t="shared" si="115"/>
        <v>May-2026</v>
      </c>
      <c r="AA1075" t="str">
        <f t="shared" si="116"/>
        <v>Q2 2026</v>
      </c>
      <c r="AB1075" s="4">
        <f t="shared" ca="1" si="117"/>
        <v>34</v>
      </c>
      <c r="AC1075" t="str">
        <f t="shared" si="118"/>
        <v>Medium</v>
      </c>
    </row>
    <row r="1076" spans="1:29">
      <c r="A1076" t="s">
        <v>3999</v>
      </c>
      <c r="B1076" s="2">
        <v>46189</v>
      </c>
      <c r="C1076" t="s">
        <v>365</v>
      </c>
      <c r="D1076" t="s">
        <v>636</v>
      </c>
      <c r="E1076" t="s">
        <v>4000</v>
      </c>
      <c r="F1076" t="s">
        <v>4001</v>
      </c>
      <c r="G1076" t="s">
        <v>47</v>
      </c>
      <c r="H1076" t="s">
        <v>89</v>
      </c>
      <c r="I1076" t="s">
        <v>49</v>
      </c>
      <c r="J1076" t="s">
        <v>50</v>
      </c>
      <c r="K1076" t="s">
        <v>100</v>
      </c>
      <c r="L1076" t="s">
        <v>154</v>
      </c>
      <c r="M1076" t="s">
        <v>82</v>
      </c>
      <c r="N1076" t="s">
        <v>83</v>
      </c>
      <c r="O1076" s="3">
        <v>195000</v>
      </c>
      <c r="P1076" s="4">
        <v>10</v>
      </c>
      <c r="Q1076" s="2">
        <v>46213</v>
      </c>
      <c r="R1076" s="2">
        <v>46205</v>
      </c>
      <c r="S1076" s="2">
        <v>46196</v>
      </c>
      <c r="T1076" s="2"/>
      <c r="U1076" t="str">
        <f t="shared" si="112"/>
        <v>No</v>
      </c>
      <c r="W10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6" t="str">
        <f t="shared" ca="1" si="113"/>
        <v>Due/Open</v>
      </c>
      <c r="Y1076" t="str">
        <f t="shared" si="114"/>
        <v>Open</v>
      </c>
      <c r="Z1076" t="str">
        <f t="shared" si="115"/>
        <v>Jun-2026</v>
      </c>
      <c r="AA1076" t="str">
        <f t="shared" si="116"/>
        <v>Q2 2026</v>
      </c>
      <c r="AB1076" s="4">
        <f t="shared" ca="1" si="117"/>
        <v>10</v>
      </c>
      <c r="AC1076" t="str">
        <f t="shared" si="118"/>
        <v>Medium</v>
      </c>
    </row>
    <row r="1077" spans="1:29">
      <c r="A1077" t="s">
        <v>4002</v>
      </c>
      <c r="B1077" s="2">
        <v>45952</v>
      </c>
      <c r="C1077" t="s">
        <v>281</v>
      </c>
      <c r="D1077" t="s">
        <v>1815</v>
      </c>
      <c r="E1077" t="s">
        <v>4003</v>
      </c>
      <c r="F1077" t="s">
        <v>4004</v>
      </c>
      <c r="G1077" t="s">
        <v>34</v>
      </c>
      <c r="H1077" t="s">
        <v>35</v>
      </c>
      <c r="I1077" t="s">
        <v>61</v>
      </c>
      <c r="J1077" t="s">
        <v>124</v>
      </c>
      <c r="K1077" t="s">
        <v>38</v>
      </c>
      <c r="L1077" t="s">
        <v>142</v>
      </c>
      <c r="M1077" t="s">
        <v>133</v>
      </c>
      <c r="N1077" t="s">
        <v>134</v>
      </c>
      <c r="O1077" s="3">
        <v>300000</v>
      </c>
      <c r="P1077" s="4">
        <v>0</v>
      </c>
      <c r="Q1077" s="2">
        <v>46009</v>
      </c>
      <c r="R1077" s="2"/>
      <c r="S1077" s="2">
        <v>45976</v>
      </c>
      <c r="T1077" s="2">
        <v>46009</v>
      </c>
      <c r="U1077" t="str">
        <f t="shared" si="112"/>
        <v>No</v>
      </c>
      <c r="V1077" t="s">
        <v>1105</v>
      </c>
      <c r="W10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1077" t="str">
        <f t="shared" ca="1" si="113"/>
        <v>Closed</v>
      </c>
      <c r="Y1077" t="str">
        <f t="shared" si="114"/>
        <v>Closed</v>
      </c>
      <c r="Z1077" t="str">
        <f t="shared" si="115"/>
        <v>Oct-2025</v>
      </c>
      <c r="AA1077" t="str">
        <f t="shared" si="116"/>
        <v>Q4 2025</v>
      </c>
      <c r="AB1077" s="4">
        <f t="shared" ca="1" si="117"/>
        <v>247</v>
      </c>
      <c r="AC1077" t="str">
        <f t="shared" si="118"/>
        <v>High</v>
      </c>
    </row>
    <row r="1078" spans="1:29">
      <c r="A1078" t="s">
        <v>4005</v>
      </c>
      <c r="B1078" s="2">
        <v>46179</v>
      </c>
      <c r="C1078" t="s">
        <v>2052</v>
      </c>
      <c r="D1078" t="s">
        <v>909</v>
      </c>
      <c r="E1078" t="s">
        <v>4006</v>
      </c>
      <c r="F1078" t="s">
        <v>4007</v>
      </c>
      <c r="G1078" t="s">
        <v>69</v>
      </c>
      <c r="H1078" t="s">
        <v>70</v>
      </c>
      <c r="I1078" t="s">
        <v>141</v>
      </c>
      <c r="J1078" t="s">
        <v>62</v>
      </c>
      <c r="K1078" t="s">
        <v>71</v>
      </c>
      <c r="L1078" t="s">
        <v>154</v>
      </c>
      <c r="M1078" t="s">
        <v>73</v>
      </c>
      <c r="N1078" t="s">
        <v>73</v>
      </c>
      <c r="O1078" s="3">
        <v>335000</v>
      </c>
      <c r="P1078" s="4">
        <v>85</v>
      </c>
      <c r="Q1078" s="2">
        <v>46205</v>
      </c>
      <c r="R1078" s="2">
        <v>46197</v>
      </c>
      <c r="S1078" s="2">
        <v>46197</v>
      </c>
      <c r="T1078" s="2"/>
      <c r="U1078" t="str">
        <f t="shared" si="112"/>
        <v>No</v>
      </c>
      <c r="W10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78" t="str">
        <f t="shared" ca="1" si="113"/>
        <v>Overdue</v>
      </c>
      <c r="Y1078" t="str">
        <f t="shared" si="114"/>
        <v>Open</v>
      </c>
      <c r="Z1078" t="str">
        <f t="shared" si="115"/>
        <v>Jun-2026</v>
      </c>
      <c r="AA1078" t="str">
        <f t="shared" si="116"/>
        <v>Q2 2026</v>
      </c>
      <c r="AB1078" s="4">
        <f t="shared" ca="1" si="117"/>
        <v>20</v>
      </c>
      <c r="AC1078" t="str">
        <f t="shared" si="118"/>
        <v>High</v>
      </c>
    </row>
    <row r="1079" spans="1:29">
      <c r="A1079" t="s">
        <v>4008</v>
      </c>
      <c r="B1079" s="2">
        <v>45687</v>
      </c>
      <c r="C1079" t="s">
        <v>2682</v>
      </c>
      <c r="D1079" t="s">
        <v>1093</v>
      </c>
      <c r="E1079" t="s">
        <v>4009</v>
      </c>
      <c r="F1079" t="s">
        <v>4010</v>
      </c>
      <c r="G1079" t="s">
        <v>79</v>
      </c>
      <c r="H1079" t="s">
        <v>228</v>
      </c>
      <c r="I1079" t="s">
        <v>123</v>
      </c>
      <c r="J1079" t="s">
        <v>37</v>
      </c>
      <c r="K1079" t="s">
        <v>71</v>
      </c>
      <c r="L1079" t="s">
        <v>39</v>
      </c>
      <c r="M1079" t="s">
        <v>40</v>
      </c>
      <c r="N1079" t="s">
        <v>41</v>
      </c>
      <c r="O1079" s="3">
        <v>90000</v>
      </c>
      <c r="P1079" s="4">
        <v>100</v>
      </c>
      <c r="Q1079" s="2">
        <v>45770</v>
      </c>
      <c r="R1079" s="2"/>
      <c r="S1079" s="2">
        <v>45717</v>
      </c>
      <c r="T1079" s="2">
        <v>45770</v>
      </c>
      <c r="U1079" t="str">
        <f t="shared" si="112"/>
        <v>Yes</v>
      </c>
      <c r="W10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1079" t="str">
        <f t="shared" ca="1" si="113"/>
        <v>Closed</v>
      </c>
      <c r="Y1079" t="str">
        <f t="shared" si="114"/>
        <v>Closed</v>
      </c>
      <c r="Z1079" t="str">
        <f t="shared" si="115"/>
        <v>Jan-2025</v>
      </c>
      <c r="AA1079" t="str">
        <f t="shared" si="116"/>
        <v>Q1 2025</v>
      </c>
      <c r="AB1079" s="4">
        <f t="shared" ca="1" si="117"/>
        <v>512</v>
      </c>
      <c r="AC1079" t="str">
        <f t="shared" si="118"/>
        <v>Low</v>
      </c>
    </row>
    <row r="1080" spans="1:29">
      <c r="A1080" t="s">
        <v>4011</v>
      </c>
      <c r="B1080" s="2">
        <v>45987</v>
      </c>
      <c r="C1080" t="s">
        <v>475</v>
      </c>
      <c r="D1080" t="s">
        <v>247</v>
      </c>
      <c r="E1080" t="s">
        <v>4012</v>
      </c>
      <c r="F1080" t="s">
        <v>4013</v>
      </c>
      <c r="G1080" t="s">
        <v>69</v>
      </c>
      <c r="H1080" t="s">
        <v>70</v>
      </c>
      <c r="I1080" t="s">
        <v>148</v>
      </c>
      <c r="J1080" t="s">
        <v>62</v>
      </c>
      <c r="K1080" t="s">
        <v>114</v>
      </c>
      <c r="L1080" t="s">
        <v>115</v>
      </c>
      <c r="M1080" t="s">
        <v>82</v>
      </c>
      <c r="N1080" t="s">
        <v>83</v>
      </c>
      <c r="O1080" s="3">
        <v>425000</v>
      </c>
      <c r="P1080" s="4">
        <v>10</v>
      </c>
      <c r="Q1080" s="2">
        <v>46060</v>
      </c>
      <c r="R1080" s="2">
        <v>46218</v>
      </c>
      <c r="S1080" s="2">
        <v>45999</v>
      </c>
      <c r="T1080" s="2"/>
      <c r="U1080" t="str">
        <f t="shared" si="112"/>
        <v>No</v>
      </c>
      <c r="W10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0" t="str">
        <f t="shared" ca="1" si="113"/>
        <v>Due/Open</v>
      </c>
      <c r="Y1080" t="str">
        <f t="shared" si="114"/>
        <v>Open</v>
      </c>
      <c r="Z1080" t="str">
        <f t="shared" si="115"/>
        <v>Nov-2025</v>
      </c>
      <c r="AA1080" t="str">
        <f t="shared" si="116"/>
        <v>Q4 2025</v>
      </c>
      <c r="AB1080" s="4">
        <f t="shared" ca="1" si="117"/>
        <v>212</v>
      </c>
      <c r="AC1080" t="str">
        <f t="shared" si="118"/>
        <v>High</v>
      </c>
    </row>
    <row r="1081" spans="1:29">
      <c r="A1081" t="s">
        <v>4014</v>
      </c>
      <c r="B1081" s="2">
        <v>45782</v>
      </c>
      <c r="C1081" t="s">
        <v>1016</v>
      </c>
      <c r="D1081" t="s">
        <v>337</v>
      </c>
      <c r="E1081" t="s">
        <v>4015</v>
      </c>
      <c r="F1081" t="s">
        <v>4016</v>
      </c>
      <c r="G1081" t="s">
        <v>79</v>
      </c>
      <c r="H1081" t="s">
        <v>217</v>
      </c>
      <c r="I1081" t="s">
        <v>123</v>
      </c>
      <c r="J1081" t="s">
        <v>124</v>
      </c>
      <c r="K1081" t="s">
        <v>71</v>
      </c>
      <c r="L1081" t="s">
        <v>125</v>
      </c>
      <c r="M1081" t="s">
        <v>133</v>
      </c>
      <c r="N1081" t="s">
        <v>134</v>
      </c>
      <c r="O1081" s="3">
        <v>280000</v>
      </c>
      <c r="P1081" s="4">
        <v>0</v>
      </c>
      <c r="Q1081" s="2">
        <v>45815</v>
      </c>
      <c r="R1081" s="2"/>
      <c r="S1081" s="2">
        <v>45785</v>
      </c>
      <c r="T1081" s="2">
        <v>45815</v>
      </c>
      <c r="U1081" t="str">
        <f t="shared" si="112"/>
        <v>No</v>
      </c>
      <c r="V1081" t="s">
        <v>319</v>
      </c>
      <c r="W10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33</v>
      </c>
      <c r="X1081" t="str">
        <f t="shared" ca="1" si="113"/>
        <v>Closed</v>
      </c>
      <c r="Y1081" t="str">
        <f t="shared" si="114"/>
        <v>Closed</v>
      </c>
      <c r="Z1081" t="str">
        <f t="shared" si="115"/>
        <v>May-2025</v>
      </c>
      <c r="AA1081" t="str">
        <f t="shared" si="116"/>
        <v>Q2 2025</v>
      </c>
      <c r="AB1081" s="4">
        <f t="shared" ca="1" si="117"/>
        <v>417</v>
      </c>
      <c r="AC1081" t="str">
        <f t="shared" si="118"/>
        <v>Medium</v>
      </c>
    </row>
    <row r="1082" spans="1:29">
      <c r="A1082" t="s">
        <v>4017</v>
      </c>
      <c r="B1082" s="2">
        <v>46094</v>
      </c>
      <c r="C1082" t="s">
        <v>942</v>
      </c>
      <c r="D1082" t="s">
        <v>247</v>
      </c>
      <c r="E1082" t="s">
        <v>4018</v>
      </c>
      <c r="F1082" t="s">
        <v>4019</v>
      </c>
      <c r="G1082" t="s">
        <v>69</v>
      </c>
      <c r="H1082" t="s">
        <v>193</v>
      </c>
      <c r="I1082" t="s">
        <v>36</v>
      </c>
      <c r="J1082" t="s">
        <v>99</v>
      </c>
      <c r="K1082" t="s">
        <v>51</v>
      </c>
      <c r="L1082" t="s">
        <v>239</v>
      </c>
      <c r="M1082" t="s">
        <v>133</v>
      </c>
      <c r="N1082" t="s">
        <v>134</v>
      </c>
      <c r="O1082" s="3">
        <v>635000</v>
      </c>
      <c r="P1082" s="4">
        <v>0</v>
      </c>
      <c r="Q1082" s="2">
        <v>46141</v>
      </c>
      <c r="R1082" s="2"/>
      <c r="S1082" s="2">
        <v>46105</v>
      </c>
      <c r="T1082" s="2">
        <v>46141</v>
      </c>
      <c r="U1082" t="str">
        <f t="shared" si="112"/>
        <v>No</v>
      </c>
      <c r="V1082" t="s">
        <v>1105</v>
      </c>
      <c r="W108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1082" t="str">
        <f t="shared" ca="1" si="113"/>
        <v>Closed</v>
      </c>
      <c r="Y1082" t="str">
        <f t="shared" si="114"/>
        <v>Closed</v>
      </c>
      <c r="Z1082" t="str">
        <f t="shared" si="115"/>
        <v>Mar-2026</v>
      </c>
      <c r="AA1082" t="str">
        <f t="shared" si="116"/>
        <v>Q1 2026</v>
      </c>
      <c r="AB1082" s="4">
        <f t="shared" ca="1" si="117"/>
        <v>105</v>
      </c>
      <c r="AC1082" t="str">
        <f t="shared" si="118"/>
        <v>High</v>
      </c>
    </row>
    <row r="1083" spans="1:29">
      <c r="A1083" t="s">
        <v>4020</v>
      </c>
      <c r="B1083" s="2">
        <v>45964</v>
      </c>
      <c r="C1083" t="s">
        <v>1174</v>
      </c>
      <c r="D1083" t="s">
        <v>697</v>
      </c>
      <c r="E1083" t="s">
        <v>4021</v>
      </c>
      <c r="F1083" t="s">
        <v>4022</v>
      </c>
      <c r="G1083" t="s">
        <v>34</v>
      </c>
      <c r="H1083" t="s">
        <v>238</v>
      </c>
      <c r="I1083" t="s">
        <v>187</v>
      </c>
      <c r="J1083" t="s">
        <v>131</v>
      </c>
      <c r="K1083" t="s">
        <v>194</v>
      </c>
      <c r="L1083" t="s">
        <v>81</v>
      </c>
      <c r="M1083" t="s">
        <v>116</v>
      </c>
      <c r="N1083" t="s">
        <v>54</v>
      </c>
      <c r="O1083" s="3">
        <v>190000</v>
      </c>
      <c r="P1083" s="4">
        <v>15</v>
      </c>
      <c r="Q1083" s="2">
        <v>46049</v>
      </c>
      <c r="R1083" s="2">
        <v>46210</v>
      </c>
      <c r="S1083" s="2">
        <v>45988</v>
      </c>
      <c r="T1083" s="2"/>
      <c r="U1083" t="str">
        <f t="shared" si="112"/>
        <v>No</v>
      </c>
      <c r="W10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3" t="str">
        <f t="shared" ca="1" si="113"/>
        <v>Due/Open</v>
      </c>
      <c r="Y1083" t="str">
        <f t="shared" si="114"/>
        <v>Open</v>
      </c>
      <c r="Z1083" t="str">
        <f t="shared" si="115"/>
        <v>Nov-2025</v>
      </c>
      <c r="AA1083" t="str">
        <f t="shared" si="116"/>
        <v>Q4 2025</v>
      </c>
      <c r="AB1083" s="4">
        <f t="shared" ca="1" si="117"/>
        <v>235</v>
      </c>
      <c r="AC1083" t="str">
        <f t="shared" si="118"/>
        <v>Medium</v>
      </c>
    </row>
    <row r="1084" spans="1:29">
      <c r="A1084" t="s">
        <v>4023</v>
      </c>
      <c r="B1084" s="2">
        <v>46193</v>
      </c>
      <c r="C1084" t="s">
        <v>1825</v>
      </c>
      <c r="D1084" t="s">
        <v>586</v>
      </c>
      <c r="E1084" t="s">
        <v>4024</v>
      </c>
      <c r="F1084" t="s">
        <v>4025</v>
      </c>
      <c r="G1084" t="s">
        <v>34</v>
      </c>
      <c r="H1084" t="s">
        <v>35</v>
      </c>
      <c r="I1084" t="s">
        <v>141</v>
      </c>
      <c r="J1084" t="s">
        <v>62</v>
      </c>
      <c r="K1084" t="s">
        <v>51</v>
      </c>
      <c r="L1084" t="s">
        <v>81</v>
      </c>
      <c r="M1084" t="s">
        <v>82</v>
      </c>
      <c r="N1084" t="s">
        <v>83</v>
      </c>
      <c r="O1084" s="3">
        <v>155000</v>
      </c>
      <c r="P1084" s="4">
        <v>10</v>
      </c>
      <c r="Q1084" s="2">
        <v>46261</v>
      </c>
      <c r="R1084" s="2">
        <v>46233</v>
      </c>
      <c r="S1084" s="2">
        <v>46197</v>
      </c>
      <c r="T1084" s="2"/>
      <c r="U1084" t="str">
        <f t="shared" si="112"/>
        <v>No</v>
      </c>
      <c r="W10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4" t="str">
        <f t="shared" ca="1" si="113"/>
        <v>Due/Open</v>
      </c>
      <c r="Y1084" t="str">
        <f t="shared" si="114"/>
        <v>Open</v>
      </c>
      <c r="Z1084" t="str">
        <f t="shared" si="115"/>
        <v>Jun-2026</v>
      </c>
      <c r="AA1084" t="str">
        <f t="shared" si="116"/>
        <v>Q2 2026</v>
      </c>
      <c r="AB1084" s="4">
        <f t="shared" ca="1" si="117"/>
        <v>6</v>
      </c>
      <c r="AC1084" t="str">
        <f t="shared" si="118"/>
        <v>Medium</v>
      </c>
    </row>
    <row r="1085" spans="1:29">
      <c r="A1085" t="s">
        <v>4026</v>
      </c>
      <c r="B1085" s="2">
        <v>45924</v>
      </c>
      <c r="C1085" t="s">
        <v>1085</v>
      </c>
      <c r="D1085" t="s">
        <v>273</v>
      </c>
      <c r="E1085" t="s">
        <v>4027</v>
      </c>
      <c r="F1085" t="s">
        <v>4028</v>
      </c>
      <c r="G1085" t="s">
        <v>69</v>
      </c>
      <c r="H1085" t="s">
        <v>285</v>
      </c>
      <c r="I1085" t="s">
        <v>36</v>
      </c>
      <c r="J1085" t="s">
        <v>50</v>
      </c>
      <c r="K1085" t="s">
        <v>51</v>
      </c>
      <c r="L1085" t="s">
        <v>142</v>
      </c>
      <c r="M1085" t="s">
        <v>40</v>
      </c>
      <c r="N1085" t="s">
        <v>41</v>
      </c>
      <c r="O1085" s="3">
        <v>300000</v>
      </c>
      <c r="P1085" s="4">
        <v>100</v>
      </c>
      <c r="Q1085" s="2">
        <v>45966</v>
      </c>
      <c r="R1085" s="2"/>
      <c r="S1085" s="2">
        <v>45946</v>
      </c>
      <c r="T1085" s="2">
        <v>45966</v>
      </c>
      <c r="U1085" t="str">
        <f t="shared" si="112"/>
        <v>Yes</v>
      </c>
      <c r="W108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1085" t="str">
        <f t="shared" ca="1" si="113"/>
        <v>Closed</v>
      </c>
      <c r="Y1085" t="str">
        <f t="shared" si="114"/>
        <v>Closed</v>
      </c>
      <c r="Z1085" t="str">
        <f t="shared" si="115"/>
        <v>Sep-2025</v>
      </c>
      <c r="AA1085" t="str">
        <f t="shared" si="116"/>
        <v>Q3 2025</v>
      </c>
      <c r="AB1085" s="4">
        <f t="shared" ca="1" si="117"/>
        <v>275</v>
      </c>
      <c r="AC1085" t="str">
        <f t="shared" si="118"/>
        <v>High</v>
      </c>
    </row>
    <row r="1086" spans="1:29">
      <c r="A1086" t="s">
        <v>4029</v>
      </c>
      <c r="B1086" s="2">
        <v>45825</v>
      </c>
      <c r="C1086" t="s">
        <v>43</v>
      </c>
      <c r="D1086" t="s">
        <v>1717</v>
      </c>
      <c r="E1086" t="s">
        <v>4030</v>
      </c>
      <c r="F1086" t="s">
        <v>4031</v>
      </c>
      <c r="G1086" t="s">
        <v>34</v>
      </c>
      <c r="H1086" t="s">
        <v>173</v>
      </c>
      <c r="I1086" t="s">
        <v>141</v>
      </c>
      <c r="J1086" t="s">
        <v>50</v>
      </c>
      <c r="K1086" t="s">
        <v>114</v>
      </c>
      <c r="L1086" t="s">
        <v>239</v>
      </c>
      <c r="M1086" t="s">
        <v>53</v>
      </c>
      <c r="N1086" t="s">
        <v>54</v>
      </c>
      <c r="O1086" s="3">
        <v>395000</v>
      </c>
      <c r="P1086" s="4">
        <v>30</v>
      </c>
      <c r="Q1086" s="2">
        <v>45875</v>
      </c>
      <c r="R1086" s="2">
        <v>46169</v>
      </c>
      <c r="S1086" s="2">
        <v>45854</v>
      </c>
      <c r="T1086" s="2"/>
      <c r="U1086" t="str">
        <f t="shared" si="112"/>
        <v>No</v>
      </c>
      <c r="W10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6" t="str">
        <f t="shared" ca="1" si="113"/>
        <v>Overdue</v>
      </c>
      <c r="Y1086" t="str">
        <f t="shared" si="114"/>
        <v>Open</v>
      </c>
      <c r="Z1086" t="str">
        <f t="shared" si="115"/>
        <v>Jun-2025</v>
      </c>
      <c r="AA1086" t="str">
        <f t="shared" si="116"/>
        <v>Q2 2025</v>
      </c>
      <c r="AB1086" s="4">
        <f t="shared" ca="1" si="117"/>
        <v>374</v>
      </c>
      <c r="AC1086" t="str">
        <f t="shared" si="118"/>
        <v>High</v>
      </c>
    </row>
    <row r="1087" spans="1:29">
      <c r="A1087" t="s">
        <v>4032</v>
      </c>
      <c r="B1087" s="2">
        <v>46124</v>
      </c>
      <c r="C1087" t="s">
        <v>4033</v>
      </c>
      <c r="D1087" t="s">
        <v>636</v>
      </c>
      <c r="E1087" t="s">
        <v>4034</v>
      </c>
      <c r="F1087" t="s">
        <v>4035</v>
      </c>
      <c r="G1087" t="s">
        <v>79</v>
      </c>
      <c r="H1087" t="s">
        <v>97</v>
      </c>
      <c r="I1087" t="s">
        <v>148</v>
      </c>
      <c r="J1087" t="s">
        <v>131</v>
      </c>
      <c r="K1087" t="s">
        <v>38</v>
      </c>
      <c r="L1087" t="s">
        <v>72</v>
      </c>
      <c r="M1087" t="s">
        <v>166</v>
      </c>
      <c r="N1087" t="s">
        <v>167</v>
      </c>
      <c r="O1087" s="3">
        <v>170000</v>
      </c>
      <c r="P1087" s="4">
        <v>65</v>
      </c>
      <c r="Q1087" s="2">
        <v>46175</v>
      </c>
      <c r="R1087" s="2">
        <v>46217</v>
      </c>
      <c r="S1087" s="2">
        <v>46138</v>
      </c>
      <c r="T1087" s="2"/>
      <c r="U1087" t="str">
        <f t="shared" si="112"/>
        <v>No</v>
      </c>
      <c r="W10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7" t="str">
        <f t="shared" ca="1" si="113"/>
        <v>Due/Open</v>
      </c>
      <c r="Y1087" t="str">
        <f t="shared" si="114"/>
        <v>Open</v>
      </c>
      <c r="Z1087" t="str">
        <f t="shared" si="115"/>
        <v>Apr-2026</v>
      </c>
      <c r="AA1087" t="str">
        <f t="shared" si="116"/>
        <v>Q2 2026</v>
      </c>
      <c r="AB1087" s="4">
        <f t="shared" ca="1" si="117"/>
        <v>75</v>
      </c>
      <c r="AC1087" t="str">
        <f t="shared" si="118"/>
        <v>Medium</v>
      </c>
    </row>
    <row r="1088" spans="1:29">
      <c r="A1088" t="s">
        <v>4036</v>
      </c>
      <c r="B1088" s="2">
        <v>45962</v>
      </c>
      <c r="C1088" t="s">
        <v>336</v>
      </c>
      <c r="D1088" t="s">
        <v>347</v>
      </c>
      <c r="E1088" t="s">
        <v>4037</v>
      </c>
      <c r="F1088" t="s">
        <v>4038</v>
      </c>
      <c r="G1088" t="s">
        <v>47</v>
      </c>
      <c r="H1088" t="s">
        <v>418</v>
      </c>
      <c r="I1088" t="s">
        <v>187</v>
      </c>
      <c r="J1088" t="s">
        <v>124</v>
      </c>
      <c r="K1088" t="s">
        <v>114</v>
      </c>
      <c r="L1088" t="s">
        <v>115</v>
      </c>
      <c r="M1088" t="s">
        <v>53</v>
      </c>
      <c r="N1088" t="s">
        <v>54</v>
      </c>
      <c r="O1088" s="3">
        <v>275000</v>
      </c>
      <c r="P1088" s="4">
        <v>30</v>
      </c>
      <c r="Q1088" s="2">
        <v>46018</v>
      </c>
      <c r="R1088" s="2">
        <v>46196</v>
      </c>
      <c r="S1088" s="2">
        <v>45971</v>
      </c>
      <c r="T1088" s="2"/>
      <c r="U1088" t="str">
        <f t="shared" si="112"/>
        <v>No</v>
      </c>
      <c r="W10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8" t="str">
        <f t="shared" ca="1" si="113"/>
        <v>Overdue</v>
      </c>
      <c r="Y1088" t="str">
        <f t="shared" si="114"/>
        <v>Open</v>
      </c>
      <c r="Z1088" t="str">
        <f t="shared" si="115"/>
        <v>Nov-2025</v>
      </c>
      <c r="AA1088" t="str">
        <f t="shared" si="116"/>
        <v>Q4 2025</v>
      </c>
      <c r="AB1088" s="4">
        <f t="shared" ca="1" si="117"/>
        <v>237</v>
      </c>
      <c r="AC1088" t="str">
        <f t="shared" si="118"/>
        <v>Medium</v>
      </c>
    </row>
    <row r="1089" spans="1:29">
      <c r="A1089" t="s">
        <v>4039</v>
      </c>
      <c r="B1089" s="2">
        <v>45681</v>
      </c>
      <c r="C1089" t="s">
        <v>1806</v>
      </c>
      <c r="D1089" t="s">
        <v>119</v>
      </c>
      <c r="E1089" t="s">
        <v>4040</v>
      </c>
      <c r="F1089" t="s">
        <v>4041</v>
      </c>
      <c r="G1089" t="s">
        <v>69</v>
      </c>
      <c r="H1089" t="s">
        <v>200</v>
      </c>
      <c r="I1089" t="s">
        <v>187</v>
      </c>
      <c r="J1089" t="s">
        <v>131</v>
      </c>
      <c r="K1089" t="s">
        <v>71</v>
      </c>
      <c r="L1089" t="s">
        <v>142</v>
      </c>
      <c r="M1089" t="s">
        <v>82</v>
      </c>
      <c r="N1089" t="s">
        <v>83</v>
      </c>
      <c r="O1089" s="3">
        <v>280000</v>
      </c>
      <c r="P1089" s="4">
        <v>10</v>
      </c>
      <c r="Q1089" s="2">
        <v>45738</v>
      </c>
      <c r="R1089" s="2">
        <v>46233</v>
      </c>
      <c r="S1089" s="2">
        <v>45711</v>
      </c>
      <c r="T1089" s="2"/>
      <c r="U1089" t="str">
        <f t="shared" si="112"/>
        <v>No</v>
      </c>
      <c r="W10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89" t="str">
        <f t="shared" ca="1" si="113"/>
        <v>Due/Open</v>
      </c>
      <c r="Y1089" t="str">
        <f t="shared" si="114"/>
        <v>Open</v>
      </c>
      <c r="Z1089" t="str">
        <f t="shared" si="115"/>
        <v>Jan-2025</v>
      </c>
      <c r="AA1089" t="str">
        <f t="shared" si="116"/>
        <v>Q1 2025</v>
      </c>
      <c r="AB1089" s="4">
        <f t="shared" ca="1" si="117"/>
        <v>518</v>
      </c>
      <c r="AC1089" t="str">
        <f t="shared" si="118"/>
        <v>Medium</v>
      </c>
    </row>
    <row r="1090" spans="1:29">
      <c r="A1090" t="s">
        <v>4042</v>
      </c>
      <c r="B1090" s="2">
        <v>45714</v>
      </c>
      <c r="C1090" t="s">
        <v>162</v>
      </c>
      <c r="D1090" t="s">
        <v>1021</v>
      </c>
      <c r="E1090" t="s">
        <v>4043</v>
      </c>
      <c r="F1090" t="s">
        <v>4044</v>
      </c>
      <c r="G1090" t="s">
        <v>69</v>
      </c>
      <c r="H1090" t="s">
        <v>70</v>
      </c>
      <c r="I1090" t="s">
        <v>148</v>
      </c>
      <c r="J1090" t="s">
        <v>131</v>
      </c>
      <c r="K1090" t="s">
        <v>38</v>
      </c>
      <c r="L1090" t="s">
        <v>154</v>
      </c>
      <c r="M1090" t="s">
        <v>53</v>
      </c>
      <c r="N1090" t="s">
        <v>54</v>
      </c>
      <c r="O1090" s="3">
        <v>260000</v>
      </c>
      <c r="P1090" s="4">
        <v>35</v>
      </c>
      <c r="Q1090" s="2">
        <v>45762</v>
      </c>
      <c r="R1090" s="2">
        <v>46195</v>
      </c>
      <c r="S1090" s="2">
        <v>45743</v>
      </c>
      <c r="T1090" s="2"/>
      <c r="U1090" t="str">
        <f t="shared" ref="U1090:U1153" si="119">IF(M1090="Converted","Yes","No")</f>
        <v>No</v>
      </c>
      <c r="W10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0" t="str">
        <f t="shared" ref="X1090:X1153" ca="1" si="120">IF(OR(M1090="Converted",M1090="Lost",M1090="Not Interested"),"Closed",IF(R1090&lt;TODAY(),"Overdue","Due/Open"))</f>
        <v>Overdue</v>
      </c>
      <c r="Y1090" t="str">
        <f t="shared" ref="Y1090:Y1153" si="121">IF(OR(M1090="Converted",M1090="Lost",M1090="Not Interested"),"Closed","Open")</f>
        <v>Open</v>
      </c>
      <c r="Z1090" t="str">
        <f t="shared" ref="Z1090:Z1153" si="122">TEXT(B1090,"mmm-yyyy")</f>
        <v>Feb-2025</v>
      </c>
      <c r="AA1090" t="str">
        <f t="shared" ref="AA1090:AA1153" si="123">"Q"&amp;ROUNDUP(MONTH(B1090)/3,0)&amp;" "&amp;YEAR(B1090)</f>
        <v>Q1 2025</v>
      </c>
      <c r="AB1090" s="4">
        <f t="shared" ref="AB1090:AB1153" ca="1" si="124">TODAY()-B1090</f>
        <v>485</v>
      </c>
      <c r="AC1090" t="str">
        <f t="shared" ref="AC1090:AC1153" si="125">IF(O1090&gt;=300000,"High",IF(O1090&gt;=120000,"Medium","Low"))</f>
        <v>Medium</v>
      </c>
    </row>
    <row r="1091" spans="1:29">
      <c r="A1091" t="s">
        <v>4045</v>
      </c>
      <c r="B1091" s="2">
        <v>45988</v>
      </c>
      <c r="C1091" t="s">
        <v>1490</v>
      </c>
      <c r="D1091" t="s">
        <v>1416</v>
      </c>
      <c r="E1091" t="s">
        <v>4046</v>
      </c>
      <c r="F1091" t="s">
        <v>4047</v>
      </c>
      <c r="G1091" t="s">
        <v>179</v>
      </c>
      <c r="H1091" t="s">
        <v>318</v>
      </c>
      <c r="I1091" t="s">
        <v>61</v>
      </c>
      <c r="J1091" t="s">
        <v>50</v>
      </c>
      <c r="K1091" t="s">
        <v>100</v>
      </c>
      <c r="L1091" t="s">
        <v>154</v>
      </c>
      <c r="M1091" t="s">
        <v>116</v>
      </c>
      <c r="N1091" t="s">
        <v>54</v>
      </c>
      <c r="O1091" s="3">
        <v>470000</v>
      </c>
      <c r="P1091" s="4">
        <v>25</v>
      </c>
      <c r="Q1091" s="2">
        <v>46066</v>
      </c>
      <c r="R1091" s="2">
        <v>46220</v>
      </c>
      <c r="S1091" s="2">
        <v>45992</v>
      </c>
      <c r="T1091" s="2"/>
      <c r="U1091" t="str">
        <f t="shared" si="119"/>
        <v>No</v>
      </c>
      <c r="W10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1" t="str">
        <f t="shared" ca="1" si="120"/>
        <v>Due/Open</v>
      </c>
      <c r="Y1091" t="str">
        <f t="shared" si="121"/>
        <v>Open</v>
      </c>
      <c r="Z1091" t="str">
        <f t="shared" si="122"/>
        <v>Nov-2025</v>
      </c>
      <c r="AA1091" t="str">
        <f t="shared" si="123"/>
        <v>Q4 2025</v>
      </c>
      <c r="AB1091" s="4">
        <f t="shared" ca="1" si="124"/>
        <v>211</v>
      </c>
      <c r="AC1091" t="str">
        <f t="shared" si="125"/>
        <v>High</v>
      </c>
    </row>
    <row r="1092" spans="1:29">
      <c r="A1092" t="s">
        <v>4048</v>
      </c>
      <c r="B1092" s="2">
        <v>45738</v>
      </c>
      <c r="C1092" t="s">
        <v>1156</v>
      </c>
      <c r="D1092" t="s">
        <v>1937</v>
      </c>
      <c r="E1092" t="s">
        <v>4049</v>
      </c>
      <c r="F1092" t="s">
        <v>4050</v>
      </c>
      <c r="G1092" t="s">
        <v>79</v>
      </c>
      <c r="H1092" t="s">
        <v>260</v>
      </c>
      <c r="I1092" t="s">
        <v>148</v>
      </c>
      <c r="J1092" t="s">
        <v>62</v>
      </c>
      <c r="K1092" t="s">
        <v>38</v>
      </c>
      <c r="L1092" t="s">
        <v>115</v>
      </c>
      <c r="M1092" t="s">
        <v>90</v>
      </c>
      <c r="N1092" t="s">
        <v>91</v>
      </c>
      <c r="O1092" s="3">
        <v>370000</v>
      </c>
      <c r="P1092" s="4">
        <v>55</v>
      </c>
      <c r="Q1092" s="2">
        <v>45816</v>
      </c>
      <c r="R1092" s="2">
        <v>46209</v>
      </c>
      <c r="S1092" s="2">
        <v>45753</v>
      </c>
      <c r="T1092" s="2"/>
      <c r="U1092" t="str">
        <f t="shared" si="119"/>
        <v>No</v>
      </c>
      <c r="W10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2" t="str">
        <f t="shared" ca="1" si="120"/>
        <v>Due/Open</v>
      </c>
      <c r="Y1092" t="str">
        <f t="shared" si="121"/>
        <v>Open</v>
      </c>
      <c r="Z1092" t="str">
        <f t="shared" si="122"/>
        <v>Mar-2025</v>
      </c>
      <c r="AA1092" t="str">
        <f t="shared" si="123"/>
        <v>Q1 2025</v>
      </c>
      <c r="AB1092" s="4">
        <f t="shared" ca="1" si="124"/>
        <v>461</v>
      </c>
      <c r="AC1092" t="str">
        <f t="shared" si="125"/>
        <v>High</v>
      </c>
    </row>
    <row r="1093" spans="1:29">
      <c r="A1093" t="s">
        <v>4051</v>
      </c>
      <c r="B1093" s="2">
        <v>45833</v>
      </c>
      <c r="C1093" t="s">
        <v>2817</v>
      </c>
      <c r="D1093" t="s">
        <v>57</v>
      </c>
      <c r="E1093" t="s">
        <v>4052</v>
      </c>
      <c r="F1093" t="s">
        <v>4053</v>
      </c>
      <c r="G1093" t="s">
        <v>79</v>
      </c>
      <c r="H1093" t="s">
        <v>97</v>
      </c>
      <c r="I1093" t="s">
        <v>49</v>
      </c>
      <c r="J1093" t="s">
        <v>99</v>
      </c>
      <c r="K1093" t="s">
        <v>114</v>
      </c>
      <c r="L1093" t="s">
        <v>81</v>
      </c>
      <c r="M1093" t="s">
        <v>53</v>
      </c>
      <c r="N1093" t="s">
        <v>54</v>
      </c>
      <c r="O1093" s="3">
        <v>440000</v>
      </c>
      <c r="P1093" s="4">
        <v>25</v>
      </c>
      <c r="Q1093" s="2">
        <v>45914</v>
      </c>
      <c r="R1093" s="2">
        <v>46236</v>
      </c>
      <c r="S1093" s="2">
        <v>45846</v>
      </c>
      <c r="T1093" s="2"/>
      <c r="U1093" t="str">
        <f t="shared" si="119"/>
        <v>No</v>
      </c>
      <c r="W10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3" t="str">
        <f t="shared" ca="1" si="120"/>
        <v>Due/Open</v>
      </c>
      <c r="Y1093" t="str">
        <f t="shared" si="121"/>
        <v>Open</v>
      </c>
      <c r="Z1093" t="str">
        <f t="shared" si="122"/>
        <v>Jun-2025</v>
      </c>
      <c r="AA1093" t="str">
        <f t="shared" si="123"/>
        <v>Q2 2025</v>
      </c>
      <c r="AB1093" s="4">
        <f t="shared" ca="1" si="124"/>
        <v>366</v>
      </c>
      <c r="AC1093" t="str">
        <f t="shared" si="125"/>
        <v>High</v>
      </c>
    </row>
    <row r="1094" spans="1:29">
      <c r="A1094" t="s">
        <v>4054</v>
      </c>
      <c r="B1094" s="2">
        <v>46038</v>
      </c>
      <c r="C1094" t="s">
        <v>3347</v>
      </c>
      <c r="D1094" t="s">
        <v>1178</v>
      </c>
      <c r="E1094" t="s">
        <v>4055</v>
      </c>
      <c r="F1094" t="s">
        <v>4056</v>
      </c>
      <c r="G1094" t="s">
        <v>69</v>
      </c>
      <c r="H1094" t="s">
        <v>200</v>
      </c>
      <c r="I1094" t="s">
        <v>148</v>
      </c>
      <c r="J1094" t="s">
        <v>99</v>
      </c>
      <c r="K1094" t="s">
        <v>38</v>
      </c>
      <c r="L1094" t="s">
        <v>63</v>
      </c>
      <c r="M1094" t="s">
        <v>82</v>
      </c>
      <c r="N1094" t="s">
        <v>83</v>
      </c>
      <c r="O1094" s="3">
        <v>550000</v>
      </c>
      <c r="P1094" s="4">
        <v>5</v>
      </c>
      <c r="Q1094" s="2">
        <v>46125</v>
      </c>
      <c r="R1094" s="2">
        <v>46229</v>
      </c>
      <c r="S1094" s="2">
        <v>46041</v>
      </c>
      <c r="T1094" s="2"/>
      <c r="U1094" t="str">
        <f t="shared" si="119"/>
        <v>No</v>
      </c>
      <c r="W10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4" t="str">
        <f t="shared" ca="1" si="120"/>
        <v>Due/Open</v>
      </c>
      <c r="Y1094" t="str">
        <f t="shared" si="121"/>
        <v>Open</v>
      </c>
      <c r="Z1094" t="str">
        <f t="shared" si="122"/>
        <v>Jan-2026</v>
      </c>
      <c r="AA1094" t="str">
        <f t="shared" si="123"/>
        <v>Q1 2026</v>
      </c>
      <c r="AB1094" s="4">
        <f t="shared" ca="1" si="124"/>
        <v>161</v>
      </c>
      <c r="AC1094" t="str">
        <f t="shared" si="125"/>
        <v>High</v>
      </c>
    </row>
    <row r="1095" spans="1:29">
      <c r="A1095" t="s">
        <v>4057</v>
      </c>
      <c r="B1095" s="2">
        <v>45995</v>
      </c>
      <c r="C1095" t="s">
        <v>546</v>
      </c>
      <c r="D1095" t="s">
        <v>176</v>
      </c>
      <c r="E1095" t="s">
        <v>4058</v>
      </c>
      <c r="F1095" t="s">
        <v>4059</v>
      </c>
      <c r="G1095" t="s">
        <v>179</v>
      </c>
      <c r="H1095" t="s">
        <v>186</v>
      </c>
      <c r="I1095" t="s">
        <v>141</v>
      </c>
      <c r="J1095" t="s">
        <v>62</v>
      </c>
      <c r="K1095" t="s">
        <v>194</v>
      </c>
      <c r="L1095" t="s">
        <v>125</v>
      </c>
      <c r="M1095" t="s">
        <v>73</v>
      </c>
      <c r="N1095" t="s">
        <v>73</v>
      </c>
      <c r="O1095" s="3">
        <v>365000</v>
      </c>
      <c r="P1095" s="4">
        <v>75</v>
      </c>
      <c r="Q1095" s="2">
        <v>46034</v>
      </c>
      <c r="R1095" s="2">
        <v>46197</v>
      </c>
      <c r="S1095" s="2">
        <v>46007</v>
      </c>
      <c r="T1095" s="2"/>
      <c r="U1095" t="str">
        <f t="shared" si="119"/>
        <v>No</v>
      </c>
      <c r="W10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5" t="str">
        <f t="shared" ca="1" si="120"/>
        <v>Overdue</v>
      </c>
      <c r="Y1095" t="str">
        <f t="shared" si="121"/>
        <v>Open</v>
      </c>
      <c r="Z1095" t="str">
        <f t="shared" si="122"/>
        <v>Dec-2025</v>
      </c>
      <c r="AA1095" t="str">
        <f t="shared" si="123"/>
        <v>Q4 2025</v>
      </c>
      <c r="AB1095" s="4">
        <f t="shared" ca="1" si="124"/>
        <v>204</v>
      </c>
      <c r="AC1095" t="str">
        <f t="shared" si="125"/>
        <v>High</v>
      </c>
    </row>
    <row r="1096" spans="1:29">
      <c r="A1096" t="s">
        <v>4060</v>
      </c>
      <c r="B1096" s="2">
        <v>45842</v>
      </c>
      <c r="C1096" t="s">
        <v>942</v>
      </c>
      <c r="D1096" t="s">
        <v>315</v>
      </c>
      <c r="E1096" t="s">
        <v>4061</v>
      </c>
      <c r="F1096" t="s">
        <v>4062</v>
      </c>
      <c r="G1096" t="s">
        <v>179</v>
      </c>
      <c r="H1096" t="s">
        <v>296</v>
      </c>
      <c r="I1096" t="s">
        <v>98</v>
      </c>
      <c r="J1096" t="s">
        <v>50</v>
      </c>
      <c r="K1096" t="s">
        <v>100</v>
      </c>
      <c r="L1096" t="s">
        <v>72</v>
      </c>
      <c r="M1096" t="s">
        <v>82</v>
      </c>
      <c r="N1096" t="s">
        <v>83</v>
      </c>
      <c r="O1096" s="3">
        <v>295000</v>
      </c>
      <c r="P1096" s="4">
        <v>5</v>
      </c>
      <c r="Q1096" s="2">
        <v>45881</v>
      </c>
      <c r="R1096" s="2">
        <v>46185</v>
      </c>
      <c r="S1096" s="2">
        <v>45854</v>
      </c>
      <c r="T1096" s="2"/>
      <c r="U1096" t="str">
        <f t="shared" si="119"/>
        <v>No</v>
      </c>
      <c r="W10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6" t="str">
        <f t="shared" ca="1" si="120"/>
        <v>Overdue</v>
      </c>
      <c r="Y1096" t="str">
        <f t="shared" si="121"/>
        <v>Open</v>
      </c>
      <c r="Z1096" t="str">
        <f t="shared" si="122"/>
        <v>Jul-2025</v>
      </c>
      <c r="AA1096" t="str">
        <f t="shared" si="123"/>
        <v>Q3 2025</v>
      </c>
      <c r="AB1096" s="4">
        <f t="shared" ca="1" si="124"/>
        <v>357</v>
      </c>
      <c r="AC1096" t="str">
        <f t="shared" si="125"/>
        <v>Medium</v>
      </c>
    </row>
    <row r="1097" spans="1:29">
      <c r="A1097" t="s">
        <v>4063</v>
      </c>
      <c r="B1097" s="2">
        <v>45685</v>
      </c>
      <c r="C1097" t="s">
        <v>2963</v>
      </c>
      <c r="D1097" t="s">
        <v>895</v>
      </c>
      <c r="E1097" t="s">
        <v>4064</v>
      </c>
      <c r="F1097" t="s">
        <v>4065</v>
      </c>
      <c r="G1097" t="s">
        <v>79</v>
      </c>
      <c r="H1097" t="s">
        <v>228</v>
      </c>
      <c r="I1097" t="s">
        <v>141</v>
      </c>
      <c r="J1097" t="s">
        <v>50</v>
      </c>
      <c r="K1097" t="s">
        <v>114</v>
      </c>
      <c r="L1097" t="s">
        <v>107</v>
      </c>
      <c r="M1097" t="s">
        <v>40</v>
      </c>
      <c r="N1097" t="s">
        <v>41</v>
      </c>
      <c r="O1097" s="3">
        <v>465000</v>
      </c>
      <c r="P1097" s="4">
        <v>100</v>
      </c>
      <c r="Q1097" s="2">
        <v>45757</v>
      </c>
      <c r="R1097" s="2"/>
      <c r="S1097" s="2">
        <v>45706</v>
      </c>
      <c r="T1097" s="2">
        <v>45757</v>
      </c>
      <c r="U1097" t="str">
        <f t="shared" si="119"/>
        <v>Yes</v>
      </c>
      <c r="W109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097" t="str">
        <f t="shared" ca="1" si="120"/>
        <v>Closed</v>
      </c>
      <c r="Y1097" t="str">
        <f t="shared" si="121"/>
        <v>Closed</v>
      </c>
      <c r="Z1097" t="str">
        <f t="shared" si="122"/>
        <v>Jan-2025</v>
      </c>
      <c r="AA1097" t="str">
        <f t="shared" si="123"/>
        <v>Q1 2025</v>
      </c>
      <c r="AB1097" s="4">
        <f t="shared" ca="1" si="124"/>
        <v>514</v>
      </c>
      <c r="AC1097" t="str">
        <f t="shared" si="125"/>
        <v>High</v>
      </c>
    </row>
    <row r="1098" spans="1:29">
      <c r="A1098" t="s">
        <v>4066</v>
      </c>
      <c r="B1098" s="2">
        <v>46009</v>
      </c>
      <c r="C1098" t="s">
        <v>1608</v>
      </c>
      <c r="D1098" t="s">
        <v>705</v>
      </c>
      <c r="E1098" t="s">
        <v>4067</v>
      </c>
      <c r="F1098" t="s">
        <v>4068</v>
      </c>
      <c r="G1098" t="s">
        <v>79</v>
      </c>
      <c r="H1098" t="s">
        <v>260</v>
      </c>
      <c r="I1098" t="s">
        <v>61</v>
      </c>
      <c r="J1098" t="s">
        <v>62</v>
      </c>
      <c r="K1098" t="s">
        <v>38</v>
      </c>
      <c r="L1098" t="s">
        <v>154</v>
      </c>
      <c r="M1098" t="s">
        <v>53</v>
      </c>
      <c r="N1098" t="s">
        <v>54</v>
      </c>
      <c r="O1098" s="3">
        <v>280000</v>
      </c>
      <c r="P1098" s="4">
        <v>25</v>
      </c>
      <c r="Q1098" s="2">
        <v>46085</v>
      </c>
      <c r="R1098" s="2">
        <v>46153</v>
      </c>
      <c r="S1098" s="2">
        <v>46024</v>
      </c>
      <c r="T1098" s="2"/>
      <c r="U1098" t="str">
        <f t="shared" si="119"/>
        <v>No</v>
      </c>
      <c r="W10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098" t="str">
        <f t="shared" ca="1" si="120"/>
        <v>Overdue</v>
      </c>
      <c r="Y1098" t="str">
        <f t="shared" si="121"/>
        <v>Open</v>
      </c>
      <c r="Z1098" t="str">
        <f t="shared" si="122"/>
        <v>Dec-2025</v>
      </c>
      <c r="AA1098" t="str">
        <f t="shared" si="123"/>
        <v>Q4 2025</v>
      </c>
      <c r="AB1098" s="4">
        <f t="shared" ca="1" si="124"/>
        <v>190</v>
      </c>
      <c r="AC1098" t="str">
        <f t="shared" si="125"/>
        <v>Medium</v>
      </c>
    </row>
    <row r="1099" spans="1:29">
      <c r="A1099" t="s">
        <v>4069</v>
      </c>
      <c r="B1099" s="2">
        <v>45928</v>
      </c>
      <c r="C1099" t="s">
        <v>4070</v>
      </c>
      <c r="D1099" t="s">
        <v>1335</v>
      </c>
      <c r="E1099" t="s">
        <v>4071</v>
      </c>
      <c r="F1099" t="s">
        <v>4072</v>
      </c>
      <c r="G1099" t="s">
        <v>69</v>
      </c>
      <c r="H1099" t="s">
        <v>285</v>
      </c>
      <c r="I1099" t="s">
        <v>36</v>
      </c>
      <c r="J1099" t="s">
        <v>99</v>
      </c>
      <c r="K1099" t="s">
        <v>38</v>
      </c>
      <c r="L1099" t="s">
        <v>239</v>
      </c>
      <c r="M1099" t="s">
        <v>40</v>
      </c>
      <c r="N1099" t="s">
        <v>41</v>
      </c>
      <c r="O1099" s="3">
        <v>160000</v>
      </c>
      <c r="P1099" s="4">
        <v>100</v>
      </c>
      <c r="Q1099" s="2">
        <v>45968</v>
      </c>
      <c r="R1099" s="2"/>
      <c r="S1099" s="2">
        <v>45945</v>
      </c>
      <c r="T1099" s="2">
        <v>45968</v>
      </c>
      <c r="U1099" t="str">
        <f t="shared" si="119"/>
        <v>Yes</v>
      </c>
      <c r="W10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1099" t="str">
        <f t="shared" ca="1" si="120"/>
        <v>Closed</v>
      </c>
      <c r="Y1099" t="str">
        <f t="shared" si="121"/>
        <v>Closed</v>
      </c>
      <c r="Z1099" t="str">
        <f t="shared" si="122"/>
        <v>Sep-2025</v>
      </c>
      <c r="AA1099" t="str">
        <f t="shared" si="123"/>
        <v>Q3 2025</v>
      </c>
      <c r="AB1099" s="4">
        <f t="shared" ca="1" si="124"/>
        <v>271</v>
      </c>
      <c r="AC1099" t="str">
        <f t="shared" si="125"/>
        <v>Medium</v>
      </c>
    </row>
    <row r="1100" spans="1:29">
      <c r="A1100" t="s">
        <v>4073</v>
      </c>
      <c r="B1100" s="2">
        <v>45889</v>
      </c>
      <c r="C1100" t="s">
        <v>4074</v>
      </c>
      <c r="D1100" t="s">
        <v>573</v>
      </c>
      <c r="E1100" t="s">
        <v>4075</v>
      </c>
      <c r="F1100" t="s">
        <v>4076</v>
      </c>
      <c r="G1100" t="s">
        <v>47</v>
      </c>
      <c r="H1100" t="s">
        <v>418</v>
      </c>
      <c r="I1100" t="s">
        <v>123</v>
      </c>
      <c r="J1100" t="s">
        <v>37</v>
      </c>
      <c r="K1100" t="s">
        <v>38</v>
      </c>
      <c r="L1100" t="s">
        <v>239</v>
      </c>
      <c r="M1100" t="s">
        <v>53</v>
      </c>
      <c r="N1100" t="s">
        <v>54</v>
      </c>
      <c r="O1100" s="3">
        <v>135000</v>
      </c>
      <c r="P1100" s="4">
        <v>35</v>
      </c>
      <c r="Q1100" s="2">
        <v>45973</v>
      </c>
      <c r="R1100" s="2">
        <v>46194</v>
      </c>
      <c r="S1100" s="2">
        <v>45898</v>
      </c>
      <c r="T1100" s="2"/>
      <c r="U1100" t="str">
        <f t="shared" si="119"/>
        <v>No</v>
      </c>
      <c r="W11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0" t="str">
        <f t="shared" ca="1" si="120"/>
        <v>Overdue</v>
      </c>
      <c r="Y1100" t="str">
        <f t="shared" si="121"/>
        <v>Open</v>
      </c>
      <c r="Z1100" t="str">
        <f t="shared" si="122"/>
        <v>Aug-2025</v>
      </c>
      <c r="AA1100" t="str">
        <f t="shared" si="123"/>
        <v>Q3 2025</v>
      </c>
      <c r="AB1100" s="4">
        <f t="shared" ca="1" si="124"/>
        <v>310</v>
      </c>
      <c r="AC1100" t="str">
        <f t="shared" si="125"/>
        <v>Medium</v>
      </c>
    </row>
    <row r="1101" spans="1:29">
      <c r="A1101" t="s">
        <v>4077</v>
      </c>
      <c r="B1101" s="2">
        <v>46122</v>
      </c>
      <c r="C1101" t="s">
        <v>1651</v>
      </c>
      <c r="D1101" t="s">
        <v>1815</v>
      </c>
      <c r="E1101" t="s">
        <v>4078</v>
      </c>
      <c r="F1101" t="s">
        <v>4079</v>
      </c>
      <c r="G1101" t="s">
        <v>179</v>
      </c>
      <c r="H1101" t="s">
        <v>296</v>
      </c>
      <c r="I1101" t="s">
        <v>141</v>
      </c>
      <c r="J1101" t="s">
        <v>124</v>
      </c>
      <c r="K1101" t="s">
        <v>38</v>
      </c>
      <c r="L1101" t="s">
        <v>132</v>
      </c>
      <c r="M1101" t="s">
        <v>53</v>
      </c>
      <c r="N1101" t="s">
        <v>54</v>
      </c>
      <c r="O1101" s="3">
        <v>350000</v>
      </c>
      <c r="P1101" s="4">
        <v>35</v>
      </c>
      <c r="Q1101" s="2">
        <v>46212</v>
      </c>
      <c r="R1101" s="2">
        <v>46161</v>
      </c>
      <c r="S1101" s="2">
        <v>46148</v>
      </c>
      <c r="T1101" s="2"/>
      <c r="U1101" t="str">
        <f t="shared" si="119"/>
        <v>No</v>
      </c>
      <c r="W11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1" t="str">
        <f t="shared" ca="1" si="120"/>
        <v>Overdue</v>
      </c>
      <c r="Y1101" t="str">
        <f t="shared" si="121"/>
        <v>Open</v>
      </c>
      <c r="Z1101" t="str">
        <f t="shared" si="122"/>
        <v>Apr-2026</v>
      </c>
      <c r="AA1101" t="str">
        <f t="shared" si="123"/>
        <v>Q2 2026</v>
      </c>
      <c r="AB1101" s="4">
        <f t="shared" ca="1" si="124"/>
        <v>77</v>
      </c>
      <c r="AC1101" t="str">
        <f t="shared" si="125"/>
        <v>High</v>
      </c>
    </row>
    <row r="1102" spans="1:29">
      <c r="A1102" t="s">
        <v>4080</v>
      </c>
      <c r="B1102" s="2">
        <v>46111</v>
      </c>
      <c r="C1102" t="s">
        <v>4081</v>
      </c>
      <c r="D1102" t="s">
        <v>775</v>
      </c>
      <c r="E1102" t="s">
        <v>4082</v>
      </c>
      <c r="F1102" t="s">
        <v>4083</v>
      </c>
      <c r="G1102" t="s">
        <v>79</v>
      </c>
      <c r="H1102" t="s">
        <v>106</v>
      </c>
      <c r="I1102" t="s">
        <v>148</v>
      </c>
      <c r="J1102" t="s">
        <v>99</v>
      </c>
      <c r="K1102" t="s">
        <v>51</v>
      </c>
      <c r="L1102" t="s">
        <v>63</v>
      </c>
      <c r="M1102" t="s">
        <v>82</v>
      </c>
      <c r="N1102" t="s">
        <v>83</v>
      </c>
      <c r="O1102" s="3">
        <v>440000</v>
      </c>
      <c r="P1102" s="4">
        <v>10</v>
      </c>
      <c r="Q1102" s="2">
        <v>46182</v>
      </c>
      <c r="R1102" s="2">
        <v>46218</v>
      </c>
      <c r="S1102" s="2">
        <v>46139</v>
      </c>
      <c r="T1102" s="2"/>
      <c r="U1102" t="str">
        <f t="shared" si="119"/>
        <v>No</v>
      </c>
      <c r="W11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2" t="str">
        <f t="shared" ca="1" si="120"/>
        <v>Due/Open</v>
      </c>
      <c r="Y1102" t="str">
        <f t="shared" si="121"/>
        <v>Open</v>
      </c>
      <c r="Z1102" t="str">
        <f t="shared" si="122"/>
        <v>Mar-2026</v>
      </c>
      <c r="AA1102" t="str">
        <f t="shared" si="123"/>
        <v>Q1 2026</v>
      </c>
      <c r="AB1102" s="4">
        <f t="shared" ca="1" si="124"/>
        <v>88</v>
      </c>
      <c r="AC1102" t="str">
        <f t="shared" si="125"/>
        <v>High</v>
      </c>
    </row>
    <row r="1103" spans="1:29">
      <c r="A1103" t="s">
        <v>4084</v>
      </c>
      <c r="B1103" s="2">
        <v>45766</v>
      </c>
      <c r="C1103" t="s">
        <v>4085</v>
      </c>
      <c r="D1103" t="s">
        <v>909</v>
      </c>
      <c r="E1103" t="s">
        <v>4086</v>
      </c>
      <c r="F1103" t="s">
        <v>4087</v>
      </c>
      <c r="G1103" t="s">
        <v>179</v>
      </c>
      <c r="H1103" t="s">
        <v>296</v>
      </c>
      <c r="I1103" t="s">
        <v>148</v>
      </c>
      <c r="J1103" t="s">
        <v>124</v>
      </c>
      <c r="K1103" t="s">
        <v>194</v>
      </c>
      <c r="L1103" t="s">
        <v>39</v>
      </c>
      <c r="M1103" t="s">
        <v>166</v>
      </c>
      <c r="N1103" t="s">
        <v>167</v>
      </c>
      <c r="O1103" s="3">
        <v>130000</v>
      </c>
      <c r="P1103" s="4">
        <v>65</v>
      </c>
      <c r="Q1103" s="2">
        <v>45794</v>
      </c>
      <c r="R1103" s="2">
        <v>46194</v>
      </c>
      <c r="S1103" s="2">
        <v>45772</v>
      </c>
      <c r="T1103" s="2"/>
      <c r="U1103" t="str">
        <f t="shared" si="119"/>
        <v>No</v>
      </c>
      <c r="W11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3" t="str">
        <f t="shared" ca="1" si="120"/>
        <v>Overdue</v>
      </c>
      <c r="Y1103" t="str">
        <f t="shared" si="121"/>
        <v>Open</v>
      </c>
      <c r="Z1103" t="str">
        <f t="shared" si="122"/>
        <v>Apr-2025</v>
      </c>
      <c r="AA1103" t="str">
        <f t="shared" si="123"/>
        <v>Q2 2025</v>
      </c>
      <c r="AB1103" s="4">
        <f t="shared" ca="1" si="124"/>
        <v>433</v>
      </c>
      <c r="AC1103" t="str">
        <f t="shared" si="125"/>
        <v>Medium</v>
      </c>
    </row>
    <row r="1104" spans="1:29">
      <c r="A1104" t="s">
        <v>4088</v>
      </c>
      <c r="B1104" s="2">
        <v>45724</v>
      </c>
      <c r="C1104" t="s">
        <v>1156</v>
      </c>
      <c r="D1104" t="s">
        <v>231</v>
      </c>
      <c r="E1104" t="s">
        <v>4089</v>
      </c>
      <c r="F1104" t="s">
        <v>4090</v>
      </c>
      <c r="G1104" t="s">
        <v>179</v>
      </c>
      <c r="H1104" t="s">
        <v>180</v>
      </c>
      <c r="I1104" t="s">
        <v>187</v>
      </c>
      <c r="J1104" t="s">
        <v>62</v>
      </c>
      <c r="K1104" t="s">
        <v>71</v>
      </c>
      <c r="L1104" t="s">
        <v>39</v>
      </c>
      <c r="M1104" t="s">
        <v>116</v>
      </c>
      <c r="N1104" t="s">
        <v>54</v>
      </c>
      <c r="O1104" s="3">
        <v>345000</v>
      </c>
      <c r="P1104" s="4">
        <v>25</v>
      </c>
      <c r="Q1104" s="2">
        <v>45792</v>
      </c>
      <c r="R1104" s="2">
        <v>46206</v>
      </c>
      <c r="S1104" s="2">
        <v>45730</v>
      </c>
      <c r="T1104" s="2"/>
      <c r="U1104" t="str">
        <f t="shared" si="119"/>
        <v>No</v>
      </c>
      <c r="W11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4" t="str">
        <f t="shared" ca="1" si="120"/>
        <v>Due/Open</v>
      </c>
      <c r="Y1104" t="str">
        <f t="shared" si="121"/>
        <v>Open</v>
      </c>
      <c r="Z1104" t="str">
        <f t="shared" si="122"/>
        <v>Mar-2025</v>
      </c>
      <c r="AA1104" t="str">
        <f t="shared" si="123"/>
        <v>Q1 2025</v>
      </c>
      <c r="AB1104" s="4">
        <f t="shared" ca="1" si="124"/>
        <v>475</v>
      </c>
      <c r="AC1104" t="str">
        <f t="shared" si="125"/>
        <v>High</v>
      </c>
    </row>
    <row r="1105" spans="1:29">
      <c r="A1105" t="s">
        <v>4091</v>
      </c>
      <c r="B1105" s="2">
        <v>45969</v>
      </c>
      <c r="C1105" t="s">
        <v>2226</v>
      </c>
      <c r="D1105" t="s">
        <v>1072</v>
      </c>
      <c r="E1105" t="s">
        <v>4092</v>
      </c>
      <c r="F1105" t="s">
        <v>4093</v>
      </c>
      <c r="G1105" t="s">
        <v>34</v>
      </c>
      <c r="H1105" t="s">
        <v>160</v>
      </c>
      <c r="I1105" t="s">
        <v>141</v>
      </c>
      <c r="J1105" t="s">
        <v>131</v>
      </c>
      <c r="K1105" t="s">
        <v>100</v>
      </c>
      <c r="L1105" t="s">
        <v>107</v>
      </c>
      <c r="M1105" t="s">
        <v>133</v>
      </c>
      <c r="N1105" t="s">
        <v>134</v>
      </c>
      <c r="O1105" s="3">
        <v>185000</v>
      </c>
      <c r="P1105" s="4">
        <v>0</v>
      </c>
      <c r="Q1105" s="2">
        <v>45980</v>
      </c>
      <c r="R1105" s="2"/>
      <c r="S1105" s="2">
        <v>45994</v>
      </c>
      <c r="T1105" s="2">
        <v>45980</v>
      </c>
      <c r="U1105" t="str">
        <f t="shared" si="119"/>
        <v>No</v>
      </c>
      <c r="V1105" t="s">
        <v>211</v>
      </c>
      <c r="W110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1105" t="str">
        <f t="shared" ca="1" si="120"/>
        <v>Closed</v>
      </c>
      <c r="Y1105" t="str">
        <f t="shared" si="121"/>
        <v>Closed</v>
      </c>
      <c r="Z1105" t="str">
        <f t="shared" si="122"/>
        <v>Nov-2025</v>
      </c>
      <c r="AA1105" t="str">
        <f t="shared" si="123"/>
        <v>Q4 2025</v>
      </c>
      <c r="AB1105" s="4">
        <f t="shared" ca="1" si="124"/>
        <v>230</v>
      </c>
      <c r="AC1105" t="str">
        <f t="shared" si="125"/>
        <v>Medium</v>
      </c>
    </row>
    <row r="1106" spans="1:29">
      <c r="A1106" t="s">
        <v>4094</v>
      </c>
      <c r="B1106" s="2">
        <v>45694</v>
      </c>
      <c r="C1106" t="s">
        <v>1424</v>
      </c>
      <c r="D1106" t="s">
        <v>1052</v>
      </c>
      <c r="E1106" t="s">
        <v>4095</v>
      </c>
      <c r="F1106" t="s">
        <v>4096</v>
      </c>
      <c r="G1106" t="s">
        <v>69</v>
      </c>
      <c r="H1106" t="s">
        <v>193</v>
      </c>
      <c r="I1106" t="s">
        <v>141</v>
      </c>
      <c r="J1106" t="s">
        <v>99</v>
      </c>
      <c r="K1106" t="s">
        <v>100</v>
      </c>
      <c r="L1106" t="s">
        <v>63</v>
      </c>
      <c r="M1106" t="s">
        <v>82</v>
      </c>
      <c r="N1106" t="s">
        <v>83</v>
      </c>
      <c r="O1106" s="3">
        <v>485000</v>
      </c>
      <c r="P1106" s="4">
        <v>10</v>
      </c>
      <c r="Q1106" s="2">
        <v>45757</v>
      </c>
      <c r="R1106" s="2">
        <v>46208</v>
      </c>
      <c r="S1106" s="2">
        <v>45707</v>
      </c>
      <c r="T1106" s="2"/>
      <c r="U1106" t="str">
        <f t="shared" si="119"/>
        <v>No</v>
      </c>
      <c r="W11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6" t="str">
        <f t="shared" ca="1" si="120"/>
        <v>Due/Open</v>
      </c>
      <c r="Y1106" t="str">
        <f t="shared" si="121"/>
        <v>Open</v>
      </c>
      <c r="Z1106" t="str">
        <f t="shared" si="122"/>
        <v>Feb-2025</v>
      </c>
      <c r="AA1106" t="str">
        <f t="shared" si="123"/>
        <v>Q1 2025</v>
      </c>
      <c r="AB1106" s="4">
        <f t="shared" ca="1" si="124"/>
        <v>505</v>
      </c>
      <c r="AC1106" t="str">
        <f t="shared" si="125"/>
        <v>High</v>
      </c>
    </row>
    <row r="1107" spans="1:29">
      <c r="A1107" t="s">
        <v>4097</v>
      </c>
      <c r="B1107" s="2">
        <v>45932</v>
      </c>
      <c r="C1107" t="s">
        <v>692</v>
      </c>
      <c r="D1107" t="s">
        <v>1319</v>
      </c>
      <c r="E1107" t="s">
        <v>4098</v>
      </c>
      <c r="F1107" t="s">
        <v>4099</v>
      </c>
      <c r="G1107" t="s">
        <v>69</v>
      </c>
      <c r="H1107" t="s">
        <v>70</v>
      </c>
      <c r="I1107" t="s">
        <v>36</v>
      </c>
      <c r="J1107" t="s">
        <v>131</v>
      </c>
      <c r="K1107" t="s">
        <v>194</v>
      </c>
      <c r="L1107" t="s">
        <v>239</v>
      </c>
      <c r="M1107" t="s">
        <v>73</v>
      </c>
      <c r="N1107" t="s">
        <v>73</v>
      </c>
      <c r="O1107" s="3">
        <v>290000</v>
      </c>
      <c r="P1107" s="4">
        <v>85</v>
      </c>
      <c r="Q1107" s="2">
        <v>45960</v>
      </c>
      <c r="R1107" s="2">
        <v>46178</v>
      </c>
      <c r="S1107" s="2">
        <v>45960</v>
      </c>
      <c r="T1107" s="2"/>
      <c r="U1107" t="str">
        <f t="shared" si="119"/>
        <v>No</v>
      </c>
      <c r="W11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7" t="str">
        <f t="shared" ca="1" si="120"/>
        <v>Overdue</v>
      </c>
      <c r="Y1107" t="str">
        <f t="shared" si="121"/>
        <v>Open</v>
      </c>
      <c r="Z1107" t="str">
        <f t="shared" si="122"/>
        <v>Oct-2025</v>
      </c>
      <c r="AA1107" t="str">
        <f t="shared" si="123"/>
        <v>Q4 2025</v>
      </c>
      <c r="AB1107" s="4">
        <f t="shared" ca="1" si="124"/>
        <v>267</v>
      </c>
      <c r="AC1107" t="str">
        <f t="shared" si="125"/>
        <v>Medium</v>
      </c>
    </row>
    <row r="1108" spans="1:29">
      <c r="A1108" t="s">
        <v>4100</v>
      </c>
      <c r="B1108" s="2">
        <v>45896</v>
      </c>
      <c r="C1108" t="s">
        <v>759</v>
      </c>
      <c r="D1108" t="s">
        <v>512</v>
      </c>
      <c r="E1108" t="s">
        <v>4101</v>
      </c>
      <c r="F1108" t="s">
        <v>4102</v>
      </c>
      <c r="G1108" t="s">
        <v>69</v>
      </c>
      <c r="H1108" t="s">
        <v>200</v>
      </c>
      <c r="I1108" t="s">
        <v>61</v>
      </c>
      <c r="J1108" t="s">
        <v>62</v>
      </c>
      <c r="K1108" t="s">
        <v>114</v>
      </c>
      <c r="L1108" t="s">
        <v>115</v>
      </c>
      <c r="M1108" t="s">
        <v>53</v>
      </c>
      <c r="N1108" t="s">
        <v>54</v>
      </c>
      <c r="O1108" s="3">
        <v>180000</v>
      </c>
      <c r="P1108" s="4">
        <v>30</v>
      </c>
      <c r="Q1108" s="2">
        <v>45952</v>
      </c>
      <c r="R1108" s="2">
        <v>46211</v>
      </c>
      <c r="S1108" s="2">
        <v>45916</v>
      </c>
      <c r="T1108" s="2"/>
      <c r="U1108" t="str">
        <f t="shared" si="119"/>
        <v>No</v>
      </c>
      <c r="W11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8" t="str">
        <f t="shared" ca="1" si="120"/>
        <v>Due/Open</v>
      </c>
      <c r="Y1108" t="str">
        <f t="shared" si="121"/>
        <v>Open</v>
      </c>
      <c r="Z1108" t="str">
        <f t="shared" si="122"/>
        <v>Aug-2025</v>
      </c>
      <c r="AA1108" t="str">
        <f t="shared" si="123"/>
        <v>Q3 2025</v>
      </c>
      <c r="AB1108" s="4">
        <f t="shared" ca="1" si="124"/>
        <v>303</v>
      </c>
      <c r="AC1108" t="str">
        <f t="shared" si="125"/>
        <v>Medium</v>
      </c>
    </row>
    <row r="1109" spans="1:29">
      <c r="A1109" t="s">
        <v>4103</v>
      </c>
      <c r="B1109" s="2">
        <v>46143</v>
      </c>
      <c r="C1109" t="s">
        <v>1399</v>
      </c>
      <c r="D1109" t="s">
        <v>1086</v>
      </c>
      <c r="E1109" t="s">
        <v>4104</v>
      </c>
      <c r="F1109" t="s">
        <v>4105</v>
      </c>
      <c r="G1109" t="s">
        <v>47</v>
      </c>
      <c r="H1109" t="s">
        <v>48</v>
      </c>
      <c r="I1109" t="s">
        <v>123</v>
      </c>
      <c r="J1109" t="s">
        <v>99</v>
      </c>
      <c r="K1109" t="s">
        <v>194</v>
      </c>
      <c r="L1109" t="s">
        <v>52</v>
      </c>
      <c r="M1109" t="s">
        <v>116</v>
      </c>
      <c r="N1109" t="s">
        <v>54</v>
      </c>
      <c r="O1109" s="3">
        <v>660000</v>
      </c>
      <c r="P1109" s="4">
        <v>20</v>
      </c>
      <c r="Q1109" s="2">
        <v>46164</v>
      </c>
      <c r="R1109" s="2">
        <v>46202</v>
      </c>
      <c r="S1109" s="2">
        <v>46169</v>
      </c>
      <c r="T1109" s="2"/>
      <c r="U1109" t="str">
        <f t="shared" si="119"/>
        <v>No</v>
      </c>
      <c r="W11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09" t="str">
        <f t="shared" ca="1" si="120"/>
        <v>Due/Open</v>
      </c>
      <c r="Y1109" t="str">
        <f t="shared" si="121"/>
        <v>Open</v>
      </c>
      <c r="Z1109" t="str">
        <f t="shared" si="122"/>
        <v>May-2026</v>
      </c>
      <c r="AA1109" t="str">
        <f t="shared" si="123"/>
        <v>Q2 2026</v>
      </c>
      <c r="AB1109" s="4">
        <f t="shared" ca="1" si="124"/>
        <v>56</v>
      </c>
      <c r="AC1109" t="str">
        <f t="shared" si="125"/>
        <v>High</v>
      </c>
    </row>
    <row r="1110" spans="1:29">
      <c r="A1110" t="s">
        <v>4106</v>
      </c>
      <c r="B1110" s="2">
        <v>45674</v>
      </c>
      <c r="C1110" t="s">
        <v>1850</v>
      </c>
      <c r="D1110" t="s">
        <v>1876</v>
      </c>
      <c r="E1110" t="s">
        <v>4107</v>
      </c>
      <c r="F1110" t="s">
        <v>4108</v>
      </c>
      <c r="G1110" t="s">
        <v>79</v>
      </c>
      <c r="H1110" t="s">
        <v>217</v>
      </c>
      <c r="I1110" t="s">
        <v>187</v>
      </c>
      <c r="J1110" t="s">
        <v>62</v>
      </c>
      <c r="K1110" t="s">
        <v>38</v>
      </c>
      <c r="L1110" t="s">
        <v>72</v>
      </c>
      <c r="M1110" t="s">
        <v>82</v>
      </c>
      <c r="N1110" t="s">
        <v>83</v>
      </c>
      <c r="O1110" s="3">
        <v>120000</v>
      </c>
      <c r="P1110" s="4">
        <v>5</v>
      </c>
      <c r="Q1110" s="2">
        <v>45750</v>
      </c>
      <c r="R1110" s="2">
        <v>46232</v>
      </c>
      <c r="S1110" s="2">
        <v>45690</v>
      </c>
      <c r="T1110" s="2"/>
      <c r="U1110" t="str">
        <f t="shared" si="119"/>
        <v>No</v>
      </c>
      <c r="W11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0" t="str">
        <f t="shared" ca="1" si="120"/>
        <v>Due/Open</v>
      </c>
      <c r="Y1110" t="str">
        <f t="shared" si="121"/>
        <v>Open</v>
      </c>
      <c r="Z1110" t="str">
        <f t="shared" si="122"/>
        <v>Jan-2025</v>
      </c>
      <c r="AA1110" t="str">
        <f t="shared" si="123"/>
        <v>Q1 2025</v>
      </c>
      <c r="AB1110" s="4">
        <f t="shared" ca="1" si="124"/>
        <v>525</v>
      </c>
      <c r="AC1110" t="str">
        <f t="shared" si="125"/>
        <v>Medium</v>
      </c>
    </row>
    <row r="1111" spans="1:29">
      <c r="A1111" t="s">
        <v>4109</v>
      </c>
      <c r="B1111" s="2">
        <v>46050</v>
      </c>
      <c r="C1111" t="s">
        <v>169</v>
      </c>
      <c r="D1111" t="s">
        <v>1072</v>
      </c>
      <c r="E1111" t="s">
        <v>4110</v>
      </c>
      <c r="F1111" t="s">
        <v>4111</v>
      </c>
      <c r="G1111" t="s">
        <v>69</v>
      </c>
      <c r="H1111" t="s">
        <v>200</v>
      </c>
      <c r="I1111" t="s">
        <v>98</v>
      </c>
      <c r="J1111" t="s">
        <v>37</v>
      </c>
      <c r="K1111" t="s">
        <v>38</v>
      </c>
      <c r="L1111" t="s">
        <v>107</v>
      </c>
      <c r="M1111" t="s">
        <v>90</v>
      </c>
      <c r="N1111" t="s">
        <v>91</v>
      </c>
      <c r="O1111" s="3">
        <v>175000</v>
      </c>
      <c r="P1111" s="4">
        <v>40</v>
      </c>
      <c r="Q1111" s="2">
        <v>46072</v>
      </c>
      <c r="R1111" s="2">
        <v>46199</v>
      </c>
      <c r="S1111" s="2">
        <v>46056</v>
      </c>
      <c r="T1111" s="2"/>
      <c r="U1111" t="str">
        <f t="shared" si="119"/>
        <v>No</v>
      </c>
      <c r="W11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1" t="str">
        <f t="shared" ca="1" si="120"/>
        <v>Due/Open</v>
      </c>
      <c r="Y1111" t="str">
        <f t="shared" si="121"/>
        <v>Open</v>
      </c>
      <c r="Z1111" t="str">
        <f t="shared" si="122"/>
        <v>Jan-2026</v>
      </c>
      <c r="AA1111" t="str">
        <f t="shared" si="123"/>
        <v>Q1 2026</v>
      </c>
      <c r="AB1111" s="4">
        <f t="shared" ca="1" si="124"/>
        <v>149</v>
      </c>
      <c r="AC1111" t="str">
        <f t="shared" si="125"/>
        <v>Medium</v>
      </c>
    </row>
    <row r="1112" spans="1:29">
      <c r="A1112" t="s">
        <v>4112</v>
      </c>
      <c r="B1112" s="2">
        <v>45915</v>
      </c>
      <c r="C1112" t="s">
        <v>1985</v>
      </c>
      <c r="D1112" t="s">
        <v>1072</v>
      </c>
      <c r="E1112" t="s">
        <v>4113</v>
      </c>
      <c r="F1112" t="s">
        <v>4114</v>
      </c>
      <c r="G1112" t="s">
        <v>69</v>
      </c>
      <c r="H1112" t="s">
        <v>270</v>
      </c>
      <c r="I1112" t="s">
        <v>187</v>
      </c>
      <c r="J1112" t="s">
        <v>131</v>
      </c>
      <c r="K1112" t="s">
        <v>38</v>
      </c>
      <c r="L1112" t="s">
        <v>72</v>
      </c>
      <c r="M1112" t="s">
        <v>133</v>
      </c>
      <c r="N1112" t="s">
        <v>134</v>
      </c>
      <c r="O1112" s="3">
        <v>125000</v>
      </c>
      <c r="P1112" s="4">
        <v>0</v>
      </c>
      <c r="Q1112" s="2">
        <v>45946</v>
      </c>
      <c r="R1112" s="2"/>
      <c r="S1112" s="2">
        <v>45933</v>
      </c>
      <c r="T1112" s="2">
        <v>45946</v>
      </c>
      <c r="U1112" t="str">
        <f t="shared" si="119"/>
        <v>No</v>
      </c>
      <c r="V1112" t="s">
        <v>452</v>
      </c>
      <c r="W11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112" t="str">
        <f t="shared" ca="1" si="120"/>
        <v>Closed</v>
      </c>
      <c r="Y1112" t="str">
        <f t="shared" si="121"/>
        <v>Closed</v>
      </c>
      <c r="Z1112" t="str">
        <f t="shared" si="122"/>
        <v>Sep-2025</v>
      </c>
      <c r="AA1112" t="str">
        <f t="shared" si="123"/>
        <v>Q3 2025</v>
      </c>
      <c r="AB1112" s="4">
        <f t="shared" ca="1" si="124"/>
        <v>284</v>
      </c>
      <c r="AC1112" t="str">
        <f t="shared" si="125"/>
        <v>Medium</v>
      </c>
    </row>
    <row r="1113" spans="1:29">
      <c r="A1113" t="s">
        <v>4115</v>
      </c>
      <c r="B1113" s="2">
        <v>45900</v>
      </c>
      <c r="C1113" t="s">
        <v>1011</v>
      </c>
      <c r="D1113" t="s">
        <v>1148</v>
      </c>
      <c r="E1113" t="s">
        <v>4116</v>
      </c>
      <c r="F1113" t="s">
        <v>4117</v>
      </c>
      <c r="G1113" t="s">
        <v>34</v>
      </c>
      <c r="H1113" t="s">
        <v>446</v>
      </c>
      <c r="I1113" t="s">
        <v>36</v>
      </c>
      <c r="J1113" t="s">
        <v>37</v>
      </c>
      <c r="K1113" t="s">
        <v>194</v>
      </c>
      <c r="L1113" t="s">
        <v>132</v>
      </c>
      <c r="M1113" t="s">
        <v>116</v>
      </c>
      <c r="N1113" t="s">
        <v>54</v>
      </c>
      <c r="O1113" s="3">
        <v>150000</v>
      </c>
      <c r="P1113" s="4">
        <v>20</v>
      </c>
      <c r="Q1113" s="2">
        <v>45961</v>
      </c>
      <c r="R1113" s="2">
        <v>46239</v>
      </c>
      <c r="S1113" s="2">
        <v>45908</v>
      </c>
      <c r="T1113" s="2"/>
      <c r="U1113" t="str">
        <f t="shared" si="119"/>
        <v>No</v>
      </c>
      <c r="W11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3" t="str">
        <f t="shared" ca="1" si="120"/>
        <v>Due/Open</v>
      </c>
      <c r="Y1113" t="str">
        <f t="shared" si="121"/>
        <v>Open</v>
      </c>
      <c r="Z1113" t="str">
        <f t="shared" si="122"/>
        <v>Aug-2025</v>
      </c>
      <c r="AA1113" t="str">
        <f t="shared" si="123"/>
        <v>Q3 2025</v>
      </c>
      <c r="AB1113" s="4">
        <f t="shared" ca="1" si="124"/>
        <v>299</v>
      </c>
      <c r="AC1113" t="str">
        <f t="shared" si="125"/>
        <v>Medium</v>
      </c>
    </row>
    <row r="1114" spans="1:29">
      <c r="A1114" t="s">
        <v>4118</v>
      </c>
      <c r="B1114" s="2">
        <v>46031</v>
      </c>
      <c r="C1114" t="s">
        <v>1672</v>
      </c>
      <c r="D1114" t="s">
        <v>547</v>
      </c>
      <c r="E1114" t="s">
        <v>4119</v>
      </c>
      <c r="F1114" t="s">
        <v>4120</v>
      </c>
      <c r="G1114" t="s">
        <v>179</v>
      </c>
      <c r="H1114" t="s">
        <v>186</v>
      </c>
      <c r="I1114" t="s">
        <v>98</v>
      </c>
      <c r="J1114" t="s">
        <v>50</v>
      </c>
      <c r="K1114" t="s">
        <v>194</v>
      </c>
      <c r="L1114" t="s">
        <v>72</v>
      </c>
      <c r="M1114" t="s">
        <v>210</v>
      </c>
      <c r="N1114" t="s">
        <v>134</v>
      </c>
      <c r="O1114" s="3">
        <v>350000</v>
      </c>
      <c r="P1114" s="4">
        <v>0</v>
      </c>
      <c r="Q1114" s="2">
        <v>46047</v>
      </c>
      <c r="R1114" s="2"/>
      <c r="S1114" s="2">
        <v>46054</v>
      </c>
      <c r="T1114" s="2">
        <v>46047</v>
      </c>
      <c r="U1114" t="str">
        <f t="shared" si="119"/>
        <v>No</v>
      </c>
      <c r="V1114" t="s">
        <v>276</v>
      </c>
      <c r="W111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1114" t="str">
        <f t="shared" ca="1" si="120"/>
        <v>Closed</v>
      </c>
      <c r="Y1114" t="str">
        <f t="shared" si="121"/>
        <v>Closed</v>
      </c>
      <c r="Z1114" t="str">
        <f t="shared" si="122"/>
        <v>Jan-2026</v>
      </c>
      <c r="AA1114" t="str">
        <f t="shared" si="123"/>
        <v>Q1 2026</v>
      </c>
      <c r="AB1114" s="4">
        <f t="shared" ca="1" si="124"/>
        <v>168</v>
      </c>
      <c r="AC1114" t="str">
        <f t="shared" si="125"/>
        <v>High</v>
      </c>
    </row>
    <row r="1115" spans="1:29">
      <c r="A1115" t="s">
        <v>4121</v>
      </c>
      <c r="B1115" s="2">
        <v>46137</v>
      </c>
      <c r="C1115" t="s">
        <v>4122</v>
      </c>
      <c r="D1115" t="s">
        <v>2897</v>
      </c>
      <c r="E1115" t="s">
        <v>4123</v>
      </c>
      <c r="F1115" t="s">
        <v>4124</v>
      </c>
      <c r="G1115" t="s">
        <v>79</v>
      </c>
      <c r="H1115" t="s">
        <v>106</v>
      </c>
      <c r="I1115" t="s">
        <v>123</v>
      </c>
      <c r="J1115" t="s">
        <v>50</v>
      </c>
      <c r="K1115" t="s">
        <v>71</v>
      </c>
      <c r="L1115" t="s">
        <v>115</v>
      </c>
      <c r="M1115" t="s">
        <v>116</v>
      </c>
      <c r="N1115" t="s">
        <v>54</v>
      </c>
      <c r="O1115" s="3">
        <v>420000</v>
      </c>
      <c r="P1115" s="4">
        <v>25</v>
      </c>
      <c r="Q1115" s="2">
        <v>46211</v>
      </c>
      <c r="R1115" s="2">
        <v>46209</v>
      </c>
      <c r="S1115" s="2">
        <v>46162</v>
      </c>
      <c r="T1115" s="2"/>
      <c r="U1115" t="str">
        <f t="shared" si="119"/>
        <v>No</v>
      </c>
      <c r="W11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5" t="str">
        <f t="shared" ca="1" si="120"/>
        <v>Due/Open</v>
      </c>
      <c r="Y1115" t="str">
        <f t="shared" si="121"/>
        <v>Open</v>
      </c>
      <c r="Z1115" t="str">
        <f t="shared" si="122"/>
        <v>Apr-2026</v>
      </c>
      <c r="AA1115" t="str">
        <f t="shared" si="123"/>
        <v>Q2 2026</v>
      </c>
      <c r="AB1115" s="4">
        <f t="shared" ca="1" si="124"/>
        <v>62</v>
      </c>
      <c r="AC1115" t="str">
        <f t="shared" si="125"/>
        <v>High</v>
      </c>
    </row>
    <row r="1116" spans="1:29">
      <c r="A1116" t="s">
        <v>4125</v>
      </c>
      <c r="B1116" s="2">
        <v>46025</v>
      </c>
      <c r="C1116" t="s">
        <v>336</v>
      </c>
      <c r="D1116" t="s">
        <v>2827</v>
      </c>
      <c r="E1116" t="s">
        <v>4126</v>
      </c>
      <c r="F1116" t="s">
        <v>4127</v>
      </c>
      <c r="G1116" t="s">
        <v>34</v>
      </c>
      <c r="H1116" t="s">
        <v>446</v>
      </c>
      <c r="I1116" t="s">
        <v>98</v>
      </c>
      <c r="J1116" t="s">
        <v>99</v>
      </c>
      <c r="K1116" t="s">
        <v>114</v>
      </c>
      <c r="L1116" t="s">
        <v>81</v>
      </c>
      <c r="M1116" t="s">
        <v>82</v>
      </c>
      <c r="N1116" t="s">
        <v>83</v>
      </c>
      <c r="O1116" s="3">
        <v>625000</v>
      </c>
      <c r="P1116" s="4">
        <v>5</v>
      </c>
      <c r="Q1116" s="2">
        <v>46080</v>
      </c>
      <c r="R1116" s="2">
        <v>46236</v>
      </c>
      <c r="S1116" s="2">
        <v>46052</v>
      </c>
      <c r="T1116" s="2"/>
      <c r="U1116" t="str">
        <f t="shared" si="119"/>
        <v>No</v>
      </c>
      <c r="W11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6" t="str">
        <f t="shared" ca="1" si="120"/>
        <v>Due/Open</v>
      </c>
      <c r="Y1116" t="str">
        <f t="shared" si="121"/>
        <v>Open</v>
      </c>
      <c r="Z1116" t="str">
        <f t="shared" si="122"/>
        <v>Jan-2026</v>
      </c>
      <c r="AA1116" t="str">
        <f t="shared" si="123"/>
        <v>Q1 2026</v>
      </c>
      <c r="AB1116" s="4">
        <f t="shared" ca="1" si="124"/>
        <v>174</v>
      </c>
      <c r="AC1116" t="str">
        <f t="shared" si="125"/>
        <v>High</v>
      </c>
    </row>
    <row r="1117" spans="1:29">
      <c r="A1117" t="s">
        <v>4128</v>
      </c>
      <c r="B1117" s="2">
        <v>45919</v>
      </c>
      <c r="C1117" t="s">
        <v>3076</v>
      </c>
      <c r="D1117" t="s">
        <v>1937</v>
      </c>
      <c r="E1117" t="s">
        <v>4129</v>
      </c>
      <c r="F1117" t="s">
        <v>4130</v>
      </c>
      <c r="G1117" t="s">
        <v>79</v>
      </c>
      <c r="H1117" t="s">
        <v>217</v>
      </c>
      <c r="I1117" t="s">
        <v>141</v>
      </c>
      <c r="J1117" t="s">
        <v>131</v>
      </c>
      <c r="K1117" t="s">
        <v>38</v>
      </c>
      <c r="L1117" t="s">
        <v>132</v>
      </c>
      <c r="M1117" t="s">
        <v>73</v>
      </c>
      <c r="N1117" t="s">
        <v>73</v>
      </c>
      <c r="O1117" s="3">
        <v>125000</v>
      </c>
      <c r="P1117" s="4">
        <v>75</v>
      </c>
      <c r="Q1117" s="2">
        <v>45970</v>
      </c>
      <c r="R1117" s="2">
        <v>46225</v>
      </c>
      <c r="S1117" s="2">
        <v>45941</v>
      </c>
      <c r="T1117" s="2"/>
      <c r="U1117" t="str">
        <f t="shared" si="119"/>
        <v>No</v>
      </c>
      <c r="W11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7" t="str">
        <f t="shared" ca="1" si="120"/>
        <v>Due/Open</v>
      </c>
      <c r="Y1117" t="str">
        <f t="shared" si="121"/>
        <v>Open</v>
      </c>
      <c r="Z1117" t="str">
        <f t="shared" si="122"/>
        <v>Sep-2025</v>
      </c>
      <c r="AA1117" t="str">
        <f t="shared" si="123"/>
        <v>Q3 2025</v>
      </c>
      <c r="AB1117" s="4">
        <f t="shared" ca="1" si="124"/>
        <v>280</v>
      </c>
      <c r="AC1117" t="str">
        <f t="shared" si="125"/>
        <v>Medium</v>
      </c>
    </row>
    <row r="1118" spans="1:29">
      <c r="A1118" t="s">
        <v>4131</v>
      </c>
      <c r="B1118" s="2">
        <v>46146</v>
      </c>
      <c r="C1118" t="s">
        <v>1502</v>
      </c>
      <c r="D1118" t="s">
        <v>119</v>
      </c>
      <c r="E1118" t="s">
        <v>4132</v>
      </c>
      <c r="F1118" t="s">
        <v>4133</v>
      </c>
      <c r="G1118" t="s">
        <v>179</v>
      </c>
      <c r="H1118" t="s">
        <v>180</v>
      </c>
      <c r="I1118" t="s">
        <v>49</v>
      </c>
      <c r="J1118" t="s">
        <v>50</v>
      </c>
      <c r="K1118" t="s">
        <v>71</v>
      </c>
      <c r="L1118" t="s">
        <v>154</v>
      </c>
      <c r="M1118" t="s">
        <v>73</v>
      </c>
      <c r="N1118" t="s">
        <v>73</v>
      </c>
      <c r="O1118" s="3">
        <v>190000</v>
      </c>
      <c r="P1118" s="4">
        <v>75</v>
      </c>
      <c r="Q1118" s="2">
        <v>46198</v>
      </c>
      <c r="R1118" s="2">
        <v>46226</v>
      </c>
      <c r="S1118" s="2">
        <v>46161</v>
      </c>
      <c r="T1118" s="2"/>
      <c r="U1118" t="str">
        <f t="shared" si="119"/>
        <v>No</v>
      </c>
      <c r="W11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18" t="str">
        <f t="shared" ca="1" si="120"/>
        <v>Due/Open</v>
      </c>
      <c r="Y1118" t="str">
        <f t="shared" si="121"/>
        <v>Open</v>
      </c>
      <c r="Z1118" t="str">
        <f t="shared" si="122"/>
        <v>May-2026</v>
      </c>
      <c r="AA1118" t="str">
        <f t="shared" si="123"/>
        <v>Q2 2026</v>
      </c>
      <c r="AB1118" s="4">
        <f t="shared" ca="1" si="124"/>
        <v>53</v>
      </c>
      <c r="AC1118" t="str">
        <f t="shared" si="125"/>
        <v>Medium</v>
      </c>
    </row>
    <row r="1119" spans="1:29">
      <c r="A1119" t="s">
        <v>4134</v>
      </c>
      <c r="B1119" s="2">
        <v>46006</v>
      </c>
      <c r="C1119" t="s">
        <v>4135</v>
      </c>
      <c r="D1119" t="s">
        <v>86</v>
      </c>
      <c r="E1119" t="s">
        <v>4136</v>
      </c>
      <c r="F1119" t="s">
        <v>4137</v>
      </c>
      <c r="G1119" t="s">
        <v>47</v>
      </c>
      <c r="H1119" t="s">
        <v>48</v>
      </c>
      <c r="I1119" t="s">
        <v>148</v>
      </c>
      <c r="J1119" t="s">
        <v>131</v>
      </c>
      <c r="K1119" t="s">
        <v>38</v>
      </c>
      <c r="L1119" t="s">
        <v>39</v>
      </c>
      <c r="M1119" t="s">
        <v>40</v>
      </c>
      <c r="N1119" t="s">
        <v>41</v>
      </c>
      <c r="O1119" s="3">
        <v>315000</v>
      </c>
      <c r="P1119" s="4">
        <v>100</v>
      </c>
      <c r="Q1119" s="2">
        <v>46084</v>
      </c>
      <c r="R1119" s="2"/>
      <c r="S1119" s="2">
        <v>46025</v>
      </c>
      <c r="T1119" s="2">
        <v>46084</v>
      </c>
      <c r="U1119" t="str">
        <f t="shared" si="119"/>
        <v>Yes</v>
      </c>
      <c r="W111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1119" t="str">
        <f t="shared" ca="1" si="120"/>
        <v>Closed</v>
      </c>
      <c r="Y1119" t="str">
        <f t="shared" si="121"/>
        <v>Closed</v>
      </c>
      <c r="Z1119" t="str">
        <f t="shared" si="122"/>
        <v>Dec-2025</v>
      </c>
      <c r="AA1119" t="str">
        <f t="shared" si="123"/>
        <v>Q4 2025</v>
      </c>
      <c r="AB1119" s="4">
        <f t="shared" ca="1" si="124"/>
        <v>193</v>
      </c>
      <c r="AC1119" t="str">
        <f t="shared" si="125"/>
        <v>High</v>
      </c>
    </row>
    <row r="1120" spans="1:29">
      <c r="A1120" t="s">
        <v>4138</v>
      </c>
      <c r="B1120" s="2">
        <v>45772</v>
      </c>
      <c r="C1120" t="s">
        <v>602</v>
      </c>
      <c r="D1120" t="s">
        <v>231</v>
      </c>
      <c r="E1120" t="s">
        <v>4139</v>
      </c>
      <c r="F1120" t="s">
        <v>4140</v>
      </c>
      <c r="G1120" t="s">
        <v>179</v>
      </c>
      <c r="H1120" t="s">
        <v>436</v>
      </c>
      <c r="I1120" t="s">
        <v>36</v>
      </c>
      <c r="J1120" t="s">
        <v>124</v>
      </c>
      <c r="K1120" t="s">
        <v>38</v>
      </c>
      <c r="L1120" t="s">
        <v>52</v>
      </c>
      <c r="M1120" t="s">
        <v>116</v>
      </c>
      <c r="N1120" t="s">
        <v>54</v>
      </c>
      <c r="O1120" s="3">
        <v>115000</v>
      </c>
      <c r="P1120" s="4">
        <v>15</v>
      </c>
      <c r="Q1120" s="2">
        <v>45861</v>
      </c>
      <c r="R1120" s="2">
        <v>46186</v>
      </c>
      <c r="S1120" s="2">
        <v>45792</v>
      </c>
      <c r="T1120" s="2"/>
      <c r="U1120" t="str">
        <f t="shared" si="119"/>
        <v>No</v>
      </c>
      <c r="W11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0" t="str">
        <f t="shared" ca="1" si="120"/>
        <v>Overdue</v>
      </c>
      <c r="Y1120" t="str">
        <f t="shared" si="121"/>
        <v>Open</v>
      </c>
      <c r="Z1120" t="str">
        <f t="shared" si="122"/>
        <v>Apr-2025</v>
      </c>
      <c r="AA1120" t="str">
        <f t="shared" si="123"/>
        <v>Q2 2025</v>
      </c>
      <c r="AB1120" s="4">
        <f t="shared" ca="1" si="124"/>
        <v>427</v>
      </c>
      <c r="AC1120" t="str">
        <f t="shared" si="125"/>
        <v>Low</v>
      </c>
    </row>
    <row r="1121" spans="1:29">
      <c r="A1121" t="s">
        <v>4141</v>
      </c>
      <c r="B1121" s="2">
        <v>45795</v>
      </c>
      <c r="C1121" t="s">
        <v>2658</v>
      </c>
      <c r="D1121" t="s">
        <v>332</v>
      </c>
      <c r="E1121" t="s">
        <v>4142</v>
      </c>
      <c r="F1121" t="s">
        <v>4143</v>
      </c>
      <c r="G1121" t="s">
        <v>79</v>
      </c>
      <c r="H1121" t="s">
        <v>217</v>
      </c>
      <c r="I1121" t="s">
        <v>49</v>
      </c>
      <c r="J1121" t="s">
        <v>131</v>
      </c>
      <c r="K1121" t="s">
        <v>114</v>
      </c>
      <c r="L1121" t="s">
        <v>132</v>
      </c>
      <c r="M1121" t="s">
        <v>90</v>
      </c>
      <c r="N1121" t="s">
        <v>91</v>
      </c>
      <c r="O1121" s="3">
        <v>100000</v>
      </c>
      <c r="P1121" s="4">
        <v>55</v>
      </c>
      <c r="Q1121" s="2">
        <v>45850</v>
      </c>
      <c r="R1121" s="2">
        <v>46205</v>
      </c>
      <c r="S1121" s="2">
        <v>45825</v>
      </c>
      <c r="T1121" s="2"/>
      <c r="U1121" t="str">
        <f t="shared" si="119"/>
        <v>No</v>
      </c>
      <c r="W11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1" t="str">
        <f t="shared" ca="1" si="120"/>
        <v>Due/Open</v>
      </c>
      <c r="Y1121" t="str">
        <f t="shared" si="121"/>
        <v>Open</v>
      </c>
      <c r="Z1121" t="str">
        <f t="shared" si="122"/>
        <v>May-2025</v>
      </c>
      <c r="AA1121" t="str">
        <f t="shared" si="123"/>
        <v>Q2 2025</v>
      </c>
      <c r="AB1121" s="4">
        <f t="shared" ca="1" si="124"/>
        <v>404</v>
      </c>
      <c r="AC1121" t="str">
        <f t="shared" si="125"/>
        <v>Low</v>
      </c>
    </row>
    <row r="1122" spans="1:29">
      <c r="A1122" t="s">
        <v>4144</v>
      </c>
      <c r="B1122" s="2">
        <v>45729</v>
      </c>
      <c r="C1122" t="s">
        <v>3444</v>
      </c>
      <c r="D1122" t="s">
        <v>1254</v>
      </c>
      <c r="E1122" t="s">
        <v>4145</v>
      </c>
      <c r="F1122" t="s">
        <v>4146</v>
      </c>
      <c r="G1122" t="s">
        <v>34</v>
      </c>
      <c r="H1122" t="s">
        <v>446</v>
      </c>
      <c r="I1122" t="s">
        <v>187</v>
      </c>
      <c r="J1122" t="s">
        <v>124</v>
      </c>
      <c r="K1122" t="s">
        <v>114</v>
      </c>
      <c r="L1122" t="s">
        <v>107</v>
      </c>
      <c r="M1122" t="s">
        <v>53</v>
      </c>
      <c r="N1122" t="s">
        <v>54</v>
      </c>
      <c r="O1122" s="3">
        <v>220000</v>
      </c>
      <c r="P1122" s="4">
        <v>35</v>
      </c>
      <c r="Q1122" s="2">
        <v>45769</v>
      </c>
      <c r="R1122" s="2">
        <v>46217</v>
      </c>
      <c r="S1122" s="2">
        <v>45754</v>
      </c>
      <c r="T1122" s="2"/>
      <c r="U1122" t="str">
        <f t="shared" si="119"/>
        <v>No</v>
      </c>
      <c r="W11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2" t="str">
        <f t="shared" ca="1" si="120"/>
        <v>Due/Open</v>
      </c>
      <c r="Y1122" t="str">
        <f t="shared" si="121"/>
        <v>Open</v>
      </c>
      <c r="Z1122" t="str">
        <f t="shared" si="122"/>
        <v>Mar-2025</v>
      </c>
      <c r="AA1122" t="str">
        <f t="shared" si="123"/>
        <v>Q1 2025</v>
      </c>
      <c r="AB1122" s="4">
        <f t="shared" ca="1" si="124"/>
        <v>470</v>
      </c>
      <c r="AC1122" t="str">
        <f t="shared" si="125"/>
        <v>Medium</v>
      </c>
    </row>
    <row r="1123" spans="1:29">
      <c r="A1123" t="s">
        <v>4147</v>
      </c>
      <c r="B1123" s="2">
        <v>45947</v>
      </c>
      <c r="C1123" t="s">
        <v>379</v>
      </c>
      <c r="D1123" t="s">
        <v>784</v>
      </c>
      <c r="E1123" t="s">
        <v>4148</v>
      </c>
      <c r="F1123" t="s">
        <v>4149</v>
      </c>
      <c r="G1123" t="s">
        <v>47</v>
      </c>
      <c r="H1123" t="s">
        <v>89</v>
      </c>
      <c r="I1123" t="s">
        <v>187</v>
      </c>
      <c r="J1123" t="s">
        <v>124</v>
      </c>
      <c r="K1123" t="s">
        <v>114</v>
      </c>
      <c r="L1123" t="s">
        <v>81</v>
      </c>
      <c r="M1123" t="s">
        <v>90</v>
      </c>
      <c r="N1123" t="s">
        <v>91</v>
      </c>
      <c r="O1123" s="3">
        <v>180000</v>
      </c>
      <c r="P1123" s="4">
        <v>40</v>
      </c>
      <c r="Q1123" s="2">
        <v>46013</v>
      </c>
      <c r="R1123" s="2">
        <v>46182</v>
      </c>
      <c r="S1123" s="2">
        <v>45961</v>
      </c>
      <c r="T1123" s="2"/>
      <c r="U1123" t="str">
        <f t="shared" si="119"/>
        <v>No</v>
      </c>
      <c r="W11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3" t="str">
        <f t="shared" ca="1" si="120"/>
        <v>Overdue</v>
      </c>
      <c r="Y1123" t="str">
        <f t="shared" si="121"/>
        <v>Open</v>
      </c>
      <c r="Z1123" t="str">
        <f t="shared" si="122"/>
        <v>Oct-2025</v>
      </c>
      <c r="AA1123" t="str">
        <f t="shared" si="123"/>
        <v>Q4 2025</v>
      </c>
      <c r="AB1123" s="4">
        <f t="shared" ca="1" si="124"/>
        <v>252</v>
      </c>
      <c r="AC1123" t="str">
        <f t="shared" si="125"/>
        <v>Medium</v>
      </c>
    </row>
    <row r="1124" spans="1:29">
      <c r="A1124" t="s">
        <v>4150</v>
      </c>
      <c r="B1124" s="2">
        <v>46055</v>
      </c>
      <c r="C1124" t="s">
        <v>4151</v>
      </c>
      <c r="D1124" t="s">
        <v>352</v>
      </c>
      <c r="E1124" t="s">
        <v>4152</v>
      </c>
      <c r="F1124" t="s">
        <v>4153</v>
      </c>
      <c r="G1124" t="s">
        <v>34</v>
      </c>
      <c r="H1124" t="s">
        <v>60</v>
      </c>
      <c r="I1124" t="s">
        <v>187</v>
      </c>
      <c r="J1124" t="s">
        <v>62</v>
      </c>
      <c r="K1124" t="s">
        <v>71</v>
      </c>
      <c r="L1124" t="s">
        <v>142</v>
      </c>
      <c r="M1124" t="s">
        <v>166</v>
      </c>
      <c r="N1124" t="s">
        <v>167</v>
      </c>
      <c r="O1124" s="3">
        <v>190000</v>
      </c>
      <c r="P1124" s="4">
        <v>70</v>
      </c>
      <c r="Q1124" s="2">
        <v>46125</v>
      </c>
      <c r="R1124" s="2">
        <v>46223</v>
      </c>
      <c r="S1124" s="2">
        <v>46061</v>
      </c>
      <c r="T1124" s="2"/>
      <c r="U1124" t="str">
        <f t="shared" si="119"/>
        <v>No</v>
      </c>
      <c r="W11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4" t="str">
        <f t="shared" ca="1" si="120"/>
        <v>Due/Open</v>
      </c>
      <c r="Y1124" t="str">
        <f t="shared" si="121"/>
        <v>Open</v>
      </c>
      <c r="Z1124" t="str">
        <f t="shared" si="122"/>
        <v>Feb-2026</v>
      </c>
      <c r="AA1124" t="str">
        <f t="shared" si="123"/>
        <v>Q1 2026</v>
      </c>
      <c r="AB1124" s="4">
        <f t="shared" ca="1" si="124"/>
        <v>144</v>
      </c>
      <c r="AC1124" t="str">
        <f t="shared" si="125"/>
        <v>Medium</v>
      </c>
    </row>
    <row r="1125" spans="1:29">
      <c r="A1125" t="s">
        <v>4154</v>
      </c>
      <c r="B1125" s="2">
        <v>46133</v>
      </c>
      <c r="C1125" t="s">
        <v>516</v>
      </c>
      <c r="D1125" t="s">
        <v>225</v>
      </c>
      <c r="E1125" t="s">
        <v>4155</v>
      </c>
      <c r="F1125" t="s">
        <v>4156</v>
      </c>
      <c r="G1125" t="s">
        <v>47</v>
      </c>
      <c r="H1125" t="s">
        <v>48</v>
      </c>
      <c r="I1125" t="s">
        <v>141</v>
      </c>
      <c r="J1125" t="s">
        <v>124</v>
      </c>
      <c r="K1125" t="s">
        <v>194</v>
      </c>
      <c r="L1125" t="s">
        <v>142</v>
      </c>
      <c r="M1125" t="s">
        <v>90</v>
      </c>
      <c r="N1125" t="s">
        <v>91</v>
      </c>
      <c r="O1125" s="3">
        <v>165000</v>
      </c>
      <c r="P1125" s="4">
        <v>40</v>
      </c>
      <c r="Q1125" s="2">
        <v>46200</v>
      </c>
      <c r="R1125" s="2">
        <v>46203</v>
      </c>
      <c r="S1125" s="2">
        <v>46140</v>
      </c>
      <c r="T1125" s="2"/>
      <c r="U1125" t="str">
        <f t="shared" si="119"/>
        <v>No</v>
      </c>
      <c r="W11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5" t="str">
        <f t="shared" ca="1" si="120"/>
        <v>Due/Open</v>
      </c>
      <c r="Y1125" t="str">
        <f t="shared" si="121"/>
        <v>Open</v>
      </c>
      <c r="Z1125" t="str">
        <f t="shared" si="122"/>
        <v>Apr-2026</v>
      </c>
      <c r="AA1125" t="str">
        <f t="shared" si="123"/>
        <v>Q2 2026</v>
      </c>
      <c r="AB1125" s="4">
        <f t="shared" ca="1" si="124"/>
        <v>66</v>
      </c>
      <c r="AC1125" t="str">
        <f t="shared" si="125"/>
        <v>Medium</v>
      </c>
    </row>
    <row r="1126" spans="1:29">
      <c r="A1126" t="s">
        <v>4157</v>
      </c>
      <c r="B1126" s="2">
        <v>46083</v>
      </c>
      <c r="C1126" t="s">
        <v>551</v>
      </c>
      <c r="D1126" t="s">
        <v>1868</v>
      </c>
      <c r="E1126" t="s">
        <v>4158</v>
      </c>
      <c r="F1126" t="s">
        <v>4159</v>
      </c>
      <c r="G1126" t="s">
        <v>79</v>
      </c>
      <c r="H1126" t="s">
        <v>106</v>
      </c>
      <c r="I1126" t="s">
        <v>98</v>
      </c>
      <c r="J1126" t="s">
        <v>131</v>
      </c>
      <c r="K1126" t="s">
        <v>114</v>
      </c>
      <c r="L1126" t="s">
        <v>107</v>
      </c>
      <c r="M1126" t="s">
        <v>53</v>
      </c>
      <c r="N1126" t="s">
        <v>54</v>
      </c>
      <c r="O1126" s="3">
        <v>160000</v>
      </c>
      <c r="P1126" s="4">
        <v>25</v>
      </c>
      <c r="Q1126" s="2">
        <v>46129</v>
      </c>
      <c r="R1126" s="2">
        <v>46169</v>
      </c>
      <c r="S1126" s="2">
        <v>46091</v>
      </c>
      <c r="T1126" s="2"/>
      <c r="U1126" t="str">
        <f t="shared" si="119"/>
        <v>No</v>
      </c>
      <c r="W11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6" t="str">
        <f t="shared" ca="1" si="120"/>
        <v>Overdue</v>
      </c>
      <c r="Y1126" t="str">
        <f t="shared" si="121"/>
        <v>Open</v>
      </c>
      <c r="Z1126" t="str">
        <f t="shared" si="122"/>
        <v>Mar-2026</v>
      </c>
      <c r="AA1126" t="str">
        <f t="shared" si="123"/>
        <v>Q1 2026</v>
      </c>
      <c r="AB1126" s="4">
        <f t="shared" ca="1" si="124"/>
        <v>116</v>
      </c>
      <c r="AC1126" t="str">
        <f t="shared" si="125"/>
        <v>Medium</v>
      </c>
    </row>
    <row r="1127" spans="1:29">
      <c r="A1127" t="s">
        <v>4160</v>
      </c>
      <c r="B1127" s="2">
        <v>46192</v>
      </c>
      <c r="C1127" t="s">
        <v>483</v>
      </c>
      <c r="D1127" t="s">
        <v>1868</v>
      </c>
      <c r="E1127" t="s">
        <v>4161</v>
      </c>
      <c r="F1127" t="s">
        <v>4162</v>
      </c>
      <c r="G1127" t="s">
        <v>47</v>
      </c>
      <c r="H1127" t="s">
        <v>493</v>
      </c>
      <c r="I1127" t="s">
        <v>98</v>
      </c>
      <c r="J1127" t="s">
        <v>37</v>
      </c>
      <c r="K1127" t="s">
        <v>38</v>
      </c>
      <c r="L1127" t="s">
        <v>115</v>
      </c>
      <c r="M1127" t="s">
        <v>133</v>
      </c>
      <c r="N1127" t="s">
        <v>134</v>
      </c>
      <c r="O1127" s="3">
        <v>150000</v>
      </c>
      <c r="P1127" s="4">
        <v>0</v>
      </c>
      <c r="Q1127" s="2">
        <v>46187</v>
      </c>
      <c r="R1127" s="2"/>
      <c r="S1127" s="2">
        <v>46197</v>
      </c>
      <c r="T1127" s="2">
        <v>46187</v>
      </c>
      <c r="U1127" t="str">
        <f t="shared" si="119"/>
        <v>No</v>
      </c>
      <c r="V1127" t="s">
        <v>276</v>
      </c>
      <c r="W11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>Date Error</v>
      </c>
      <c r="X1127" t="str">
        <f t="shared" ca="1" si="120"/>
        <v>Closed</v>
      </c>
      <c r="Y1127" t="str">
        <f t="shared" si="121"/>
        <v>Closed</v>
      </c>
      <c r="Z1127" t="str">
        <f t="shared" si="122"/>
        <v>Jun-2026</v>
      </c>
      <c r="AA1127" t="str">
        <f t="shared" si="123"/>
        <v>Q2 2026</v>
      </c>
      <c r="AB1127" s="4">
        <f t="shared" ca="1" si="124"/>
        <v>7</v>
      </c>
      <c r="AC1127" t="str">
        <f t="shared" si="125"/>
        <v>Medium</v>
      </c>
    </row>
    <row r="1128" spans="1:29">
      <c r="A1128" t="s">
        <v>4163</v>
      </c>
      <c r="B1128" s="2">
        <v>45921</v>
      </c>
      <c r="C1128" t="s">
        <v>4164</v>
      </c>
      <c r="D1128" t="s">
        <v>293</v>
      </c>
      <c r="E1128" t="s">
        <v>4165</v>
      </c>
      <c r="F1128" t="s">
        <v>4166</v>
      </c>
      <c r="G1128" t="s">
        <v>69</v>
      </c>
      <c r="H1128" t="s">
        <v>200</v>
      </c>
      <c r="I1128" t="s">
        <v>36</v>
      </c>
      <c r="J1128" t="s">
        <v>37</v>
      </c>
      <c r="K1128" t="s">
        <v>114</v>
      </c>
      <c r="L1128" t="s">
        <v>72</v>
      </c>
      <c r="M1128" t="s">
        <v>90</v>
      </c>
      <c r="N1128" t="s">
        <v>91</v>
      </c>
      <c r="O1128" s="3">
        <v>100000</v>
      </c>
      <c r="P1128" s="4">
        <v>55</v>
      </c>
      <c r="Q1128" s="2">
        <v>46016</v>
      </c>
      <c r="R1128" s="2">
        <v>46215</v>
      </c>
      <c r="S1128" s="2">
        <v>45944</v>
      </c>
      <c r="T1128" s="2"/>
      <c r="U1128" t="str">
        <f t="shared" si="119"/>
        <v>No</v>
      </c>
      <c r="W11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8" t="str">
        <f t="shared" ca="1" si="120"/>
        <v>Due/Open</v>
      </c>
      <c r="Y1128" t="str">
        <f t="shared" si="121"/>
        <v>Open</v>
      </c>
      <c r="Z1128" t="str">
        <f t="shared" si="122"/>
        <v>Sep-2025</v>
      </c>
      <c r="AA1128" t="str">
        <f t="shared" si="123"/>
        <v>Q3 2025</v>
      </c>
      <c r="AB1128" s="4">
        <f t="shared" ca="1" si="124"/>
        <v>278</v>
      </c>
      <c r="AC1128" t="str">
        <f t="shared" si="125"/>
        <v>Low</v>
      </c>
    </row>
    <row r="1129" spans="1:29">
      <c r="A1129" t="s">
        <v>4167</v>
      </c>
      <c r="B1129" s="2">
        <v>45919</v>
      </c>
      <c r="C1129" t="s">
        <v>4168</v>
      </c>
      <c r="D1129" t="s">
        <v>1052</v>
      </c>
      <c r="E1129" t="s">
        <v>4169</v>
      </c>
      <c r="F1129" t="s">
        <v>4170</v>
      </c>
      <c r="G1129" t="s">
        <v>69</v>
      </c>
      <c r="H1129" t="s">
        <v>70</v>
      </c>
      <c r="I1129" t="s">
        <v>61</v>
      </c>
      <c r="J1129" t="s">
        <v>37</v>
      </c>
      <c r="K1129" t="s">
        <v>114</v>
      </c>
      <c r="L1129" t="s">
        <v>63</v>
      </c>
      <c r="M1129" t="s">
        <v>116</v>
      </c>
      <c r="N1129" t="s">
        <v>54</v>
      </c>
      <c r="O1129" s="3">
        <v>155000</v>
      </c>
      <c r="P1129" s="4">
        <v>20</v>
      </c>
      <c r="Q1129" s="2">
        <v>45948</v>
      </c>
      <c r="R1129" s="2">
        <v>46174</v>
      </c>
      <c r="S1129" s="2">
        <v>45921</v>
      </c>
      <c r="T1129" s="2"/>
      <c r="U1129" t="str">
        <f t="shared" si="119"/>
        <v>No</v>
      </c>
      <c r="W11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29" t="str">
        <f t="shared" ca="1" si="120"/>
        <v>Overdue</v>
      </c>
      <c r="Y1129" t="str">
        <f t="shared" si="121"/>
        <v>Open</v>
      </c>
      <c r="Z1129" t="str">
        <f t="shared" si="122"/>
        <v>Sep-2025</v>
      </c>
      <c r="AA1129" t="str">
        <f t="shared" si="123"/>
        <v>Q3 2025</v>
      </c>
      <c r="AB1129" s="4">
        <f t="shared" ca="1" si="124"/>
        <v>280</v>
      </c>
      <c r="AC1129" t="str">
        <f t="shared" si="125"/>
        <v>Medium</v>
      </c>
    </row>
    <row r="1130" spans="1:29">
      <c r="A1130" t="s">
        <v>4171</v>
      </c>
      <c r="B1130" s="2">
        <v>46128</v>
      </c>
      <c r="C1130" t="s">
        <v>2457</v>
      </c>
      <c r="D1130" t="s">
        <v>1302</v>
      </c>
      <c r="E1130" t="s">
        <v>4172</v>
      </c>
      <c r="F1130" t="s">
        <v>4173</v>
      </c>
      <c r="G1130" t="s">
        <v>34</v>
      </c>
      <c r="H1130" t="s">
        <v>35</v>
      </c>
      <c r="I1130" t="s">
        <v>36</v>
      </c>
      <c r="J1130" t="s">
        <v>124</v>
      </c>
      <c r="K1130" t="s">
        <v>71</v>
      </c>
      <c r="L1130" t="s">
        <v>72</v>
      </c>
      <c r="M1130" t="s">
        <v>53</v>
      </c>
      <c r="N1130" t="s">
        <v>54</v>
      </c>
      <c r="O1130" s="3">
        <v>310000</v>
      </c>
      <c r="P1130" s="4">
        <v>30</v>
      </c>
      <c r="Q1130" s="2">
        <v>46197</v>
      </c>
      <c r="R1130" s="2">
        <v>46209</v>
      </c>
      <c r="S1130" s="2">
        <v>46135</v>
      </c>
      <c r="T1130" s="2"/>
      <c r="U1130" t="str">
        <f t="shared" si="119"/>
        <v>No</v>
      </c>
      <c r="W11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0" t="str">
        <f t="shared" ca="1" si="120"/>
        <v>Due/Open</v>
      </c>
      <c r="Y1130" t="str">
        <f t="shared" si="121"/>
        <v>Open</v>
      </c>
      <c r="Z1130" t="str">
        <f t="shared" si="122"/>
        <v>Apr-2026</v>
      </c>
      <c r="AA1130" t="str">
        <f t="shared" si="123"/>
        <v>Q2 2026</v>
      </c>
      <c r="AB1130" s="4">
        <f t="shared" ca="1" si="124"/>
        <v>71</v>
      </c>
      <c r="AC1130" t="str">
        <f t="shared" si="125"/>
        <v>High</v>
      </c>
    </row>
    <row r="1131" spans="1:29">
      <c r="A1131" t="s">
        <v>4174</v>
      </c>
      <c r="B1131" s="2">
        <v>45675</v>
      </c>
      <c r="C1131" t="s">
        <v>2389</v>
      </c>
      <c r="D1131" t="s">
        <v>490</v>
      </c>
      <c r="E1131" t="s">
        <v>4175</v>
      </c>
      <c r="F1131" t="s">
        <v>4176</v>
      </c>
      <c r="G1131" t="s">
        <v>79</v>
      </c>
      <c r="H1131" t="s">
        <v>106</v>
      </c>
      <c r="I1131" t="s">
        <v>148</v>
      </c>
      <c r="J1131" t="s">
        <v>62</v>
      </c>
      <c r="K1131" t="s">
        <v>38</v>
      </c>
      <c r="L1131" t="s">
        <v>125</v>
      </c>
      <c r="M1131" t="s">
        <v>166</v>
      </c>
      <c r="N1131" t="s">
        <v>167</v>
      </c>
      <c r="O1131" s="3">
        <v>230000</v>
      </c>
      <c r="P1131" s="4">
        <v>65</v>
      </c>
      <c r="Q1131" s="2">
        <v>45696</v>
      </c>
      <c r="R1131" s="2">
        <v>46233</v>
      </c>
      <c r="S1131" s="2">
        <v>45683</v>
      </c>
      <c r="T1131" s="2"/>
      <c r="U1131" t="str">
        <f t="shared" si="119"/>
        <v>No</v>
      </c>
      <c r="W11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1" t="str">
        <f t="shared" ca="1" si="120"/>
        <v>Due/Open</v>
      </c>
      <c r="Y1131" t="str">
        <f t="shared" si="121"/>
        <v>Open</v>
      </c>
      <c r="Z1131" t="str">
        <f t="shared" si="122"/>
        <v>Jan-2025</v>
      </c>
      <c r="AA1131" t="str">
        <f t="shared" si="123"/>
        <v>Q1 2025</v>
      </c>
      <c r="AB1131" s="4">
        <f t="shared" ca="1" si="124"/>
        <v>524</v>
      </c>
      <c r="AC1131" t="str">
        <f t="shared" si="125"/>
        <v>Medium</v>
      </c>
    </row>
    <row r="1132" spans="1:29">
      <c r="A1132" t="s">
        <v>4177</v>
      </c>
      <c r="B1132" s="2">
        <v>45747</v>
      </c>
      <c r="C1132" t="s">
        <v>454</v>
      </c>
      <c r="D1132" t="s">
        <v>1254</v>
      </c>
      <c r="E1132" t="s">
        <v>4178</v>
      </c>
      <c r="F1132" t="s">
        <v>4179</v>
      </c>
      <c r="G1132" t="s">
        <v>69</v>
      </c>
      <c r="H1132" t="s">
        <v>285</v>
      </c>
      <c r="I1132" t="s">
        <v>141</v>
      </c>
      <c r="J1132" t="s">
        <v>131</v>
      </c>
      <c r="K1132" t="s">
        <v>194</v>
      </c>
      <c r="L1132" t="s">
        <v>63</v>
      </c>
      <c r="M1132" t="s">
        <v>90</v>
      </c>
      <c r="N1132" t="s">
        <v>91</v>
      </c>
      <c r="O1132" s="3">
        <v>305000</v>
      </c>
      <c r="P1132" s="4">
        <v>50</v>
      </c>
      <c r="Q1132" s="2">
        <v>45783</v>
      </c>
      <c r="R1132" s="2">
        <v>46223</v>
      </c>
      <c r="S1132" s="2">
        <v>45751</v>
      </c>
      <c r="T1132" s="2"/>
      <c r="U1132" t="str">
        <f t="shared" si="119"/>
        <v>No</v>
      </c>
      <c r="W11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2" t="str">
        <f t="shared" ca="1" si="120"/>
        <v>Due/Open</v>
      </c>
      <c r="Y1132" t="str">
        <f t="shared" si="121"/>
        <v>Open</v>
      </c>
      <c r="Z1132" t="str">
        <f t="shared" si="122"/>
        <v>Mar-2025</v>
      </c>
      <c r="AA1132" t="str">
        <f t="shared" si="123"/>
        <v>Q1 2025</v>
      </c>
      <c r="AB1132" s="4">
        <f t="shared" ca="1" si="124"/>
        <v>452</v>
      </c>
      <c r="AC1132" t="str">
        <f t="shared" si="125"/>
        <v>High</v>
      </c>
    </row>
    <row r="1133" spans="1:29">
      <c r="A1133" t="s">
        <v>4180</v>
      </c>
      <c r="B1133" s="2">
        <v>46092</v>
      </c>
      <c r="C1133" t="s">
        <v>1415</v>
      </c>
      <c r="D1133" t="s">
        <v>852</v>
      </c>
      <c r="E1133" t="s">
        <v>4181</v>
      </c>
      <c r="F1133" t="s">
        <v>4182</v>
      </c>
      <c r="G1133" t="s">
        <v>34</v>
      </c>
      <c r="H1133" t="s">
        <v>173</v>
      </c>
      <c r="I1133" t="s">
        <v>36</v>
      </c>
      <c r="J1133" t="s">
        <v>124</v>
      </c>
      <c r="K1133" t="s">
        <v>100</v>
      </c>
      <c r="L1133" t="s">
        <v>81</v>
      </c>
      <c r="M1133" t="s">
        <v>210</v>
      </c>
      <c r="N1133" t="s">
        <v>134</v>
      </c>
      <c r="O1133" s="3">
        <v>300000</v>
      </c>
      <c r="P1133" s="4">
        <v>0</v>
      </c>
      <c r="Q1133" s="2">
        <v>46155</v>
      </c>
      <c r="R1133" s="2"/>
      <c r="S1133" s="2">
        <v>46098</v>
      </c>
      <c r="T1133" s="2">
        <v>46155</v>
      </c>
      <c r="U1133" t="str">
        <f t="shared" si="119"/>
        <v>No</v>
      </c>
      <c r="V1133" t="s">
        <v>452</v>
      </c>
      <c r="W11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1133" t="str">
        <f t="shared" ca="1" si="120"/>
        <v>Closed</v>
      </c>
      <c r="Y1133" t="str">
        <f t="shared" si="121"/>
        <v>Closed</v>
      </c>
      <c r="Z1133" t="str">
        <f t="shared" si="122"/>
        <v>Mar-2026</v>
      </c>
      <c r="AA1133" t="str">
        <f t="shared" si="123"/>
        <v>Q1 2026</v>
      </c>
      <c r="AB1133" s="4">
        <f t="shared" ca="1" si="124"/>
        <v>107</v>
      </c>
      <c r="AC1133" t="str">
        <f t="shared" si="125"/>
        <v>High</v>
      </c>
    </row>
    <row r="1134" spans="1:29">
      <c r="A1134" t="s">
        <v>4183</v>
      </c>
      <c r="B1134" s="2">
        <v>46043</v>
      </c>
      <c r="C1134" t="s">
        <v>4184</v>
      </c>
      <c r="D1134" t="s">
        <v>299</v>
      </c>
      <c r="E1134" t="s">
        <v>4185</v>
      </c>
      <c r="F1134" t="s">
        <v>4186</v>
      </c>
      <c r="G1134" t="s">
        <v>34</v>
      </c>
      <c r="H1134" t="s">
        <v>446</v>
      </c>
      <c r="I1134" t="s">
        <v>98</v>
      </c>
      <c r="J1134" t="s">
        <v>131</v>
      </c>
      <c r="K1134" t="s">
        <v>51</v>
      </c>
      <c r="L1134" t="s">
        <v>81</v>
      </c>
      <c r="M1134" t="s">
        <v>82</v>
      </c>
      <c r="N1134" t="s">
        <v>83</v>
      </c>
      <c r="O1134" s="3">
        <v>170000</v>
      </c>
      <c r="P1134" s="4">
        <v>10</v>
      </c>
      <c r="Q1134" s="2">
        <v>46073</v>
      </c>
      <c r="R1134" s="2">
        <v>46204</v>
      </c>
      <c r="S1134" s="2">
        <v>46062</v>
      </c>
      <c r="T1134" s="2"/>
      <c r="U1134" t="str">
        <f t="shared" si="119"/>
        <v>No</v>
      </c>
      <c r="W11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4" t="str">
        <f t="shared" ca="1" si="120"/>
        <v>Due/Open</v>
      </c>
      <c r="Y1134" t="str">
        <f t="shared" si="121"/>
        <v>Open</v>
      </c>
      <c r="Z1134" t="str">
        <f t="shared" si="122"/>
        <v>Jan-2026</v>
      </c>
      <c r="AA1134" t="str">
        <f t="shared" si="123"/>
        <v>Q1 2026</v>
      </c>
      <c r="AB1134" s="4">
        <f t="shared" ca="1" si="124"/>
        <v>156</v>
      </c>
      <c r="AC1134" t="str">
        <f t="shared" si="125"/>
        <v>Medium</v>
      </c>
    </row>
    <row r="1135" spans="1:29">
      <c r="A1135" t="s">
        <v>4187</v>
      </c>
      <c r="B1135" s="2">
        <v>46078</v>
      </c>
      <c r="C1135" t="s">
        <v>3222</v>
      </c>
      <c r="D1135" t="s">
        <v>1245</v>
      </c>
      <c r="E1135" t="s">
        <v>4188</v>
      </c>
      <c r="F1135" t="s">
        <v>4189</v>
      </c>
      <c r="G1135" t="s">
        <v>179</v>
      </c>
      <c r="H1135" t="s">
        <v>436</v>
      </c>
      <c r="I1135" t="s">
        <v>187</v>
      </c>
      <c r="J1135" t="s">
        <v>131</v>
      </c>
      <c r="K1135" t="s">
        <v>114</v>
      </c>
      <c r="L1135" t="s">
        <v>39</v>
      </c>
      <c r="M1135" t="s">
        <v>53</v>
      </c>
      <c r="N1135" t="s">
        <v>54</v>
      </c>
      <c r="O1135" s="3">
        <v>100000</v>
      </c>
      <c r="P1135" s="4">
        <v>25</v>
      </c>
      <c r="Q1135" s="2">
        <v>46141</v>
      </c>
      <c r="R1135" s="2">
        <v>46169</v>
      </c>
      <c r="S1135" s="2">
        <v>46082</v>
      </c>
      <c r="T1135" s="2"/>
      <c r="U1135" t="str">
        <f t="shared" si="119"/>
        <v>No</v>
      </c>
      <c r="W11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5" t="str">
        <f t="shared" ca="1" si="120"/>
        <v>Overdue</v>
      </c>
      <c r="Y1135" t="str">
        <f t="shared" si="121"/>
        <v>Open</v>
      </c>
      <c r="Z1135" t="str">
        <f t="shared" si="122"/>
        <v>Feb-2026</v>
      </c>
      <c r="AA1135" t="str">
        <f t="shared" si="123"/>
        <v>Q1 2026</v>
      </c>
      <c r="AB1135" s="4">
        <f t="shared" ca="1" si="124"/>
        <v>121</v>
      </c>
      <c r="AC1135" t="str">
        <f t="shared" si="125"/>
        <v>Low</v>
      </c>
    </row>
    <row r="1136" spans="1:29">
      <c r="A1136" t="s">
        <v>4190</v>
      </c>
      <c r="B1136" s="2">
        <v>45915</v>
      </c>
      <c r="C1136" t="s">
        <v>4191</v>
      </c>
      <c r="D1136" t="s">
        <v>552</v>
      </c>
      <c r="E1136" t="s">
        <v>4192</v>
      </c>
      <c r="F1136" t="s">
        <v>4193</v>
      </c>
      <c r="G1136" t="s">
        <v>69</v>
      </c>
      <c r="H1136" t="s">
        <v>200</v>
      </c>
      <c r="I1136" t="s">
        <v>98</v>
      </c>
      <c r="J1136" t="s">
        <v>124</v>
      </c>
      <c r="K1136" t="s">
        <v>114</v>
      </c>
      <c r="L1136" t="s">
        <v>39</v>
      </c>
      <c r="M1136" t="s">
        <v>90</v>
      </c>
      <c r="N1136" t="s">
        <v>91</v>
      </c>
      <c r="O1136" s="3">
        <v>320000</v>
      </c>
      <c r="P1136" s="4">
        <v>40</v>
      </c>
      <c r="Q1136" s="2">
        <v>45955</v>
      </c>
      <c r="R1136" s="2">
        <v>46162</v>
      </c>
      <c r="S1136" s="2">
        <v>45920</v>
      </c>
      <c r="T1136" s="2"/>
      <c r="U1136" t="str">
        <f t="shared" si="119"/>
        <v>No</v>
      </c>
      <c r="W11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6" t="str">
        <f t="shared" ca="1" si="120"/>
        <v>Overdue</v>
      </c>
      <c r="Y1136" t="str">
        <f t="shared" si="121"/>
        <v>Open</v>
      </c>
      <c r="Z1136" t="str">
        <f t="shared" si="122"/>
        <v>Sep-2025</v>
      </c>
      <c r="AA1136" t="str">
        <f t="shared" si="123"/>
        <v>Q3 2025</v>
      </c>
      <c r="AB1136" s="4">
        <f t="shared" ca="1" si="124"/>
        <v>284</v>
      </c>
      <c r="AC1136" t="str">
        <f t="shared" si="125"/>
        <v>High</v>
      </c>
    </row>
    <row r="1137" spans="1:29">
      <c r="A1137" t="s">
        <v>4194</v>
      </c>
      <c r="B1137" s="2">
        <v>45847</v>
      </c>
      <c r="C1137" t="s">
        <v>1996</v>
      </c>
      <c r="D1137" t="s">
        <v>464</v>
      </c>
      <c r="E1137" t="s">
        <v>4195</v>
      </c>
      <c r="F1137" t="s">
        <v>4196</v>
      </c>
      <c r="G1137" t="s">
        <v>34</v>
      </c>
      <c r="H1137" t="s">
        <v>160</v>
      </c>
      <c r="I1137" t="s">
        <v>61</v>
      </c>
      <c r="J1137" t="s">
        <v>131</v>
      </c>
      <c r="K1137" t="s">
        <v>194</v>
      </c>
      <c r="L1137" t="s">
        <v>115</v>
      </c>
      <c r="M1137" t="s">
        <v>40</v>
      </c>
      <c r="N1137" t="s">
        <v>41</v>
      </c>
      <c r="O1137" s="3">
        <v>195000</v>
      </c>
      <c r="P1137" s="4">
        <v>100</v>
      </c>
      <c r="Q1137" s="2">
        <v>45923</v>
      </c>
      <c r="R1137" s="2"/>
      <c r="S1137" s="2">
        <v>45872</v>
      </c>
      <c r="T1137" s="2">
        <v>45923</v>
      </c>
      <c r="U1137" t="str">
        <f t="shared" si="119"/>
        <v>Yes</v>
      </c>
      <c r="W11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76</v>
      </c>
      <c r="X1137" t="str">
        <f t="shared" ca="1" si="120"/>
        <v>Closed</v>
      </c>
      <c r="Y1137" t="str">
        <f t="shared" si="121"/>
        <v>Closed</v>
      </c>
      <c r="Z1137" t="str">
        <f t="shared" si="122"/>
        <v>Jul-2025</v>
      </c>
      <c r="AA1137" t="str">
        <f t="shared" si="123"/>
        <v>Q3 2025</v>
      </c>
      <c r="AB1137" s="4">
        <f t="shared" ca="1" si="124"/>
        <v>352</v>
      </c>
      <c r="AC1137" t="str">
        <f t="shared" si="125"/>
        <v>Medium</v>
      </c>
    </row>
    <row r="1138" spans="1:29">
      <c r="A1138" t="s">
        <v>4197</v>
      </c>
      <c r="B1138" s="2">
        <v>46104</v>
      </c>
      <c r="C1138" t="s">
        <v>4184</v>
      </c>
      <c r="D1138" t="s">
        <v>1315</v>
      </c>
      <c r="E1138" t="s">
        <v>4198</v>
      </c>
      <c r="F1138" t="s">
        <v>4199</v>
      </c>
      <c r="G1138" t="s">
        <v>69</v>
      </c>
      <c r="H1138" t="s">
        <v>270</v>
      </c>
      <c r="I1138" t="s">
        <v>61</v>
      </c>
      <c r="J1138" t="s">
        <v>37</v>
      </c>
      <c r="K1138" t="s">
        <v>114</v>
      </c>
      <c r="L1138" t="s">
        <v>107</v>
      </c>
      <c r="M1138" t="s">
        <v>116</v>
      </c>
      <c r="N1138" t="s">
        <v>54</v>
      </c>
      <c r="O1138" s="3">
        <v>160000</v>
      </c>
      <c r="P1138" s="4">
        <v>20</v>
      </c>
      <c r="Q1138" s="2">
        <v>46170</v>
      </c>
      <c r="R1138" s="2">
        <v>46201</v>
      </c>
      <c r="S1138" s="2">
        <v>46122</v>
      </c>
      <c r="T1138" s="2"/>
      <c r="U1138" t="str">
        <f t="shared" si="119"/>
        <v>No</v>
      </c>
      <c r="W11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38" t="str">
        <f t="shared" ca="1" si="120"/>
        <v>Due/Open</v>
      </c>
      <c r="Y1138" t="str">
        <f t="shared" si="121"/>
        <v>Open</v>
      </c>
      <c r="Z1138" t="str">
        <f t="shared" si="122"/>
        <v>Mar-2026</v>
      </c>
      <c r="AA1138" t="str">
        <f t="shared" si="123"/>
        <v>Q1 2026</v>
      </c>
      <c r="AB1138" s="4">
        <f t="shared" ca="1" si="124"/>
        <v>95</v>
      </c>
      <c r="AC1138" t="str">
        <f t="shared" si="125"/>
        <v>Medium</v>
      </c>
    </row>
    <row r="1139" spans="1:29">
      <c r="A1139" t="s">
        <v>4200</v>
      </c>
      <c r="B1139" s="2">
        <v>45987</v>
      </c>
      <c r="C1139" t="s">
        <v>1644</v>
      </c>
      <c r="D1139" t="s">
        <v>1269</v>
      </c>
      <c r="E1139" t="s">
        <v>4201</v>
      </c>
      <c r="F1139" t="s">
        <v>4202</v>
      </c>
      <c r="G1139" t="s">
        <v>179</v>
      </c>
      <c r="H1139" t="s">
        <v>186</v>
      </c>
      <c r="I1139" t="s">
        <v>36</v>
      </c>
      <c r="J1139" t="s">
        <v>37</v>
      </c>
      <c r="K1139" t="s">
        <v>194</v>
      </c>
      <c r="L1139" t="s">
        <v>39</v>
      </c>
      <c r="M1139" t="s">
        <v>40</v>
      </c>
      <c r="N1139" t="s">
        <v>41</v>
      </c>
      <c r="O1139" s="3">
        <v>135000</v>
      </c>
      <c r="P1139" s="4">
        <v>100</v>
      </c>
      <c r="Q1139" s="2">
        <v>46005</v>
      </c>
      <c r="R1139" s="2"/>
      <c r="S1139" s="2">
        <v>46014</v>
      </c>
      <c r="T1139" s="2">
        <v>46005</v>
      </c>
      <c r="U1139" t="str">
        <f t="shared" si="119"/>
        <v>Yes</v>
      </c>
      <c r="W113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18</v>
      </c>
      <c r="X1139" t="str">
        <f t="shared" ca="1" si="120"/>
        <v>Closed</v>
      </c>
      <c r="Y1139" t="str">
        <f t="shared" si="121"/>
        <v>Closed</v>
      </c>
      <c r="Z1139" t="str">
        <f t="shared" si="122"/>
        <v>Nov-2025</v>
      </c>
      <c r="AA1139" t="str">
        <f t="shared" si="123"/>
        <v>Q4 2025</v>
      </c>
      <c r="AB1139" s="4">
        <f t="shared" ca="1" si="124"/>
        <v>212</v>
      </c>
      <c r="AC1139" t="str">
        <f t="shared" si="125"/>
        <v>Medium</v>
      </c>
    </row>
    <row r="1140" spans="1:29">
      <c r="A1140" t="s">
        <v>4203</v>
      </c>
      <c r="B1140" s="2">
        <v>45954</v>
      </c>
      <c r="C1140" t="s">
        <v>4151</v>
      </c>
      <c r="D1140" t="s">
        <v>1030</v>
      </c>
      <c r="E1140" t="s">
        <v>4204</v>
      </c>
      <c r="F1140" t="s">
        <v>4205</v>
      </c>
      <c r="G1140" t="s">
        <v>179</v>
      </c>
      <c r="H1140" t="s">
        <v>487</v>
      </c>
      <c r="I1140" t="s">
        <v>98</v>
      </c>
      <c r="J1140" t="s">
        <v>50</v>
      </c>
      <c r="K1140" t="s">
        <v>38</v>
      </c>
      <c r="L1140" t="s">
        <v>52</v>
      </c>
      <c r="M1140" t="s">
        <v>82</v>
      </c>
      <c r="N1140" t="s">
        <v>83</v>
      </c>
      <c r="O1140" s="3">
        <v>310000</v>
      </c>
      <c r="P1140" s="4">
        <v>5</v>
      </c>
      <c r="Q1140" s="2">
        <v>46046</v>
      </c>
      <c r="R1140" s="2">
        <v>46178</v>
      </c>
      <c r="S1140" s="2">
        <v>45963</v>
      </c>
      <c r="T1140" s="2"/>
      <c r="U1140" t="str">
        <f t="shared" si="119"/>
        <v>No</v>
      </c>
      <c r="W11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0" t="str">
        <f t="shared" ca="1" si="120"/>
        <v>Overdue</v>
      </c>
      <c r="Y1140" t="str">
        <f t="shared" si="121"/>
        <v>Open</v>
      </c>
      <c r="Z1140" t="str">
        <f t="shared" si="122"/>
        <v>Oct-2025</v>
      </c>
      <c r="AA1140" t="str">
        <f t="shared" si="123"/>
        <v>Q4 2025</v>
      </c>
      <c r="AB1140" s="4">
        <f t="shared" ca="1" si="124"/>
        <v>245</v>
      </c>
      <c r="AC1140" t="str">
        <f t="shared" si="125"/>
        <v>High</v>
      </c>
    </row>
    <row r="1141" spans="1:29">
      <c r="A1141" t="s">
        <v>4206</v>
      </c>
      <c r="B1141" s="2">
        <v>45981</v>
      </c>
      <c r="C1141" t="s">
        <v>675</v>
      </c>
      <c r="D1141" t="s">
        <v>581</v>
      </c>
      <c r="E1141" t="s">
        <v>4207</v>
      </c>
      <c r="F1141" t="s">
        <v>4208</v>
      </c>
      <c r="G1141" t="s">
        <v>79</v>
      </c>
      <c r="H1141" t="s">
        <v>80</v>
      </c>
      <c r="I1141" t="s">
        <v>36</v>
      </c>
      <c r="J1141" t="s">
        <v>131</v>
      </c>
      <c r="K1141" t="s">
        <v>194</v>
      </c>
      <c r="L1141" t="s">
        <v>72</v>
      </c>
      <c r="M1141" t="s">
        <v>53</v>
      </c>
      <c r="N1141" t="s">
        <v>54</v>
      </c>
      <c r="O1141" s="3">
        <v>220000</v>
      </c>
      <c r="P1141" s="4">
        <v>35</v>
      </c>
      <c r="Q1141" s="2">
        <v>46062</v>
      </c>
      <c r="R1141" s="2">
        <v>46215</v>
      </c>
      <c r="S1141" s="2">
        <v>46004</v>
      </c>
      <c r="T1141" s="2"/>
      <c r="U1141" t="str">
        <f t="shared" si="119"/>
        <v>No</v>
      </c>
      <c r="W11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1" t="str">
        <f t="shared" ca="1" si="120"/>
        <v>Due/Open</v>
      </c>
      <c r="Y1141" t="str">
        <f t="shared" si="121"/>
        <v>Open</v>
      </c>
      <c r="Z1141" t="str">
        <f t="shared" si="122"/>
        <v>Nov-2025</v>
      </c>
      <c r="AA1141" t="str">
        <f t="shared" si="123"/>
        <v>Q4 2025</v>
      </c>
      <c r="AB1141" s="4">
        <f t="shared" ca="1" si="124"/>
        <v>218</v>
      </c>
      <c r="AC1141" t="str">
        <f t="shared" si="125"/>
        <v>Medium</v>
      </c>
    </row>
    <row r="1142" spans="1:29">
      <c r="A1142" t="s">
        <v>4209</v>
      </c>
      <c r="B1142" s="2">
        <v>46147</v>
      </c>
      <c r="C1142" t="s">
        <v>2378</v>
      </c>
      <c r="D1142" t="s">
        <v>522</v>
      </c>
      <c r="E1142" t="s">
        <v>4210</v>
      </c>
      <c r="F1142" t="s">
        <v>4211</v>
      </c>
      <c r="G1142" t="s">
        <v>69</v>
      </c>
      <c r="H1142" t="s">
        <v>270</v>
      </c>
      <c r="I1142" t="s">
        <v>187</v>
      </c>
      <c r="J1142" t="s">
        <v>37</v>
      </c>
      <c r="K1142" t="s">
        <v>100</v>
      </c>
      <c r="L1142" t="s">
        <v>52</v>
      </c>
      <c r="M1142" t="s">
        <v>116</v>
      </c>
      <c r="N1142" t="s">
        <v>54</v>
      </c>
      <c r="O1142" s="3">
        <v>105000</v>
      </c>
      <c r="P1142" s="4">
        <v>20</v>
      </c>
      <c r="Q1142" s="2">
        <v>46216</v>
      </c>
      <c r="R1142" s="2">
        <v>46216</v>
      </c>
      <c r="S1142" s="2">
        <v>46166</v>
      </c>
      <c r="T1142" s="2"/>
      <c r="U1142" t="str">
        <f t="shared" si="119"/>
        <v>No</v>
      </c>
      <c r="W11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2" t="str">
        <f t="shared" ca="1" si="120"/>
        <v>Due/Open</v>
      </c>
      <c r="Y1142" t="str">
        <f t="shared" si="121"/>
        <v>Open</v>
      </c>
      <c r="Z1142" t="str">
        <f t="shared" si="122"/>
        <v>May-2026</v>
      </c>
      <c r="AA1142" t="str">
        <f t="shared" si="123"/>
        <v>Q2 2026</v>
      </c>
      <c r="AB1142" s="4">
        <f t="shared" ca="1" si="124"/>
        <v>52</v>
      </c>
      <c r="AC1142" t="str">
        <f t="shared" si="125"/>
        <v>Low</v>
      </c>
    </row>
    <row r="1143" spans="1:29">
      <c r="A1143" t="s">
        <v>4212</v>
      </c>
      <c r="B1143" s="2">
        <v>46179</v>
      </c>
      <c r="C1143" t="s">
        <v>2079</v>
      </c>
      <c r="D1143" t="s">
        <v>103</v>
      </c>
      <c r="E1143" t="s">
        <v>4213</v>
      </c>
      <c r="F1143" t="s">
        <v>4214</v>
      </c>
      <c r="G1143" t="s">
        <v>47</v>
      </c>
      <c r="H1143" t="s">
        <v>89</v>
      </c>
      <c r="I1143" t="s">
        <v>98</v>
      </c>
      <c r="J1143" t="s">
        <v>124</v>
      </c>
      <c r="K1143" t="s">
        <v>38</v>
      </c>
      <c r="L1143" t="s">
        <v>52</v>
      </c>
      <c r="M1143" t="s">
        <v>133</v>
      </c>
      <c r="N1143" t="s">
        <v>134</v>
      </c>
      <c r="O1143" s="3">
        <v>230000</v>
      </c>
      <c r="P1143" s="4">
        <v>0</v>
      </c>
      <c r="Q1143" s="2">
        <v>46197</v>
      </c>
      <c r="R1143" s="2"/>
      <c r="S1143" s="2">
        <v>46195</v>
      </c>
      <c r="T1143" s="2">
        <v>46197</v>
      </c>
      <c r="U1143" t="str">
        <f t="shared" si="119"/>
        <v>No</v>
      </c>
      <c r="V1143" t="s">
        <v>211</v>
      </c>
      <c r="W11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18</v>
      </c>
      <c r="X1143" t="str">
        <f t="shared" ca="1" si="120"/>
        <v>Closed</v>
      </c>
      <c r="Y1143" t="str">
        <f t="shared" si="121"/>
        <v>Closed</v>
      </c>
      <c r="Z1143" t="str">
        <f t="shared" si="122"/>
        <v>Jun-2026</v>
      </c>
      <c r="AA1143" t="str">
        <f t="shared" si="123"/>
        <v>Q2 2026</v>
      </c>
      <c r="AB1143" s="4">
        <f t="shared" ca="1" si="124"/>
        <v>20</v>
      </c>
      <c r="AC1143" t="str">
        <f t="shared" si="125"/>
        <v>Medium</v>
      </c>
    </row>
    <row r="1144" spans="1:29">
      <c r="A1144" t="s">
        <v>4215</v>
      </c>
      <c r="B1144" s="2">
        <v>45795</v>
      </c>
      <c r="C1144" t="s">
        <v>1490</v>
      </c>
      <c r="D1144" t="s">
        <v>1404</v>
      </c>
      <c r="E1144" t="s">
        <v>4216</v>
      </c>
      <c r="F1144" t="s">
        <v>4217</v>
      </c>
      <c r="G1144" t="s">
        <v>179</v>
      </c>
      <c r="H1144" t="s">
        <v>487</v>
      </c>
      <c r="I1144" t="s">
        <v>49</v>
      </c>
      <c r="J1144" t="s">
        <v>50</v>
      </c>
      <c r="K1144" t="s">
        <v>100</v>
      </c>
      <c r="L1144" t="s">
        <v>132</v>
      </c>
      <c r="M1144" t="s">
        <v>116</v>
      </c>
      <c r="N1144" t="s">
        <v>54</v>
      </c>
      <c r="O1144" s="3">
        <v>360000</v>
      </c>
      <c r="P1144" s="4">
        <v>20</v>
      </c>
      <c r="Q1144" s="2">
        <v>45860</v>
      </c>
      <c r="R1144" s="2">
        <v>46170</v>
      </c>
      <c r="S1144" s="2">
        <v>45819</v>
      </c>
      <c r="T1144" s="2"/>
      <c r="U1144" t="str">
        <f t="shared" si="119"/>
        <v>No</v>
      </c>
      <c r="W11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4" t="str">
        <f t="shared" ca="1" si="120"/>
        <v>Overdue</v>
      </c>
      <c r="Y1144" t="str">
        <f t="shared" si="121"/>
        <v>Open</v>
      </c>
      <c r="Z1144" t="str">
        <f t="shared" si="122"/>
        <v>May-2025</v>
      </c>
      <c r="AA1144" t="str">
        <f t="shared" si="123"/>
        <v>Q2 2025</v>
      </c>
      <c r="AB1144" s="4">
        <f t="shared" ca="1" si="124"/>
        <v>404</v>
      </c>
      <c r="AC1144" t="str">
        <f t="shared" si="125"/>
        <v>High</v>
      </c>
    </row>
    <row r="1145" spans="1:29">
      <c r="A1145" t="s">
        <v>4218</v>
      </c>
      <c r="B1145" s="2">
        <v>46008</v>
      </c>
      <c r="C1145" t="s">
        <v>4219</v>
      </c>
      <c r="D1145" t="s">
        <v>1017</v>
      </c>
      <c r="E1145" t="s">
        <v>4220</v>
      </c>
      <c r="F1145" t="s">
        <v>4221</v>
      </c>
      <c r="G1145" t="s">
        <v>69</v>
      </c>
      <c r="H1145" t="s">
        <v>312</v>
      </c>
      <c r="I1145" t="s">
        <v>98</v>
      </c>
      <c r="J1145" t="s">
        <v>50</v>
      </c>
      <c r="K1145" t="s">
        <v>51</v>
      </c>
      <c r="L1145" t="s">
        <v>154</v>
      </c>
      <c r="M1145" t="s">
        <v>166</v>
      </c>
      <c r="N1145" t="s">
        <v>167</v>
      </c>
      <c r="O1145" s="3">
        <v>180000</v>
      </c>
      <c r="P1145" s="4">
        <v>60</v>
      </c>
      <c r="Q1145" s="2">
        <v>46068</v>
      </c>
      <c r="R1145" s="2">
        <v>46217</v>
      </c>
      <c r="S1145" s="2">
        <v>46020</v>
      </c>
      <c r="T1145" s="2"/>
      <c r="U1145" t="str">
        <f t="shared" si="119"/>
        <v>No</v>
      </c>
      <c r="W11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5" t="str">
        <f t="shared" ca="1" si="120"/>
        <v>Due/Open</v>
      </c>
      <c r="Y1145" t="str">
        <f t="shared" si="121"/>
        <v>Open</v>
      </c>
      <c r="Z1145" t="str">
        <f t="shared" si="122"/>
        <v>Dec-2025</v>
      </c>
      <c r="AA1145" t="str">
        <f t="shared" si="123"/>
        <v>Q4 2025</v>
      </c>
      <c r="AB1145" s="4">
        <f t="shared" ca="1" si="124"/>
        <v>191</v>
      </c>
      <c r="AC1145" t="str">
        <f t="shared" si="125"/>
        <v>Medium</v>
      </c>
    </row>
    <row r="1146" spans="1:29">
      <c r="A1146" t="s">
        <v>4222</v>
      </c>
      <c r="B1146" s="2">
        <v>46134</v>
      </c>
      <c r="C1146" t="s">
        <v>4223</v>
      </c>
      <c r="D1146" t="s">
        <v>2897</v>
      </c>
      <c r="E1146" t="s">
        <v>4224</v>
      </c>
      <c r="F1146" t="s">
        <v>4225</v>
      </c>
      <c r="G1146" t="s">
        <v>179</v>
      </c>
      <c r="H1146" t="s">
        <v>318</v>
      </c>
      <c r="I1146" t="s">
        <v>141</v>
      </c>
      <c r="J1146" t="s">
        <v>124</v>
      </c>
      <c r="K1146" t="s">
        <v>100</v>
      </c>
      <c r="L1146" t="s">
        <v>142</v>
      </c>
      <c r="M1146" t="s">
        <v>40</v>
      </c>
      <c r="N1146" t="s">
        <v>41</v>
      </c>
      <c r="O1146" s="3">
        <v>210000</v>
      </c>
      <c r="P1146" s="4">
        <v>100</v>
      </c>
      <c r="Q1146" s="2">
        <v>46169</v>
      </c>
      <c r="R1146" s="2"/>
      <c r="S1146" s="2">
        <v>46146</v>
      </c>
      <c r="T1146" s="2">
        <v>46169</v>
      </c>
      <c r="U1146" t="str">
        <f t="shared" si="119"/>
        <v>Yes</v>
      </c>
      <c r="W11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1146" t="str">
        <f t="shared" ca="1" si="120"/>
        <v>Closed</v>
      </c>
      <c r="Y1146" t="str">
        <f t="shared" si="121"/>
        <v>Closed</v>
      </c>
      <c r="Z1146" t="str">
        <f t="shared" si="122"/>
        <v>Apr-2026</v>
      </c>
      <c r="AA1146" t="str">
        <f t="shared" si="123"/>
        <v>Q2 2026</v>
      </c>
      <c r="AB1146" s="4">
        <f t="shared" ca="1" si="124"/>
        <v>65</v>
      </c>
      <c r="AC1146" t="str">
        <f t="shared" si="125"/>
        <v>Medium</v>
      </c>
    </row>
    <row r="1147" spans="1:29">
      <c r="A1147" t="s">
        <v>4226</v>
      </c>
      <c r="B1147" s="2">
        <v>46116</v>
      </c>
      <c r="C1147" t="s">
        <v>2305</v>
      </c>
      <c r="D1147" t="s">
        <v>573</v>
      </c>
      <c r="E1147" t="s">
        <v>4227</v>
      </c>
      <c r="F1147" t="s">
        <v>4228</v>
      </c>
      <c r="G1147" t="s">
        <v>34</v>
      </c>
      <c r="H1147" t="s">
        <v>35</v>
      </c>
      <c r="I1147" t="s">
        <v>141</v>
      </c>
      <c r="J1147" t="s">
        <v>62</v>
      </c>
      <c r="K1147" t="s">
        <v>38</v>
      </c>
      <c r="L1147" t="s">
        <v>115</v>
      </c>
      <c r="M1147" t="s">
        <v>116</v>
      </c>
      <c r="N1147" t="s">
        <v>54</v>
      </c>
      <c r="O1147" s="3">
        <v>325000</v>
      </c>
      <c r="P1147" s="4">
        <v>15</v>
      </c>
      <c r="Q1147" s="2">
        <v>46150</v>
      </c>
      <c r="R1147" s="2">
        <v>46200</v>
      </c>
      <c r="S1147" s="2">
        <v>46122</v>
      </c>
      <c r="T1147" s="2"/>
      <c r="U1147" t="str">
        <f t="shared" si="119"/>
        <v>No</v>
      </c>
      <c r="W11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7" t="str">
        <f t="shared" ca="1" si="120"/>
        <v>Due/Open</v>
      </c>
      <c r="Y1147" t="str">
        <f t="shared" si="121"/>
        <v>Open</v>
      </c>
      <c r="Z1147" t="str">
        <f t="shared" si="122"/>
        <v>Apr-2026</v>
      </c>
      <c r="AA1147" t="str">
        <f t="shared" si="123"/>
        <v>Q2 2026</v>
      </c>
      <c r="AB1147" s="4">
        <f t="shared" ca="1" si="124"/>
        <v>83</v>
      </c>
      <c r="AC1147" t="str">
        <f t="shared" si="125"/>
        <v>High</v>
      </c>
    </row>
    <row r="1148" spans="1:29">
      <c r="A1148" t="s">
        <v>4229</v>
      </c>
      <c r="B1148" s="2">
        <v>45754</v>
      </c>
      <c r="C1148" t="s">
        <v>2086</v>
      </c>
      <c r="D1148" t="s">
        <v>710</v>
      </c>
      <c r="E1148" t="s">
        <v>4230</v>
      </c>
      <c r="F1148" t="s">
        <v>4231</v>
      </c>
      <c r="G1148" t="s">
        <v>179</v>
      </c>
      <c r="H1148" t="s">
        <v>296</v>
      </c>
      <c r="I1148" t="s">
        <v>36</v>
      </c>
      <c r="J1148" t="s">
        <v>62</v>
      </c>
      <c r="K1148" t="s">
        <v>51</v>
      </c>
      <c r="L1148" t="s">
        <v>39</v>
      </c>
      <c r="M1148" t="s">
        <v>133</v>
      </c>
      <c r="N1148" t="s">
        <v>134</v>
      </c>
      <c r="O1148" s="3">
        <v>365000</v>
      </c>
      <c r="P1148" s="4">
        <v>0</v>
      </c>
      <c r="Q1148" s="2">
        <v>45827</v>
      </c>
      <c r="R1148" s="2"/>
      <c r="S1148" s="2">
        <v>45784</v>
      </c>
      <c r="T1148" s="2">
        <v>45827</v>
      </c>
      <c r="U1148" t="str">
        <f t="shared" si="119"/>
        <v>No</v>
      </c>
      <c r="V1148" t="s">
        <v>276</v>
      </c>
      <c r="W114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73</v>
      </c>
      <c r="X1148" t="str">
        <f t="shared" ca="1" si="120"/>
        <v>Closed</v>
      </c>
      <c r="Y1148" t="str">
        <f t="shared" si="121"/>
        <v>Closed</v>
      </c>
      <c r="Z1148" t="str">
        <f t="shared" si="122"/>
        <v>Apr-2025</v>
      </c>
      <c r="AA1148" t="str">
        <f t="shared" si="123"/>
        <v>Q2 2025</v>
      </c>
      <c r="AB1148" s="4">
        <f t="shared" ca="1" si="124"/>
        <v>445</v>
      </c>
      <c r="AC1148" t="str">
        <f t="shared" si="125"/>
        <v>High</v>
      </c>
    </row>
    <row r="1149" spans="1:29">
      <c r="A1149" t="s">
        <v>4232</v>
      </c>
      <c r="B1149" s="2">
        <v>45858</v>
      </c>
      <c r="C1149" t="s">
        <v>2741</v>
      </c>
      <c r="D1149" t="s">
        <v>1072</v>
      </c>
      <c r="E1149" t="s">
        <v>4233</v>
      </c>
      <c r="F1149" t="s">
        <v>4234</v>
      </c>
      <c r="G1149" t="s">
        <v>179</v>
      </c>
      <c r="H1149" t="s">
        <v>180</v>
      </c>
      <c r="I1149" t="s">
        <v>36</v>
      </c>
      <c r="J1149" t="s">
        <v>62</v>
      </c>
      <c r="K1149" t="s">
        <v>100</v>
      </c>
      <c r="L1149" t="s">
        <v>132</v>
      </c>
      <c r="M1149" t="s">
        <v>73</v>
      </c>
      <c r="N1149" t="s">
        <v>73</v>
      </c>
      <c r="O1149" s="3">
        <v>125000</v>
      </c>
      <c r="P1149" s="4">
        <v>85</v>
      </c>
      <c r="Q1149" s="2">
        <v>45894</v>
      </c>
      <c r="R1149" s="2">
        <v>46195</v>
      </c>
      <c r="S1149" s="2">
        <v>45872</v>
      </c>
      <c r="T1149" s="2"/>
      <c r="U1149" t="str">
        <f t="shared" si="119"/>
        <v>No</v>
      </c>
      <c r="W11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49" t="str">
        <f t="shared" ca="1" si="120"/>
        <v>Overdue</v>
      </c>
      <c r="Y1149" t="str">
        <f t="shared" si="121"/>
        <v>Open</v>
      </c>
      <c r="Z1149" t="str">
        <f t="shared" si="122"/>
        <v>Jul-2025</v>
      </c>
      <c r="AA1149" t="str">
        <f t="shared" si="123"/>
        <v>Q3 2025</v>
      </c>
      <c r="AB1149" s="4">
        <f t="shared" ca="1" si="124"/>
        <v>341</v>
      </c>
      <c r="AC1149" t="str">
        <f t="shared" si="125"/>
        <v>Medium</v>
      </c>
    </row>
    <row r="1150" spans="1:29">
      <c r="A1150" t="s">
        <v>4235</v>
      </c>
      <c r="B1150" s="2">
        <v>46006</v>
      </c>
      <c r="C1150" t="s">
        <v>577</v>
      </c>
      <c r="D1150" t="s">
        <v>767</v>
      </c>
      <c r="E1150" t="s">
        <v>4236</v>
      </c>
      <c r="F1150" t="s">
        <v>4237</v>
      </c>
      <c r="G1150" t="s">
        <v>34</v>
      </c>
      <c r="H1150" t="s">
        <v>238</v>
      </c>
      <c r="I1150" t="s">
        <v>61</v>
      </c>
      <c r="J1150" t="s">
        <v>37</v>
      </c>
      <c r="K1150" t="s">
        <v>51</v>
      </c>
      <c r="L1150" t="s">
        <v>72</v>
      </c>
      <c r="M1150" t="s">
        <v>90</v>
      </c>
      <c r="N1150" t="s">
        <v>91</v>
      </c>
      <c r="O1150" s="3">
        <v>125000</v>
      </c>
      <c r="P1150" s="4">
        <v>55</v>
      </c>
      <c r="Q1150" s="2">
        <v>46062</v>
      </c>
      <c r="R1150" s="2">
        <v>46237</v>
      </c>
      <c r="S1150" s="2">
        <v>46036</v>
      </c>
      <c r="T1150" s="2"/>
      <c r="U1150" t="str">
        <f t="shared" si="119"/>
        <v>No</v>
      </c>
      <c r="W11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0" t="str">
        <f t="shared" ca="1" si="120"/>
        <v>Due/Open</v>
      </c>
      <c r="Y1150" t="str">
        <f t="shared" si="121"/>
        <v>Open</v>
      </c>
      <c r="Z1150" t="str">
        <f t="shared" si="122"/>
        <v>Dec-2025</v>
      </c>
      <c r="AA1150" t="str">
        <f t="shared" si="123"/>
        <v>Q4 2025</v>
      </c>
      <c r="AB1150" s="4">
        <f t="shared" ca="1" si="124"/>
        <v>193</v>
      </c>
      <c r="AC1150" t="str">
        <f t="shared" si="125"/>
        <v>Medium</v>
      </c>
    </row>
    <row r="1151" spans="1:29">
      <c r="A1151" t="s">
        <v>4238</v>
      </c>
      <c r="B1151" s="2">
        <v>45827</v>
      </c>
      <c r="C1151" t="s">
        <v>4239</v>
      </c>
      <c r="D1151" t="s">
        <v>1335</v>
      </c>
      <c r="E1151" t="s">
        <v>4240</v>
      </c>
      <c r="F1151" t="s">
        <v>4241</v>
      </c>
      <c r="G1151" t="s">
        <v>79</v>
      </c>
      <c r="H1151" t="s">
        <v>97</v>
      </c>
      <c r="I1151" t="s">
        <v>61</v>
      </c>
      <c r="J1151" t="s">
        <v>131</v>
      </c>
      <c r="K1151" t="s">
        <v>38</v>
      </c>
      <c r="L1151" t="s">
        <v>107</v>
      </c>
      <c r="M1151" t="s">
        <v>53</v>
      </c>
      <c r="N1151" t="s">
        <v>54</v>
      </c>
      <c r="O1151" s="3">
        <v>275000</v>
      </c>
      <c r="P1151" s="4">
        <v>25</v>
      </c>
      <c r="Q1151" s="2">
        <v>45872</v>
      </c>
      <c r="R1151" s="2">
        <v>46233</v>
      </c>
      <c r="S1151" s="2">
        <v>45828</v>
      </c>
      <c r="T1151" s="2"/>
      <c r="U1151" t="str">
        <f t="shared" si="119"/>
        <v>No</v>
      </c>
      <c r="W11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1" t="str">
        <f t="shared" ca="1" si="120"/>
        <v>Due/Open</v>
      </c>
      <c r="Y1151" t="str">
        <f t="shared" si="121"/>
        <v>Open</v>
      </c>
      <c r="Z1151" t="str">
        <f t="shared" si="122"/>
        <v>Jun-2025</v>
      </c>
      <c r="AA1151" t="str">
        <f t="shared" si="123"/>
        <v>Q2 2025</v>
      </c>
      <c r="AB1151" s="4">
        <f t="shared" ca="1" si="124"/>
        <v>372</v>
      </c>
      <c r="AC1151" t="str">
        <f t="shared" si="125"/>
        <v>Medium</v>
      </c>
    </row>
    <row r="1152" spans="1:29">
      <c r="A1152" t="s">
        <v>4242</v>
      </c>
      <c r="B1152" s="2">
        <v>45822</v>
      </c>
      <c r="C1152" t="s">
        <v>3805</v>
      </c>
      <c r="D1152" t="s">
        <v>57</v>
      </c>
      <c r="E1152" t="s">
        <v>4243</v>
      </c>
      <c r="F1152" t="s">
        <v>4244</v>
      </c>
      <c r="G1152" t="s">
        <v>79</v>
      </c>
      <c r="H1152" t="s">
        <v>80</v>
      </c>
      <c r="I1152" t="s">
        <v>49</v>
      </c>
      <c r="J1152" t="s">
        <v>99</v>
      </c>
      <c r="K1152" t="s">
        <v>114</v>
      </c>
      <c r="L1152" t="s">
        <v>115</v>
      </c>
      <c r="M1152" t="s">
        <v>40</v>
      </c>
      <c r="N1152" t="s">
        <v>41</v>
      </c>
      <c r="O1152" s="3">
        <v>490000</v>
      </c>
      <c r="P1152" s="4">
        <v>100</v>
      </c>
      <c r="Q1152" s="2">
        <v>45869</v>
      </c>
      <c r="R1152" s="2"/>
      <c r="S1152" s="2">
        <v>45847</v>
      </c>
      <c r="T1152" s="2">
        <v>45869</v>
      </c>
      <c r="U1152" t="str">
        <f t="shared" si="119"/>
        <v>Yes</v>
      </c>
      <c r="W115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1152" t="str">
        <f t="shared" ca="1" si="120"/>
        <v>Closed</v>
      </c>
      <c r="Y1152" t="str">
        <f t="shared" si="121"/>
        <v>Closed</v>
      </c>
      <c r="Z1152" t="str">
        <f t="shared" si="122"/>
        <v>Jun-2025</v>
      </c>
      <c r="AA1152" t="str">
        <f t="shared" si="123"/>
        <v>Q2 2025</v>
      </c>
      <c r="AB1152" s="4">
        <f t="shared" ca="1" si="124"/>
        <v>377</v>
      </c>
      <c r="AC1152" t="str">
        <f t="shared" si="125"/>
        <v>High</v>
      </c>
    </row>
    <row r="1153" spans="1:29">
      <c r="A1153" t="s">
        <v>4245</v>
      </c>
      <c r="B1153" s="2">
        <v>45885</v>
      </c>
      <c r="C1153" t="s">
        <v>4246</v>
      </c>
      <c r="D1153" t="s">
        <v>31</v>
      </c>
      <c r="E1153" t="s">
        <v>4247</v>
      </c>
      <c r="F1153" t="s">
        <v>4248</v>
      </c>
      <c r="G1153" t="s">
        <v>47</v>
      </c>
      <c r="H1153" t="s">
        <v>48</v>
      </c>
      <c r="I1153" t="s">
        <v>141</v>
      </c>
      <c r="J1153" t="s">
        <v>62</v>
      </c>
      <c r="K1153" t="s">
        <v>38</v>
      </c>
      <c r="L1153" t="s">
        <v>81</v>
      </c>
      <c r="M1153" t="s">
        <v>73</v>
      </c>
      <c r="N1153" t="s">
        <v>73</v>
      </c>
      <c r="O1153" s="3">
        <v>440000</v>
      </c>
      <c r="P1153" s="4">
        <v>80</v>
      </c>
      <c r="Q1153" s="2">
        <v>45912</v>
      </c>
      <c r="R1153" s="2">
        <v>46182</v>
      </c>
      <c r="S1153" s="2">
        <v>45886</v>
      </c>
      <c r="T1153" s="2"/>
      <c r="U1153" t="str">
        <f t="shared" si="119"/>
        <v>No</v>
      </c>
      <c r="W11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3" t="str">
        <f t="shared" ca="1" si="120"/>
        <v>Overdue</v>
      </c>
      <c r="Y1153" t="str">
        <f t="shared" si="121"/>
        <v>Open</v>
      </c>
      <c r="Z1153" t="str">
        <f t="shared" si="122"/>
        <v>Aug-2025</v>
      </c>
      <c r="AA1153" t="str">
        <f t="shared" si="123"/>
        <v>Q3 2025</v>
      </c>
      <c r="AB1153" s="4">
        <f t="shared" ca="1" si="124"/>
        <v>314</v>
      </c>
      <c r="AC1153" t="str">
        <f t="shared" si="125"/>
        <v>High</v>
      </c>
    </row>
    <row r="1154" spans="1:29">
      <c r="A1154" t="s">
        <v>4249</v>
      </c>
      <c r="B1154" s="2">
        <v>45990</v>
      </c>
      <c r="C1154" t="s">
        <v>336</v>
      </c>
      <c r="D1154" t="s">
        <v>304</v>
      </c>
      <c r="E1154" t="s">
        <v>4250</v>
      </c>
      <c r="F1154" t="s">
        <v>4251</v>
      </c>
      <c r="G1154" t="s">
        <v>34</v>
      </c>
      <c r="H1154" t="s">
        <v>160</v>
      </c>
      <c r="I1154" t="s">
        <v>187</v>
      </c>
      <c r="J1154" t="s">
        <v>62</v>
      </c>
      <c r="K1154" t="s">
        <v>38</v>
      </c>
      <c r="L1154" t="s">
        <v>39</v>
      </c>
      <c r="M1154" t="s">
        <v>90</v>
      </c>
      <c r="N1154" t="s">
        <v>91</v>
      </c>
      <c r="O1154" s="3">
        <v>345000</v>
      </c>
      <c r="P1154" s="4">
        <v>50</v>
      </c>
      <c r="Q1154" s="2">
        <v>46022</v>
      </c>
      <c r="R1154" s="2">
        <v>46194</v>
      </c>
      <c r="S1154" s="2">
        <v>45993</v>
      </c>
      <c r="T1154" s="2"/>
      <c r="U1154" t="str">
        <f t="shared" ref="U1154:U1217" si="126">IF(M1154="Converted","Yes","No")</f>
        <v>No</v>
      </c>
      <c r="W11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4" t="str">
        <f t="shared" ref="X1154:X1217" ca="1" si="127">IF(OR(M1154="Converted",M1154="Lost",M1154="Not Interested"),"Closed",IF(R1154&lt;TODAY(),"Overdue","Due/Open"))</f>
        <v>Overdue</v>
      </c>
      <c r="Y1154" t="str">
        <f t="shared" ref="Y1154:Y1217" si="128">IF(OR(M1154="Converted",M1154="Lost",M1154="Not Interested"),"Closed","Open")</f>
        <v>Open</v>
      </c>
      <c r="Z1154" t="str">
        <f t="shared" ref="Z1154:Z1217" si="129">TEXT(B1154,"mmm-yyyy")</f>
        <v>Nov-2025</v>
      </c>
      <c r="AA1154" t="str">
        <f t="shared" ref="AA1154:AA1217" si="130">"Q"&amp;ROUNDUP(MONTH(B1154)/3,0)&amp;" "&amp;YEAR(B1154)</f>
        <v>Q4 2025</v>
      </c>
      <c r="AB1154" s="4">
        <f t="shared" ref="AB1154:AB1217" ca="1" si="131">TODAY()-B1154</f>
        <v>209</v>
      </c>
      <c r="AC1154" t="str">
        <f t="shared" ref="AC1154:AC1217" si="132">IF(O1154&gt;=300000,"High",IF(O1154&gt;=120000,"Medium","Low"))</f>
        <v>High</v>
      </c>
    </row>
    <row r="1155" spans="1:29">
      <c r="A1155" t="s">
        <v>4252</v>
      </c>
      <c r="B1155" s="2">
        <v>45868</v>
      </c>
      <c r="C1155" t="s">
        <v>511</v>
      </c>
      <c r="D1155" t="s">
        <v>190</v>
      </c>
      <c r="E1155" t="s">
        <v>4253</v>
      </c>
      <c r="F1155" t="s">
        <v>4254</v>
      </c>
      <c r="G1155" t="s">
        <v>79</v>
      </c>
      <c r="H1155" t="s">
        <v>80</v>
      </c>
      <c r="I1155" t="s">
        <v>98</v>
      </c>
      <c r="J1155" t="s">
        <v>99</v>
      </c>
      <c r="K1155" t="s">
        <v>38</v>
      </c>
      <c r="L1155" t="s">
        <v>107</v>
      </c>
      <c r="M1155" t="s">
        <v>90</v>
      </c>
      <c r="N1155" t="s">
        <v>91</v>
      </c>
      <c r="O1155" s="3">
        <v>160000</v>
      </c>
      <c r="P1155" s="4">
        <v>50</v>
      </c>
      <c r="Q1155" s="2">
        <v>45941</v>
      </c>
      <c r="R1155" s="2">
        <v>46220</v>
      </c>
      <c r="S1155" s="2">
        <v>45885</v>
      </c>
      <c r="T1155" s="2"/>
      <c r="U1155" t="str">
        <f t="shared" si="126"/>
        <v>No</v>
      </c>
      <c r="W11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5" t="str">
        <f t="shared" ca="1" si="127"/>
        <v>Due/Open</v>
      </c>
      <c r="Y1155" t="str">
        <f t="shared" si="128"/>
        <v>Open</v>
      </c>
      <c r="Z1155" t="str">
        <f t="shared" si="129"/>
        <v>Jul-2025</v>
      </c>
      <c r="AA1155" t="str">
        <f t="shared" si="130"/>
        <v>Q3 2025</v>
      </c>
      <c r="AB1155" s="4">
        <f t="shared" ca="1" si="131"/>
        <v>331</v>
      </c>
      <c r="AC1155" t="str">
        <f t="shared" si="132"/>
        <v>Medium</v>
      </c>
    </row>
    <row r="1156" spans="1:29">
      <c r="A1156" t="s">
        <v>4255</v>
      </c>
      <c r="B1156" s="2">
        <v>45761</v>
      </c>
      <c r="C1156" t="s">
        <v>2250</v>
      </c>
      <c r="D1156" t="s">
        <v>225</v>
      </c>
      <c r="E1156" t="s">
        <v>4256</v>
      </c>
      <c r="F1156" t="s">
        <v>4257</v>
      </c>
      <c r="G1156" t="s">
        <v>69</v>
      </c>
      <c r="H1156" t="s">
        <v>70</v>
      </c>
      <c r="I1156" t="s">
        <v>49</v>
      </c>
      <c r="J1156" t="s">
        <v>99</v>
      </c>
      <c r="K1156" t="s">
        <v>38</v>
      </c>
      <c r="L1156" t="s">
        <v>81</v>
      </c>
      <c r="M1156" t="s">
        <v>166</v>
      </c>
      <c r="N1156" t="s">
        <v>167</v>
      </c>
      <c r="O1156" s="3">
        <v>630000</v>
      </c>
      <c r="P1156" s="4">
        <v>70</v>
      </c>
      <c r="Q1156" s="2">
        <v>45788</v>
      </c>
      <c r="R1156" s="2">
        <v>46169</v>
      </c>
      <c r="S1156" s="2">
        <v>45788</v>
      </c>
      <c r="T1156" s="2"/>
      <c r="U1156" t="str">
        <f t="shared" si="126"/>
        <v>No</v>
      </c>
      <c r="W11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6" t="str">
        <f t="shared" ca="1" si="127"/>
        <v>Overdue</v>
      </c>
      <c r="Y1156" t="str">
        <f t="shared" si="128"/>
        <v>Open</v>
      </c>
      <c r="Z1156" t="str">
        <f t="shared" si="129"/>
        <v>Apr-2025</v>
      </c>
      <c r="AA1156" t="str">
        <f t="shared" si="130"/>
        <v>Q2 2025</v>
      </c>
      <c r="AB1156" s="4">
        <f t="shared" ca="1" si="131"/>
        <v>438</v>
      </c>
      <c r="AC1156" t="str">
        <f t="shared" si="132"/>
        <v>High</v>
      </c>
    </row>
    <row r="1157" spans="1:29">
      <c r="A1157" t="s">
        <v>4258</v>
      </c>
      <c r="B1157" s="2">
        <v>46023</v>
      </c>
      <c r="C1157" t="s">
        <v>1494</v>
      </c>
      <c r="D1157" t="s">
        <v>2704</v>
      </c>
      <c r="E1157" t="s">
        <v>4259</v>
      </c>
      <c r="F1157" t="s">
        <v>4260</v>
      </c>
      <c r="G1157" t="s">
        <v>79</v>
      </c>
      <c r="H1157" t="s">
        <v>217</v>
      </c>
      <c r="I1157" t="s">
        <v>61</v>
      </c>
      <c r="J1157" t="s">
        <v>99</v>
      </c>
      <c r="K1157" t="s">
        <v>114</v>
      </c>
      <c r="L1157" t="s">
        <v>72</v>
      </c>
      <c r="M1157" t="s">
        <v>53</v>
      </c>
      <c r="N1157" t="s">
        <v>54</v>
      </c>
      <c r="O1157" s="3">
        <v>570000</v>
      </c>
      <c r="P1157" s="4">
        <v>35</v>
      </c>
      <c r="Q1157" s="2">
        <v>46054</v>
      </c>
      <c r="R1157" s="2">
        <v>46156</v>
      </c>
      <c r="S1157" s="2">
        <v>46043</v>
      </c>
      <c r="T1157" s="2"/>
      <c r="U1157" t="str">
        <f t="shared" si="126"/>
        <v>No</v>
      </c>
      <c r="W11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7" t="str">
        <f t="shared" ca="1" si="127"/>
        <v>Overdue</v>
      </c>
      <c r="Y1157" t="str">
        <f t="shared" si="128"/>
        <v>Open</v>
      </c>
      <c r="Z1157" t="str">
        <f t="shared" si="129"/>
        <v>Jan-2026</v>
      </c>
      <c r="AA1157" t="str">
        <f t="shared" si="130"/>
        <v>Q1 2026</v>
      </c>
      <c r="AB1157" s="4">
        <f t="shared" ca="1" si="131"/>
        <v>176</v>
      </c>
      <c r="AC1157" t="str">
        <f t="shared" si="132"/>
        <v>High</v>
      </c>
    </row>
    <row r="1158" spans="1:29">
      <c r="A1158" t="s">
        <v>4261</v>
      </c>
      <c r="B1158" s="2">
        <v>45893</v>
      </c>
      <c r="C1158" t="s">
        <v>1502</v>
      </c>
      <c r="D1158" t="s">
        <v>767</v>
      </c>
      <c r="E1158" t="s">
        <v>4262</v>
      </c>
      <c r="F1158" t="s">
        <v>4263</v>
      </c>
      <c r="G1158" t="s">
        <v>47</v>
      </c>
      <c r="H1158" t="s">
        <v>89</v>
      </c>
      <c r="I1158" t="s">
        <v>141</v>
      </c>
      <c r="J1158" t="s">
        <v>124</v>
      </c>
      <c r="K1158" t="s">
        <v>100</v>
      </c>
      <c r="L1158" t="s">
        <v>63</v>
      </c>
      <c r="M1158" t="s">
        <v>90</v>
      </c>
      <c r="N1158" t="s">
        <v>91</v>
      </c>
      <c r="O1158" s="3">
        <v>305000</v>
      </c>
      <c r="P1158" s="4">
        <v>55</v>
      </c>
      <c r="Q1158" s="2">
        <v>45914</v>
      </c>
      <c r="R1158" s="2">
        <v>46208</v>
      </c>
      <c r="S1158" s="2">
        <v>45918</v>
      </c>
      <c r="T1158" s="2"/>
      <c r="U1158" t="str">
        <f t="shared" si="126"/>
        <v>No</v>
      </c>
      <c r="W11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8" t="str">
        <f t="shared" ca="1" si="127"/>
        <v>Due/Open</v>
      </c>
      <c r="Y1158" t="str">
        <f t="shared" si="128"/>
        <v>Open</v>
      </c>
      <c r="Z1158" t="str">
        <f t="shared" si="129"/>
        <v>Aug-2025</v>
      </c>
      <c r="AA1158" t="str">
        <f t="shared" si="130"/>
        <v>Q3 2025</v>
      </c>
      <c r="AB1158" s="4">
        <f t="shared" ca="1" si="131"/>
        <v>306</v>
      </c>
      <c r="AC1158" t="str">
        <f t="shared" si="132"/>
        <v>High</v>
      </c>
    </row>
    <row r="1159" spans="1:29">
      <c r="A1159" t="s">
        <v>4264</v>
      </c>
      <c r="B1159" s="2">
        <v>45769</v>
      </c>
      <c r="C1159" t="s">
        <v>860</v>
      </c>
      <c r="D1159" t="s">
        <v>715</v>
      </c>
      <c r="E1159" t="s">
        <v>4265</v>
      </c>
      <c r="F1159" t="s">
        <v>4266</v>
      </c>
      <c r="G1159" t="s">
        <v>34</v>
      </c>
      <c r="H1159" t="s">
        <v>60</v>
      </c>
      <c r="I1159" t="s">
        <v>98</v>
      </c>
      <c r="J1159" t="s">
        <v>62</v>
      </c>
      <c r="K1159" t="s">
        <v>51</v>
      </c>
      <c r="L1159" t="s">
        <v>52</v>
      </c>
      <c r="M1159" t="s">
        <v>53</v>
      </c>
      <c r="N1159" t="s">
        <v>54</v>
      </c>
      <c r="O1159" s="3">
        <v>415000</v>
      </c>
      <c r="P1159" s="4">
        <v>25</v>
      </c>
      <c r="Q1159" s="2">
        <v>45829</v>
      </c>
      <c r="R1159" s="2">
        <v>46229</v>
      </c>
      <c r="S1159" s="2">
        <v>45788</v>
      </c>
      <c r="T1159" s="2"/>
      <c r="U1159" t="str">
        <f t="shared" si="126"/>
        <v>No</v>
      </c>
      <c r="W11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59" t="str">
        <f t="shared" ca="1" si="127"/>
        <v>Due/Open</v>
      </c>
      <c r="Y1159" t="str">
        <f t="shared" si="128"/>
        <v>Open</v>
      </c>
      <c r="Z1159" t="str">
        <f t="shared" si="129"/>
        <v>Apr-2025</v>
      </c>
      <c r="AA1159" t="str">
        <f t="shared" si="130"/>
        <v>Q2 2025</v>
      </c>
      <c r="AB1159" s="4">
        <f t="shared" ca="1" si="131"/>
        <v>430</v>
      </c>
      <c r="AC1159" t="str">
        <f t="shared" si="132"/>
        <v>High</v>
      </c>
    </row>
    <row r="1160" spans="1:29">
      <c r="A1160" t="s">
        <v>4267</v>
      </c>
      <c r="B1160" s="2">
        <v>46068</v>
      </c>
      <c r="C1160" t="s">
        <v>2194</v>
      </c>
      <c r="D1160" t="s">
        <v>1560</v>
      </c>
      <c r="E1160" t="s">
        <v>4268</v>
      </c>
      <c r="F1160" t="s">
        <v>4269</v>
      </c>
      <c r="G1160" t="s">
        <v>34</v>
      </c>
      <c r="H1160" t="s">
        <v>60</v>
      </c>
      <c r="I1160" t="s">
        <v>49</v>
      </c>
      <c r="J1160" t="s">
        <v>62</v>
      </c>
      <c r="K1160" t="s">
        <v>114</v>
      </c>
      <c r="L1160" t="s">
        <v>72</v>
      </c>
      <c r="M1160" t="s">
        <v>210</v>
      </c>
      <c r="N1160" t="s">
        <v>134</v>
      </c>
      <c r="O1160" s="3">
        <v>330000</v>
      </c>
      <c r="P1160" s="4">
        <v>0</v>
      </c>
      <c r="Q1160" s="2">
        <v>46132</v>
      </c>
      <c r="R1160" s="2"/>
      <c r="S1160" s="2">
        <v>46081</v>
      </c>
      <c r="T1160" s="2">
        <v>46132</v>
      </c>
      <c r="U1160" t="str">
        <f t="shared" si="126"/>
        <v>No</v>
      </c>
      <c r="V1160" t="s">
        <v>452</v>
      </c>
      <c r="W116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64</v>
      </c>
      <c r="X1160" t="str">
        <f t="shared" ca="1" si="127"/>
        <v>Closed</v>
      </c>
      <c r="Y1160" t="str">
        <f t="shared" si="128"/>
        <v>Closed</v>
      </c>
      <c r="Z1160" t="str">
        <f t="shared" si="129"/>
        <v>Feb-2026</v>
      </c>
      <c r="AA1160" t="str">
        <f t="shared" si="130"/>
        <v>Q1 2026</v>
      </c>
      <c r="AB1160" s="4">
        <f t="shared" ca="1" si="131"/>
        <v>131</v>
      </c>
      <c r="AC1160" t="str">
        <f t="shared" si="132"/>
        <v>High</v>
      </c>
    </row>
    <row r="1161" spans="1:29">
      <c r="A1161" t="s">
        <v>4270</v>
      </c>
      <c r="B1161" s="2">
        <v>45671</v>
      </c>
      <c r="C1161" t="s">
        <v>622</v>
      </c>
      <c r="D1161" t="s">
        <v>103</v>
      </c>
      <c r="E1161" t="s">
        <v>4271</v>
      </c>
      <c r="F1161" t="s">
        <v>4272</v>
      </c>
      <c r="G1161" t="s">
        <v>47</v>
      </c>
      <c r="H1161" t="s">
        <v>89</v>
      </c>
      <c r="I1161" t="s">
        <v>148</v>
      </c>
      <c r="J1161" t="s">
        <v>62</v>
      </c>
      <c r="K1161" t="s">
        <v>194</v>
      </c>
      <c r="L1161" t="s">
        <v>132</v>
      </c>
      <c r="M1161" t="s">
        <v>40</v>
      </c>
      <c r="N1161" t="s">
        <v>41</v>
      </c>
      <c r="O1161" s="3">
        <v>385000</v>
      </c>
      <c r="P1161" s="4">
        <v>100</v>
      </c>
      <c r="Q1161" s="2">
        <v>45699</v>
      </c>
      <c r="R1161" s="2"/>
      <c r="S1161" s="2">
        <v>45692</v>
      </c>
      <c r="T1161" s="2">
        <v>45699</v>
      </c>
      <c r="U1161" t="str">
        <f t="shared" si="126"/>
        <v>Yes</v>
      </c>
      <c r="W116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1161" t="str">
        <f t="shared" ca="1" si="127"/>
        <v>Closed</v>
      </c>
      <c r="Y1161" t="str">
        <f t="shared" si="128"/>
        <v>Closed</v>
      </c>
      <c r="Z1161" t="str">
        <f t="shared" si="129"/>
        <v>Jan-2025</v>
      </c>
      <c r="AA1161" t="str">
        <f t="shared" si="130"/>
        <v>Q1 2025</v>
      </c>
      <c r="AB1161" s="4">
        <f t="shared" ca="1" si="131"/>
        <v>528</v>
      </c>
      <c r="AC1161" t="str">
        <f t="shared" si="132"/>
        <v>High</v>
      </c>
    </row>
    <row r="1162" spans="1:29">
      <c r="A1162" t="s">
        <v>4273</v>
      </c>
      <c r="B1162" s="2">
        <v>46033</v>
      </c>
      <c r="C1162" t="s">
        <v>3507</v>
      </c>
      <c r="D1162" t="s">
        <v>151</v>
      </c>
      <c r="E1162" t="s">
        <v>4274</v>
      </c>
      <c r="F1162" t="s">
        <v>4275</v>
      </c>
      <c r="G1162" t="s">
        <v>79</v>
      </c>
      <c r="H1162" t="s">
        <v>217</v>
      </c>
      <c r="I1162" t="s">
        <v>49</v>
      </c>
      <c r="J1162" t="s">
        <v>62</v>
      </c>
      <c r="K1162" t="s">
        <v>51</v>
      </c>
      <c r="L1162" t="s">
        <v>52</v>
      </c>
      <c r="M1162" t="s">
        <v>82</v>
      </c>
      <c r="N1162" t="s">
        <v>83</v>
      </c>
      <c r="O1162" s="3">
        <v>425000</v>
      </c>
      <c r="P1162" s="4">
        <v>10</v>
      </c>
      <c r="Q1162" s="2">
        <v>46121</v>
      </c>
      <c r="R1162" s="2">
        <v>46189</v>
      </c>
      <c r="S1162" s="2">
        <v>46056</v>
      </c>
      <c r="T1162" s="2"/>
      <c r="U1162" t="str">
        <f t="shared" si="126"/>
        <v>No</v>
      </c>
      <c r="W11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2" t="str">
        <f t="shared" ca="1" si="127"/>
        <v>Overdue</v>
      </c>
      <c r="Y1162" t="str">
        <f t="shared" si="128"/>
        <v>Open</v>
      </c>
      <c r="Z1162" t="str">
        <f t="shared" si="129"/>
        <v>Jan-2026</v>
      </c>
      <c r="AA1162" t="str">
        <f t="shared" si="130"/>
        <v>Q1 2026</v>
      </c>
      <c r="AB1162" s="4">
        <f t="shared" ca="1" si="131"/>
        <v>166</v>
      </c>
      <c r="AC1162" t="str">
        <f t="shared" si="132"/>
        <v>High</v>
      </c>
    </row>
    <row r="1163" spans="1:29">
      <c r="A1163" t="s">
        <v>4276</v>
      </c>
      <c r="B1163" s="2">
        <v>45692</v>
      </c>
      <c r="C1163" t="s">
        <v>3410</v>
      </c>
      <c r="D1163" t="s">
        <v>904</v>
      </c>
      <c r="E1163" t="s">
        <v>4277</v>
      </c>
      <c r="F1163" t="s">
        <v>4278</v>
      </c>
      <c r="G1163" t="s">
        <v>69</v>
      </c>
      <c r="H1163" t="s">
        <v>200</v>
      </c>
      <c r="I1163" t="s">
        <v>49</v>
      </c>
      <c r="J1163" t="s">
        <v>99</v>
      </c>
      <c r="K1163" t="s">
        <v>100</v>
      </c>
      <c r="L1163" t="s">
        <v>239</v>
      </c>
      <c r="M1163" t="s">
        <v>166</v>
      </c>
      <c r="N1163" t="s">
        <v>167</v>
      </c>
      <c r="O1163" s="3">
        <v>600000</v>
      </c>
      <c r="P1163" s="4">
        <v>60</v>
      </c>
      <c r="Q1163" s="2">
        <v>45712</v>
      </c>
      <c r="R1163" s="2">
        <v>46226</v>
      </c>
      <c r="S1163" s="2">
        <v>45705</v>
      </c>
      <c r="T1163" s="2"/>
      <c r="U1163" t="str">
        <f t="shared" si="126"/>
        <v>No</v>
      </c>
      <c r="W11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3" t="str">
        <f t="shared" ca="1" si="127"/>
        <v>Due/Open</v>
      </c>
      <c r="Y1163" t="str">
        <f t="shared" si="128"/>
        <v>Open</v>
      </c>
      <c r="Z1163" t="str">
        <f t="shared" si="129"/>
        <v>Feb-2025</v>
      </c>
      <c r="AA1163" t="str">
        <f t="shared" si="130"/>
        <v>Q1 2025</v>
      </c>
      <c r="AB1163" s="4">
        <f t="shared" ca="1" si="131"/>
        <v>507</v>
      </c>
      <c r="AC1163" t="str">
        <f t="shared" si="132"/>
        <v>High</v>
      </c>
    </row>
    <row r="1164" spans="1:29">
      <c r="A1164" t="s">
        <v>4279</v>
      </c>
      <c r="B1164" s="2">
        <v>45921</v>
      </c>
      <c r="C1164" t="s">
        <v>1623</v>
      </c>
      <c r="D1164" t="s">
        <v>586</v>
      </c>
      <c r="E1164" t="s">
        <v>4280</v>
      </c>
      <c r="F1164" t="s">
        <v>4281</v>
      </c>
      <c r="G1164" t="s">
        <v>69</v>
      </c>
      <c r="H1164" t="s">
        <v>312</v>
      </c>
      <c r="I1164" t="s">
        <v>187</v>
      </c>
      <c r="J1164" t="s">
        <v>131</v>
      </c>
      <c r="K1164" t="s">
        <v>100</v>
      </c>
      <c r="L1164" t="s">
        <v>154</v>
      </c>
      <c r="M1164" t="s">
        <v>82</v>
      </c>
      <c r="N1164" t="s">
        <v>83</v>
      </c>
      <c r="O1164" s="3">
        <v>115000</v>
      </c>
      <c r="P1164" s="4">
        <v>10</v>
      </c>
      <c r="Q1164" s="2">
        <v>45943</v>
      </c>
      <c r="R1164" s="2">
        <v>46172</v>
      </c>
      <c r="S1164" s="2">
        <v>45951</v>
      </c>
      <c r="T1164" s="2"/>
      <c r="U1164" t="str">
        <f t="shared" si="126"/>
        <v>No</v>
      </c>
      <c r="W11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4" t="str">
        <f t="shared" ca="1" si="127"/>
        <v>Overdue</v>
      </c>
      <c r="Y1164" t="str">
        <f t="shared" si="128"/>
        <v>Open</v>
      </c>
      <c r="Z1164" t="str">
        <f t="shared" si="129"/>
        <v>Sep-2025</v>
      </c>
      <c r="AA1164" t="str">
        <f t="shared" si="130"/>
        <v>Q3 2025</v>
      </c>
      <c r="AB1164" s="4">
        <f t="shared" ca="1" si="131"/>
        <v>278</v>
      </c>
      <c r="AC1164" t="str">
        <f t="shared" si="132"/>
        <v>Low</v>
      </c>
    </row>
    <row r="1165" spans="1:29">
      <c r="A1165" t="s">
        <v>4282</v>
      </c>
      <c r="B1165" s="2">
        <v>46141</v>
      </c>
      <c r="C1165" t="s">
        <v>2336</v>
      </c>
      <c r="D1165" t="s">
        <v>282</v>
      </c>
      <c r="E1165" t="s">
        <v>4283</v>
      </c>
      <c r="F1165" t="s">
        <v>4284</v>
      </c>
      <c r="G1165" t="s">
        <v>47</v>
      </c>
      <c r="H1165" t="s">
        <v>418</v>
      </c>
      <c r="I1165" t="s">
        <v>36</v>
      </c>
      <c r="J1165" t="s">
        <v>50</v>
      </c>
      <c r="K1165" t="s">
        <v>100</v>
      </c>
      <c r="L1165" t="s">
        <v>239</v>
      </c>
      <c r="M1165" t="s">
        <v>82</v>
      </c>
      <c r="N1165" t="s">
        <v>83</v>
      </c>
      <c r="O1165" s="3">
        <v>505000</v>
      </c>
      <c r="P1165" s="4">
        <v>10</v>
      </c>
      <c r="Q1165" s="2">
        <v>46161</v>
      </c>
      <c r="R1165" s="2">
        <v>46225</v>
      </c>
      <c r="S1165" s="2">
        <v>46153</v>
      </c>
      <c r="T1165" s="2"/>
      <c r="U1165" t="str">
        <f t="shared" si="126"/>
        <v>No</v>
      </c>
      <c r="W11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5" t="str">
        <f t="shared" ca="1" si="127"/>
        <v>Due/Open</v>
      </c>
      <c r="Y1165" t="str">
        <f t="shared" si="128"/>
        <v>Open</v>
      </c>
      <c r="Z1165" t="str">
        <f t="shared" si="129"/>
        <v>Apr-2026</v>
      </c>
      <c r="AA1165" t="str">
        <f t="shared" si="130"/>
        <v>Q2 2026</v>
      </c>
      <c r="AB1165" s="4">
        <f t="shared" ca="1" si="131"/>
        <v>58</v>
      </c>
      <c r="AC1165" t="str">
        <f t="shared" si="132"/>
        <v>High</v>
      </c>
    </row>
    <row r="1166" spans="1:29">
      <c r="A1166" t="s">
        <v>4285</v>
      </c>
      <c r="B1166" s="2">
        <v>45944</v>
      </c>
      <c r="C1166" t="s">
        <v>1399</v>
      </c>
      <c r="D1166" t="s">
        <v>282</v>
      </c>
      <c r="E1166" t="s">
        <v>4286</v>
      </c>
      <c r="F1166" t="s">
        <v>4287</v>
      </c>
      <c r="G1166" t="s">
        <v>79</v>
      </c>
      <c r="H1166" t="s">
        <v>228</v>
      </c>
      <c r="I1166" t="s">
        <v>148</v>
      </c>
      <c r="J1166" t="s">
        <v>50</v>
      </c>
      <c r="K1166" t="s">
        <v>38</v>
      </c>
      <c r="L1166" t="s">
        <v>154</v>
      </c>
      <c r="M1166" t="s">
        <v>90</v>
      </c>
      <c r="N1166" t="s">
        <v>91</v>
      </c>
      <c r="O1166" s="3">
        <v>360000</v>
      </c>
      <c r="P1166" s="4">
        <v>40</v>
      </c>
      <c r="Q1166" s="2">
        <v>46030</v>
      </c>
      <c r="R1166" s="2">
        <v>46169</v>
      </c>
      <c r="S1166" s="2">
        <v>45971</v>
      </c>
      <c r="T1166" s="2"/>
      <c r="U1166" t="str">
        <f t="shared" si="126"/>
        <v>No</v>
      </c>
      <c r="W11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6" t="str">
        <f t="shared" ca="1" si="127"/>
        <v>Overdue</v>
      </c>
      <c r="Y1166" t="str">
        <f t="shared" si="128"/>
        <v>Open</v>
      </c>
      <c r="Z1166" t="str">
        <f t="shared" si="129"/>
        <v>Oct-2025</v>
      </c>
      <c r="AA1166" t="str">
        <f t="shared" si="130"/>
        <v>Q4 2025</v>
      </c>
      <c r="AB1166" s="4">
        <f t="shared" ca="1" si="131"/>
        <v>255</v>
      </c>
      <c r="AC1166" t="str">
        <f t="shared" si="132"/>
        <v>High</v>
      </c>
    </row>
    <row r="1167" spans="1:29">
      <c r="A1167" t="s">
        <v>4288</v>
      </c>
      <c r="B1167" s="2">
        <v>46161</v>
      </c>
      <c r="C1167" t="s">
        <v>1835</v>
      </c>
      <c r="D1167" t="s">
        <v>981</v>
      </c>
      <c r="E1167" t="s">
        <v>4289</v>
      </c>
      <c r="F1167" t="s">
        <v>4290</v>
      </c>
      <c r="G1167" t="s">
        <v>69</v>
      </c>
      <c r="H1167" t="s">
        <v>70</v>
      </c>
      <c r="I1167" t="s">
        <v>49</v>
      </c>
      <c r="J1167" t="s">
        <v>62</v>
      </c>
      <c r="K1167" t="s">
        <v>38</v>
      </c>
      <c r="L1167" t="s">
        <v>142</v>
      </c>
      <c r="M1167" t="s">
        <v>166</v>
      </c>
      <c r="N1167" t="s">
        <v>167</v>
      </c>
      <c r="O1167" s="3">
        <v>350000</v>
      </c>
      <c r="P1167" s="4">
        <v>65</v>
      </c>
      <c r="Q1167" s="2">
        <v>46201</v>
      </c>
      <c r="R1167" s="2">
        <v>46234</v>
      </c>
      <c r="S1167" s="2">
        <v>46162</v>
      </c>
      <c r="T1167" s="2"/>
      <c r="U1167" t="str">
        <f t="shared" si="126"/>
        <v>No</v>
      </c>
      <c r="W11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67" t="str">
        <f t="shared" ca="1" si="127"/>
        <v>Due/Open</v>
      </c>
      <c r="Y1167" t="str">
        <f t="shared" si="128"/>
        <v>Open</v>
      </c>
      <c r="Z1167" t="str">
        <f t="shared" si="129"/>
        <v>May-2026</v>
      </c>
      <c r="AA1167" t="str">
        <f t="shared" si="130"/>
        <v>Q2 2026</v>
      </c>
      <c r="AB1167" s="4">
        <f t="shared" ca="1" si="131"/>
        <v>38</v>
      </c>
      <c r="AC1167" t="str">
        <f t="shared" si="132"/>
        <v>High</v>
      </c>
    </row>
    <row r="1168" spans="1:29">
      <c r="A1168" t="s">
        <v>4291</v>
      </c>
      <c r="B1168" s="2">
        <v>45975</v>
      </c>
      <c r="C1168" t="s">
        <v>2096</v>
      </c>
      <c r="D1168" t="s">
        <v>384</v>
      </c>
      <c r="E1168" t="s">
        <v>4292</v>
      </c>
      <c r="F1168" t="s">
        <v>4293</v>
      </c>
      <c r="G1168" t="s">
        <v>47</v>
      </c>
      <c r="H1168" t="s">
        <v>113</v>
      </c>
      <c r="I1168" t="s">
        <v>123</v>
      </c>
      <c r="J1168" t="s">
        <v>99</v>
      </c>
      <c r="K1168" t="s">
        <v>114</v>
      </c>
      <c r="L1168" t="s">
        <v>39</v>
      </c>
      <c r="M1168" t="s">
        <v>133</v>
      </c>
      <c r="N1168" t="s">
        <v>134</v>
      </c>
      <c r="O1168" s="3">
        <v>300000</v>
      </c>
      <c r="P1168" s="4">
        <v>0</v>
      </c>
      <c r="Q1168" s="2">
        <v>46025</v>
      </c>
      <c r="R1168" s="2"/>
      <c r="S1168" s="2">
        <v>45986</v>
      </c>
      <c r="T1168" s="2">
        <v>46025</v>
      </c>
      <c r="U1168" t="str">
        <f t="shared" si="126"/>
        <v>No</v>
      </c>
      <c r="V1168" t="s">
        <v>276</v>
      </c>
      <c r="W11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1168" t="str">
        <f t="shared" ca="1" si="127"/>
        <v>Closed</v>
      </c>
      <c r="Y1168" t="str">
        <f t="shared" si="128"/>
        <v>Closed</v>
      </c>
      <c r="Z1168" t="str">
        <f t="shared" si="129"/>
        <v>Nov-2025</v>
      </c>
      <c r="AA1168" t="str">
        <f t="shared" si="130"/>
        <v>Q4 2025</v>
      </c>
      <c r="AB1168" s="4">
        <f t="shared" ca="1" si="131"/>
        <v>224</v>
      </c>
      <c r="AC1168" t="str">
        <f t="shared" si="132"/>
        <v>High</v>
      </c>
    </row>
    <row r="1169" spans="1:29">
      <c r="A1169" t="s">
        <v>4294</v>
      </c>
      <c r="B1169" s="2">
        <v>45862</v>
      </c>
      <c r="C1169" t="s">
        <v>388</v>
      </c>
      <c r="D1169" t="s">
        <v>705</v>
      </c>
      <c r="E1169" t="s">
        <v>4295</v>
      </c>
      <c r="F1169" t="s">
        <v>4296</v>
      </c>
      <c r="G1169" t="s">
        <v>47</v>
      </c>
      <c r="H1169" t="s">
        <v>113</v>
      </c>
      <c r="I1169" t="s">
        <v>36</v>
      </c>
      <c r="J1169" t="s">
        <v>37</v>
      </c>
      <c r="K1169" t="s">
        <v>51</v>
      </c>
      <c r="L1169" t="s">
        <v>115</v>
      </c>
      <c r="M1169" t="s">
        <v>40</v>
      </c>
      <c r="N1169" t="s">
        <v>41</v>
      </c>
      <c r="O1169" s="3">
        <v>45000</v>
      </c>
      <c r="P1169" s="4">
        <v>100</v>
      </c>
      <c r="Q1169" s="2">
        <v>45920</v>
      </c>
      <c r="R1169" s="2"/>
      <c r="S1169" s="2">
        <v>45869</v>
      </c>
      <c r="T1169" s="2">
        <v>45920</v>
      </c>
      <c r="U1169" t="str">
        <f t="shared" si="126"/>
        <v>Yes</v>
      </c>
      <c r="W11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169" t="str">
        <f t="shared" ca="1" si="127"/>
        <v>Closed</v>
      </c>
      <c r="Y1169" t="str">
        <f t="shared" si="128"/>
        <v>Closed</v>
      </c>
      <c r="Z1169" t="str">
        <f t="shared" si="129"/>
        <v>Jul-2025</v>
      </c>
      <c r="AA1169" t="str">
        <f t="shared" si="130"/>
        <v>Q3 2025</v>
      </c>
      <c r="AB1169" s="4">
        <f t="shared" ca="1" si="131"/>
        <v>337</v>
      </c>
      <c r="AC1169" t="str">
        <f t="shared" si="132"/>
        <v>Low</v>
      </c>
    </row>
    <row r="1170" spans="1:29">
      <c r="A1170" t="s">
        <v>4297</v>
      </c>
      <c r="B1170" s="2">
        <v>45665</v>
      </c>
      <c r="C1170" t="s">
        <v>830</v>
      </c>
      <c r="D1170" t="s">
        <v>1017</v>
      </c>
      <c r="E1170" t="s">
        <v>4298</v>
      </c>
      <c r="F1170" t="s">
        <v>4299</v>
      </c>
      <c r="G1170" t="s">
        <v>179</v>
      </c>
      <c r="H1170" t="s">
        <v>186</v>
      </c>
      <c r="I1170" t="s">
        <v>141</v>
      </c>
      <c r="J1170" t="s">
        <v>99</v>
      </c>
      <c r="K1170" t="s">
        <v>114</v>
      </c>
      <c r="L1170" t="s">
        <v>72</v>
      </c>
      <c r="M1170" t="s">
        <v>53</v>
      </c>
      <c r="N1170" t="s">
        <v>54</v>
      </c>
      <c r="O1170" s="3">
        <v>155000</v>
      </c>
      <c r="P1170" s="4">
        <v>25</v>
      </c>
      <c r="Q1170" s="2">
        <v>45692</v>
      </c>
      <c r="R1170" s="2">
        <v>46174</v>
      </c>
      <c r="S1170" s="2">
        <v>45666</v>
      </c>
      <c r="T1170" s="2"/>
      <c r="U1170" t="str">
        <f t="shared" si="126"/>
        <v>No</v>
      </c>
      <c r="W11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0" t="str">
        <f t="shared" ca="1" si="127"/>
        <v>Overdue</v>
      </c>
      <c r="Y1170" t="str">
        <f t="shared" si="128"/>
        <v>Open</v>
      </c>
      <c r="Z1170" t="str">
        <f t="shared" si="129"/>
        <v>Jan-2025</v>
      </c>
      <c r="AA1170" t="str">
        <f t="shared" si="130"/>
        <v>Q1 2025</v>
      </c>
      <c r="AB1170" s="4">
        <f t="shared" ca="1" si="131"/>
        <v>534</v>
      </c>
      <c r="AC1170" t="str">
        <f t="shared" si="132"/>
        <v>Medium</v>
      </c>
    </row>
    <row r="1171" spans="1:29">
      <c r="A1171" t="s">
        <v>4300</v>
      </c>
      <c r="B1171" s="2">
        <v>45900</v>
      </c>
      <c r="C1171" t="s">
        <v>438</v>
      </c>
      <c r="D1171" t="s">
        <v>2211</v>
      </c>
      <c r="E1171" t="s">
        <v>4301</v>
      </c>
      <c r="F1171" t="s">
        <v>4302</v>
      </c>
      <c r="G1171" t="s">
        <v>179</v>
      </c>
      <c r="H1171" t="s">
        <v>296</v>
      </c>
      <c r="I1171" t="s">
        <v>98</v>
      </c>
      <c r="J1171" t="s">
        <v>37</v>
      </c>
      <c r="K1171" t="s">
        <v>114</v>
      </c>
      <c r="L1171" t="s">
        <v>132</v>
      </c>
      <c r="M1171" t="s">
        <v>90</v>
      </c>
      <c r="N1171" t="s">
        <v>91</v>
      </c>
      <c r="O1171" s="3">
        <v>160000</v>
      </c>
      <c r="P1171" s="4">
        <v>55</v>
      </c>
      <c r="Q1171" s="2">
        <v>45993</v>
      </c>
      <c r="R1171" s="2">
        <v>46182</v>
      </c>
      <c r="S1171" s="2">
        <v>45919</v>
      </c>
      <c r="T1171" s="2"/>
      <c r="U1171" t="str">
        <f t="shared" si="126"/>
        <v>No</v>
      </c>
      <c r="W11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1" t="str">
        <f t="shared" ca="1" si="127"/>
        <v>Overdue</v>
      </c>
      <c r="Y1171" t="str">
        <f t="shared" si="128"/>
        <v>Open</v>
      </c>
      <c r="Z1171" t="str">
        <f t="shared" si="129"/>
        <v>Aug-2025</v>
      </c>
      <c r="AA1171" t="str">
        <f t="shared" si="130"/>
        <v>Q3 2025</v>
      </c>
      <c r="AB1171" s="4">
        <f t="shared" ca="1" si="131"/>
        <v>299</v>
      </c>
      <c r="AC1171" t="str">
        <f t="shared" si="132"/>
        <v>Medium</v>
      </c>
    </row>
    <row r="1172" spans="1:29">
      <c r="A1172" t="s">
        <v>4303</v>
      </c>
      <c r="B1172" s="2">
        <v>45736</v>
      </c>
      <c r="C1172" t="s">
        <v>622</v>
      </c>
      <c r="D1172" t="s">
        <v>627</v>
      </c>
      <c r="E1172" t="s">
        <v>4304</v>
      </c>
      <c r="F1172" t="s">
        <v>4305</v>
      </c>
      <c r="G1172" t="s">
        <v>179</v>
      </c>
      <c r="H1172" t="s">
        <v>186</v>
      </c>
      <c r="I1172" t="s">
        <v>61</v>
      </c>
      <c r="J1172" t="s">
        <v>124</v>
      </c>
      <c r="K1172" t="s">
        <v>71</v>
      </c>
      <c r="L1172" t="s">
        <v>115</v>
      </c>
      <c r="M1172" t="s">
        <v>133</v>
      </c>
      <c r="N1172" t="s">
        <v>134</v>
      </c>
      <c r="O1172" s="3">
        <v>145000</v>
      </c>
      <c r="P1172" s="4">
        <v>0</v>
      </c>
      <c r="Q1172" s="2">
        <v>45745</v>
      </c>
      <c r="R1172" s="2"/>
      <c r="S1172" s="2">
        <v>45758</v>
      </c>
      <c r="T1172" s="2">
        <v>45745</v>
      </c>
      <c r="U1172" t="str">
        <f t="shared" si="126"/>
        <v>No</v>
      </c>
      <c r="V1172" t="s">
        <v>276</v>
      </c>
      <c r="W117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9</v>
      </c>
      <c r="X1172" t="str">
        <f t="shared" ca="1" si="127"/>
        <v>Closed</v>
      </c>
      <c r="Y1172" t="str">
        <f t="shared" si="128"/>
        <v>Closed</v>
      </c>
      <c r="Z1172" t="str">
        <f t="shared" si="129"/>
        <v>Mar-2025</v>
      </c>
      <c r="AA1172" t="str">
        <f t="shared" si="130"/>
        <v>Q1 2025</v>
      </c>
      <c r="AB1172" s="4">
        <f t="shared" ca="1" si="131"/>
        <v>463</v>
      </c>
      <c r="AC1172" t="str">
        <f t="shared" si="132"/>
        <v>Medium</v>
      </c>
    </row>
    <row r="1173" spans="1:29">
      <c r="A1173" t="s">
        <v>4306</v>
      </c>
      <c r="B1173" s="2">
        <v>45857</v>
      </c>
      <c r="C1173" t="s">
        <v>2518</v>
      </c>
      <c r="D1173" t="s">
        <v>710</v>
      </c>
      <c r="E1173" t="s">
        <v>4307</v>
      </c>
      <c r="F1173" t="s">
        <v>4308</v>
      </c>
      <c r="G1173" t="s">
        <v>179</v>
      </c>
      <c r="H1173" t="s">
        <v>180</v>
      </c>
      <c r="I1173" t="s">
        <v>36</v>
      </c>
      <c r="J1173" t="s">
        <v>62</v>
      </c>
      <c r="K1173" t="s">
        <v>51</v>
      </c>
      <c r="L1173" t="s">
        <v>115</v>
      </c>
      <c r="M1173" t="s">
        <v>53</v>
      </c>
      <c r="N1173" t="s">
        <v>54</v>
      </c>
      <c r="O1173" s="3">
        <v>350000</v>
      </c>
      <c r="P1173" s="4">
        <v>25</v>
      </c>
      <c r="Q1173" s="2">
        <v>45924</v>
      </c>
      <c r="R1173" s="2">
        <v>46227</v>
      </c>
      <c r="S1173" s="2">
        <v>45877</v>
      </c>
      <c r="T1173" s="2"/>
      <c r="U1173" t="str">
        <f t="shared" si="126"/>
        <v>No</v>
      </c>
      <c r="W11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3" t="str">
        <f t="shared" ca="1" si="127"/>
        <v>Due/Open</v>
      </c>
      <c r="Y1173" t="str">
        <f t="shared" si="128"/>
        <v>Open</v>
      </c>
      <c r="Z1173" t="str">
        <f t="shared" si="129"/>
        <v>Jul-2025</v>
      </c>
      <c r="AA1173" t="str">
        <f t="shared" si="130"/>
        <v>Q3 2025</v>
      </c>
      <c r="AB1173" s="4">
        <f t="shared" ca="1" si="131"/>
        <v>342</v>
      </c>
      <c r="AC1173" t="str">
        <f t="shared" si="132"/>
        <v>High</v>
      </c>
    </row>
    <row r="1174" spans="1:29">
      <c r="A1174" t="s">
        <v>4309</v>
      </c>
      <c r="B1174" s="2">
        <v>46149</v>
      </c>
      <c r="C1174" t="s">
        <v>411</v>
      </c>
      <c r="D1174" t="s">
        <v>636</v>
      </c>
      <c r="E1174" t="s">
        <v>4310</v>
      </c>
      <c r="F1174" t="s">
        <v>4311</v>
      </c>
      <c r="G1174" t="s">
        <v>179</v>
      </c>
      <c r="H1174" t="s">
        <v>180</v>
      </c>
      <c r="I1174" t="s">
        <v>98</v>
      </c>
      <c r="J1174" t="s">
        <v>50</v>
      </c>
      <c r="K1174" t="s">
        <v>194</v>
      </c>
      <c r="L1174" t="s">
        <v>142</v>
      </c>
      <c r="M1174" t="s">
        <v>90</v>
      </c>
      <c r="N1174" t="s">
        <v>91</v>
      </c>
      <c r="O1174" s="3">
        <v>435000</v>
      </c>
      <c r="P1174" s="4">
        <v>50</v>
      </c>
      <c r="Q1174" s="2">
        <v>46234</v>
      </c>
      <c r="R1174" s="2">
        <v>46190</v>
      </c>
      <c r="S1174" s="2">
        <v>46154</v>
      </c>
      <c r="T1174" s="2"/>
      <c r="U1174" t="str">
        <f t="shared" si="126"/>
        <v>No</v>
      </c>
      <c r="W11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4" t="str">
        <f t="shared" ca="1" si="127"/>
        <v>Overdue</v>
      </c>
      <c r="Y1174" t="str">
        <f t="shared" si="128"/>
        <v>Open</v>
      </c>
      <c r="Z1174" t="str">
        <f t="shared" si="129"/>
        <v>May-2026</v>
      </c>
      <c r="AA1174" t="str">
        <f t="shared" si="130"/>
        <v>Q2 2026</v>
      </c>
      <c r="AB1174" s="4">
        <f t="shared" ca="1" si="131"/>
        <v>50</v>
      </c>
      <c r="AC1174" t="str">
        <f t="shared" si="132"/>
        <v>High</v>
      </c>
    </row>
    <row r="1175" spans="1:29">
      <c r="A1175" t="s">
        <v>4312</v>
      </c>
      <c r="B1175" s="2">
        <v>45902</v>
      </c>
      <c r="C1175" t="s">
        <v>4313</v>
      </c>
      <c r="D1175" t="s">
        <v>981</v>
      </c>
      <c r="E1175" t="s">
        <v>4314</v>
      </c>
      <c r="F1175" t="s">
        <v>4315</v>
      </c>
      <c r="G1175" t="s">
        <v>179</v>
      </c>
      <c r="H1175" t="s">
        <v>487</v>
      </c>
      <c r="I1175" t="s">
        <v>141</v>
      </c>
      <c r="J1175" t="s">
        <v>62</v>
      </c>
      <c r="K1175" t="s">
        <v>51</v>
      </c>
      <c r="L1175" t="s">
        <v>107</v>
      </c>
      <c r="M1175" t="s">
        <v>53</v>
      </c>
      <c r="N1175" t="s">
        <v>54</v>
      </c>
      <c r="O1175" s="3">
        <v>210000</v>
      </c>
      <c r="P1175" s="4">
        <v>35</v>
      </c>
      <c r="Q1175" s="2">
        <v>45931</v>
      </c>
      <c r="R1175" s="2">
        <v>46184</v>
      </c>
      <c r="S1175" s="2">
        <v>45912</v>
      </c>
      <c r="T1175" s="2"/>
      <c r="U1175" t="str">
        <f t="shared" si="126"/>
        <v>No</v>
      </c>
      <c r="W11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5" t="str">
        <f t="shared" ca="1" si="127"/>
        <v>Overdue</v>
      </c>
      <c r="Y1175" t="str">
        <f t="shared" si="128"/>
        <v>Open</v>
      </c>
      <c r="Z1175" t="str">
        <f t="shared" si="129"/>
        <v>Sep-2025</v>
      </c>
      <c r="AA1175" t="str">
        <f t="shared" si="130"/>
        <v>Q3 2025</v>
      </c>
      <c r="AB1175" s="4">
        <f t="shared" ca="1" si="131"/>
        <v>297</v>
      </c>
      <c r="AC1175" t="str">
        <f t="shared" si="132"/>
        <v>Medium</v>
      </c>
    </row>
    <row r="1176" spans="1:29">
      <c r="A1176" t="s">
        <v>4316</v>
      </c>
      <c r="B1176" s="2">
        <v>45699</v>
      </c>
      <c r="C1176" t="s">
        <v>714</v>
      </c>
      <c r="D1176" t="s">
        <v>522</v>
      </c>
      <c r="E1176" t="s">
        <v>4317</v>
      </c>
      <c r="F1176" t="s">
        <v>4318</v>
      </c>
      <c r="G1176" t="s">
        <v>179</v>
      </c>
      <c r="H1176" t="s">
        <v>186</v>
      </c>
      <c r="I1176" t="s">
        <v>148</v>
      </c>
      <c r="J1176" t="s">
        <v>99</v>
      </c>
      <c r="K1176" t="s">
        <v>100</v>
      </c>
      <c r="L1176" t="s">
        <v>115</v>
      </c>
      <c r="M1176" t="s">
        <v>53</v>
      </c>
      <c r="N1176" t="s">
        <v>54</v>
      </c>
      <c r="O1176" s="3">
        <v>575000</v>
      </c>
      <c r="P1176" s="4">
        <v>30</v>
      </c>
      <c r="Q1176" s="2">
        <v>45725</v>
      </c>
      <c r="R1176" s="2">
        <v>46224</v>
      </c>
      <c r="S1176" s="2">
        <v>45720</v>
      </c>
      <c r="T1176" s="2"/>
      <c r="U1176" t="str">
        <f t="shared" si="126"/>
        <v>No</v>
      </c>
      <c r="W11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6" t="str">
        <f t="shared" ca="1" si="127"/>
        <v>Due/Open</v>
      </c>
      <c r="Y1176" t="str">
        <f t="shared" si="128"/>
        <v>Open</v>
      </c>
      <c r="Z1176" t="str">
        <f t="shared" si="129"/>
        <v>Feb-2025</v>
      </c>
      <c r="AA1176" t="str">
        <f t="shared" si="130"/>
        <v>Q1 2025</v>
      </c>
      <c r="AB1176" s="4">
        <f t="shared" ca="1" si="131"/>
        <v>500</v>
      </c>
      <c r="AC1176" t="str">
        <f t="shared" si="132"/>
        <v>High</v>
      </c>
    </row>
    <row r="1177" spans="1:29">
      <c r="A1177" t="s">
        <v>4319</v>
      </c>
      <c r="B1177" s="2">
        <v>45870</v>
      </c>
      <c r="C1177" t="s">
        <v>2378</v>
      </c>
      <c r="D1177" t="s">
        <v>428</v>
      </c>
      <c r="E1177" t="s">
        <v>4320</v>
      </c>
      <c r="F1177" t="s">
        <v>4321</v>
      </c>
      <c r="G1177" t="s">
        <v>34</v>
      </c>
      <c r="H1177" t="s">
        <v>446</v>
      </c>
      <c r="I1177" t="s">
        <v>98</v>
      </c>
      <c r="J1177" t="s">
        <v>99</v>
      </c>
      <c r="K1177" t="s">
        <v>114</v>
      </c>
      <c r="L1177" t="s">
        <v>154</v>
      </c>
      <c r="M1177" t="s">
        <v>133</v>
      </c>
      <c r="N1177" t="s">
        <v>134</v>
      </c>
      <c r="O1177" s="3">
        <v>560000</v>
      </c>
      <c r="P1177" s="4">
        <v>0</v>
      </c>
      <c r="Q1177" s="2">
        <v>45923</v>
      </c>
      <c r="R1177" s="2"/>
      <c r="S1177" s="2">
        <v>45894</v>
      </c>
      <c r="T1177" s="2">
        <v>45923</v>
      </c>
      <c r="U1177" t="str">
        <f t="shared" si="126"/>
        <v>No</v>
      </c>
      <c r="V1177" t="s">
        <v>211</v>
      </c>
      <c r="W11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1177" t="str">
        <f t="shared" ca="1" si="127"/>
        <v>Closed</v>
      </c>
      <c r="Y1177" t="str">
        <f t="shared" si="128"/>
        <v>Closed</v>
      </c>
      <c r="Z1177" t="str">
        <f t="shared" si="129"/>
        <v>Aug-2025</v>
      </c>
      <c r="AA1177" t="str">
        <f t="shared" si="130"/>
        <v>Q3 2025</v>
      </c>
      <c r="AB1177" s="4">
        <f t="shared" ca="1" si="131"/>
        <v>329</v>
      </c>
      <c r="AC1177" t="str">
        <f t="shared" si="132"/>
        <v>High</v>
      </c>
    </row>
    <row r="1178" spans="1:29">
      <c r="A1178" t="s">
        <v>4322</v>
      </c>
      <c r="B1178" s="2">
        <v>45834</v>
      </c>
      <c r="C1178" t="s">
        <v>1960</v>
      </c>
      <c r="D1178" t="s">
        <v>1319</v>
      </c>
      <c r="E1178" t="s">
        <v>4323</v>
      </c>
      <c r="F1178" t="s">
        <v>4324</v>
      </c>
      <c r="G1178" t="s">
        <v>79</v>
      </c>
      <c r="H1178" t="s">
        <v>260</v>
      </c>
      <c r="I1178" t="s">
        <v>61</v>
      </c>
      <c r="J1178" t="s">
        <v>131</v>
      </c>
      <c r="K1178" t="s">
        <v>194</v>
      </c>
      <c r="L1178" t="s">
        <v>115</v>
      </c>
      <c r="M1178" t="s">
        <v>82</v>
      </c>
      <c r="N1178" t="s">
        <v>83</v>
      </c>
      <c r="O1178" s="3">
        <v>145000</v>
      </c>
      <c r="P1178" s="4">
        <v>5</v>
      </c>
      <c r="Q1178" s="2">
        <v>45910</v>
      </c>
      <c r="R1178" s="2">
        <v>46201</v>
      </c>
      <c r="S1178" s="2">
        <v>45862</v>
      </c>
      <c r="T1178" s="2"/>
      <c r="U1178" t="str">
        <f t="shared" si="126"/>
        <v>No</v>
      </c>
      <c r="W11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78" t="str">
        <f t="shared" ca="1" si="127"/>
        <v>Due/Open</v>
      </c>
      <c r="Y1178" t="str">
        <f t="shared" si="128"/>
        <v>Open</v>
      </c>
      <c r="Z1178" t="str">
        <f t="shared" si="129"/>
        <v>Jun-2025</v>
      </c>
      <c r="AA1178" t="str">
        <f t="shared" si="130"/>
        <v>Q2 2025</v>
      </c>
      <c r="AB1178" s="4">
        <f t="shared" ca="1" si="131"/>
        <v>365</v>
      </c>
      <c r="AC1178" t="str">
        <f t="shared" si="132"/>
        <v>Medium</v>
      </c>
    </row>
    <row r="1179" spans="1:29">
      <c r="A1179" t="s">
        <v>4325</v>
      </c>
      <c r="B1179" s="2">
        <v>45924</v>
      </c>
      <c r="C1179" t="s">
        <v>1592</v>
      </c>
      <c r="D1179" t="s">
        <v>76</v>
      </c>
      <c r="E1179" t="s">
        <v>4326</v>
      </c>
      <c r="F1179" t="s">
        <v>4327</v>
      </c>
      <c r="G1179" t="s">
        <v>34</v>
      </c>
      <c r="H1179" t="s">
        <v>60</v>
      </c>
      <c r="I1179" t="s">
        <v>141</v>
      </c>
      <c r="J1179" t="s">
        <v>37</v>
      </c>
      <c r="K1179" t="s">
        <v>38</v>
      </c>
      <c r="L1179" t="s">
        <v>239</v>
      </c>
      <c r="M1179" t="s">
        <v>210</v>
      </c>
      <c r="N1179" t="s">
        <v>134</v>
      </c>
      <c r="O1179" s="3">
        <v>70000</v>
      </c>
      <c r="P1179" s="4">
        <v>0</v>
      </c>
      <c r="Q1179" s="2">
        <v>45938</v>
      </c>
      <c r="R1179" s="2"/>
      <c r="S1179" s="2">
        <v>45954</v>
      </c>
      <c r="T1179" s="2">
        <v>45938</v>
      </c>
      <c r="U1179" t="str">
        <f t="shared" si="126"/>
        <v>No</v>
      </c>
      <c r="V1179" t="s">
        <v>135</v>
      </c>
      <c r="W11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1179" t="str">
        <f t="shared" ca="1" si="127"/>
        <v>Closed</v>
      </c>
      <c r="Y1179" t="str">
        <f t="shared" si="128"/>
        <v>Closed</v>
      </c>
      <c r="Z1179" t="str">
        <f t="shared" si="129"/>
        <v>Sep-2025</v>
      </c>
      <c r="AA1179" t="str">
        <f t="shared" si="130"/>
        <v>Q3 2025</v>
      </c>
      <c r="AB1179" s="4">
        <f t="shared" ca="1" si="131"/>
        <v>275</v>
      </c>
      <c r="AC1179" t="str">
        <f t="shared" si="132"/>
        <v>Low</v>
      </c>
    </row>
    <row r="1180" spans="1:29">
      <c r="A1180" t="s">
        <v>4328</v>
      </c>
      <c r="B1180" s="2">
        <v>45830</v>
      </c>
      <c r="C1180" t="s">
        <v>4329</v>
      </c>
      <c r="D1180" t="s">
        <v>969</v>
      </c>
      <c r="E1180" t="s">
        <v>4330</v>
      </c>
      <c r="F1180" t="s">
        <v>4331</v>
      </c>
      <c r="G1180" t="s">
        <v>69</v>
      </c>
      <c r="H1180" t="s">
        <v>312</v>
      </c>
      <c r="I1180" t="s">
        <v>36</v>
      </c>
      <c r="J1180" t="s">
        <v>37</v>
      </c>
      <c r="K1180" t="s">
        <v>100</v>
      </c>
      <c r="L1180" t="s">
        <v>81</v>
      </c>
      <c r="M1180" t="s">
        <v>90</v>
      </c>
      <c r="N1180" t="s">
        <v>91</v>
      </c>
      <c r="O1180" s="3">
        <v>80000</v>
      </c>
      <c r="P1180" s="4">
        <v>40</v>
      </c>
      <c r="Q1180" s="2">
        <v>45912</v>
      </c>
      <c r="R1180" s="2">
        <v>46176</v>
      </c>
      <c r="S1180" s="2">
        <v>45847</v>
      </c>
      <c r="T1180" s="2"/>
      <c r="U1180" t="str">
        <f t="shared" si="126"/>
        <v>No</v>
      </c>
      <c r="W11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0" t="str">
        <f t="shared" ca="1" si="127"/>
        <v>Overdue</v>
      </c>
      <c r="Y1180" t="str">
        <f t="shared" si="128"/>
        <v>Open</v>
      </c>
      <c r="Z1180" t="str">
        <f t="shared" si="129"/>
        <v>Jun-2025</v>
      </c>
      <c r="AA1180" t="str">
        <f t="shared" si="130"/>
        <v>Q2 2025</v>
      </c>
      <c r="AB1180" s="4">
        <f t="shared" ca="1" si="131"/>
        <v>369</v>
      </c>
      <c r="AC1180" t="str">
        <f t="shared" si="132"/>
        <v>Low</v>
      </c>
    </row>
    <row r="1181" spans="1:29">
      <c r="A1181" t="s">
        <v>4332</v>
      </c>
      <c r="B1181" s="2">
        <v>45910</v>
      </c>
      <c r="C1181" t="s">
        <v>1385</v>
      </c>
      <c r="D1181" t="s">
        <v>1012</v>
      </c>
      <c r="E1181" t="s">
        <v>4333</v>
      </c>
      <c r="F1181" t="s">
        <v>4334</v>
      </c>
      <c r="G1181" t="s">
        <v>69</v>
      </c>
      <c r="H1181" t="s">
        <v>193</v>
      </c>
      <c r="I1181" t="s">
        <v>49</v>
      </c>
      <c r="J1181" t="s">
        <v>50</v>
      </c>
      <c r="K1181" t="s">
        <v>38</v>
      </c>
      <c r="L1181" t="s">
        <v>63</v>
      </c>
      <c r="M1181" t="s">
        <v>40</v>
      </c>
      <c r="N1181" t="s">
        <v>41</v>
      </c>
      <c r="O1181" s="3">
        <v>440000</v>
      </c>
      <c r="P1181" s="4">
        <v>100</v>
      </c>
      <c r="Q1181" s="2">
        <v>45992</v>
      </c>
      <c r="R1181" s="2"/>
      <c r="S1181" s="2">
        <v>45915</v>
      </c>
      <c r="T1181" s="2">
        <v>45992</v>
      </c>
      <c r="U1181" t="str">
        <f t="shared" si="126"/>
        <v>Yes</v>
      </c>
      <c r="W11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82</v>
      </c>
      <c r="X1181" t="str">
        <f t="shared" ca="1" si="127"/>
        <v>Closed</v>
      </c>
      <c r="Y1181" t="str">
        <f t="shared" si="128"/>
        <v>Closed</v>
      </c>
      <c r="Z1181" t="str">
        <f t="shared" si="129"/>
        <v>Sep-2025</v>
      </c>
      <c r="AA1181" t="str">
        <f t="shared" si="130"/>
        <v>Q3 2025</v>
      </c>
      <c r="AB1181" s="4">
        <f t="shared" ca="1" si="131"/>
        <v>289</v>
      </c>
      <c r="AC1181" t="str">
        <f t="shared" si="132"/>
        <v>High</v>
      </c>
    </row>
    <row r="1182" spans="1:29">
      <c r="A1182" t="s">
        <v>4335</v>
      </c>
      <c r="B1182" s="2">
        <v>45771</v>
      </c>
      <c r="C1182" t="s">
        <v>2378</v>
      </c>
      <c r="D1182" t="s">
        <v>1052</v>
      </c>
      <c r="E1182" t="s">
        <v>4336</v>
      </c>
      <c r="F1182" t="s">
        <v>4337</v>
      </c>
      <c r="G1182" t="s">
        <v>69</v>
      </c>
      <c r="H1182" t="s">
        <v>193</v>
      </c>
      <c r="I1182" t="s">
        <v>36</v>
      </c>
      <c r="J1182" t="s">
        <v>131</v>
      </c>
      <c r="K1182" t="s">
        <v>100</v>
      </c>
      <c r="L1182" t="s">
        <v>132</v>
      </c>
      <c r="M1182" t="s">
        <v>40</v>
      </c>
      <c r="N1182" t="s">
        <v>41</v>
      </c>
      <c r="O1182" s="3">
        <v>190000</v>
      </c>
      <c r="P1182" s="4">
        <v>100</v>
      </c>
      <c r="Q1182" s="2">
        <v>45829</v>
      </c>
      <c r="R1182" s="2"/>
      <c r="S1182" s="2">
        <v>45784</v>
      </c>
      <c r="T1182" s="2">
        <v>45829</v>
      </c>
      <c r="U1182" t="str">
        <f t="shared" si="126"/>
        <v>Yes</v>
      </c>
      <c r="W118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182" t="str">
        <f t="shared" ca="1" si="127"/>
        <v>Closed</v>
      </c>
      <c r="Y1182" t="str">
        <f t="shared" si="128"/>
        <v>Closed</v>
      </c>
      <c r="Z1182" t="str">
        <f t="shared" si="129"/>
        <v>Apr-2025</v>
      </c>
      <c r="AA1182" t="str">
        <f t="shared" si="130"/>
        <v>Q2 2025</v>
      </c>
      <c r="AB1182" s="4">
        <f t="shared" ca="1" si="131"/>
        <v>428</v>
      </c>
      <c r="AC1182" t="str">
        <f t="shared" si="132"/>
        <v>Medium</v>
      </c>
    </row>
    <row r="1183" spans="1:29">
      <c r="A1183" t="s">
        <v>4338</v>
      </c>
      <c r="B1183" s="2">
        <v>45994</v>
      </c>
      <c r="C1183" t="s">
        <v>4339</v>
      </c>
      <c r="D1183" t="s">
        <v>3463</v>
      </c>
      <c r="E1183" t="s">
        <v>4340</v>
      </c>
      <c r="F1183" t="s">
        <v>4341</v>
      </c>
      <c r="G1183" t="s">
        <v>69</v>
      </c>
      <c r="H1183" t="s">
        <v>270</v>
      </c>
      <c r="I1183" t="s">
        <v>123</v>
      </c>
      <c r="J1183" t="s">
        <v>37</v>
      </c>
      <c r="K1183" t="s">
        <v>100</v>
      </c>
      <c r="L1183" t="s">
        <v>72</v>
      </c>
      <c r="M1183" t="s">
        <v>210</v>
      </c>
      <c r="N1183" t="s">
        <v>134</v>
      </c>
      <c r="O1183" s="3">
        <v>115000</v>
      </c>
      <c r="P1183" s="4">
        <v>0</v>
      </c>
      <c r="Q1183" s="2">
        <v>46030</v>
      </c>
      <c r="R1183" s="2"/>
      <c r="S1183" s="2">
        <v>46024</v>
      </c>
      <c r="T1183" s="2">
        <v>46030</v>
      </c>
      <c r="U1183" t="str">
        <f t="shared" si="126"/>
        <v>No</v>
      </c>
      <c r="V1183" t="s">
        <v>135</v>
      </c>
      <c r="W11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1183" t="str">
        <f t="shared" ca="1" si="127"/>
        <v>Closed</v>
      </c>
      <c r="Y1183" t="str">
        <f t="shared" si="128"/>
        <v>Closed</v>
      </c>
      <c r="Z1183" t="str">
        <f t="shared" si="129"/>
        <v>Dec-2025</v>
      </c>
      <c r="AA1183" t="str">
        <f t="shared" si="130"/>
        <v>Q4 2025</v>
      </c>
      <c r="AB1183" s="4">
        <f t="shared" ca="1" si="131"/>
        <v>205</v>
      </c>
      <c r="AC1183" t="str">
        <f t="shared" si="132"/>
        <v>Low</v>
      </c>
    </row>
    <row r="1184" spans="1:29">
      <c r="A1184" t="s">
        <v>4342</v>
      </c>
      <c r="B1184" s="2">
        <v>46127</v>
      </c>
      <c r="C1184" t="s">
        <v>2708</v>
      </c>
      <c r="D1184" t="s">
        <v>190</v>
      </c>
      <c r="E1184" t="s">
        <v>4343</v>
      </c>
      <c r="F1184" t="s">
        <v>4344</v>
      </c>
      <c r="G1184" t="s">
        <v>69</v>
      </c>
      <c r="H1184" t="s">
        <v>200</v>
      </c>
      <c r="I1184" t="s">
        <v>98</v>
      </c>
      <c r="J1184" t="s">
        <v>37</v>
      </c>
      <c r="K1184" t="s">
        <v>100</v>
      </c>
      <c r="L1184" t="s">
        <v>132</v>
      </c>
      <c r="M1184" t="s">
        <v>90</v>
      </c>
      <c r="N1184" t="s">
        <v>91</v>
      </c>
      <c r="O1184" s="3">
        <v>55000</v>
      </c>
      <c r="P1184" s="4">
        <v>55</v>
      </c>
      <c r="Q1184" s="2">
        <v>46181</v>
      </c>
      <c r="R1184" s="2">
        <v>46215</v>
      </c>
      <c r="S1184" s="2">
        <v>46147</v>
      </c>
      <c r="T1184" s="2"/>
      <c r="U1184" t="str">
        <f t="shared" si="126"/>
        <v>No</v>
      </c>
      <c r="W11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4" t="str">
        <f t="shared" ca="1" si="127"/>
        <v>Due/Open</v>
      </c>
      <c r="Y1184" t="str">
        <f t="shared" si="128"/>
        <v>Open</v>
      </c>
      <c r="Z1184" t="str">
        <f t="shared" si="129"/>
        <v>Apr-2026</v>
      </c>
      <c r="AA1184" t="str">
        <f t="shared" si="130"/>
        <v>Q2 2026</v>
      </c>
      <c r="AB1184" s="4">
        <f t="shared" ca="1" si="131"/>
        <v>72</v>
      </c>
      <c r="AC1184" t="str">
        <f t="shared" si="132"/>
        <v>Low</v>
      </c>
    </row>
    <row r="1185" spans="1:29">
      <c r="A1185" t="s">
        <v>4345</v>
      </c>
      <c r="B1185" s="2">
        <v>45846</v>
      </c>
      <c r="C1185" t="s">
        <v>4346</v>
      </c>
      <c r="D1185" t="s">
        <v>1245</v>
      </c>
      <c r="E1185" t="s">
        <v>4347</v>
      </c>
      <c r="F1185" t="s">
        <v>4348</v>
      </c>
      <c r="G1185" t="s">
        <v>79</v>
      </c>
      <c r="H1185" t="s">
        <v>260</v>
      </c>
      <c r="I1185" t="s">
        <v>61</v>
      </c>
      <c r="J1185" t="s">
        <v>131</v>
      </c>
      <c r="K1185" t="s">
        <v>38</v>
      </c>
      <c r="L1185" t="s">
        <v>132</v>
      </c>
      <c r="M1185" t="s">
        <v>40</v>
      </c>
      <c r="N1185" t="s">
        <v>41</v>
      </c>
      <c r="O1185" s="3">
        <v>325000</v>
      </c>
      <c r="P1185" s="4">
        <v>100</v>
      </c>
      <c r="Q1185" s="2">
        <v>45917</v>
      </c>
      <c r="R1185" s="2"/>
      <c r="S1185" s="2">
        <v>45857</v>
      </c>
      <c r="T1185" s="2">
        <v>45917</v>
      </c>
      <c r="U1185" t="str">
        <f t="shared" si="126"/>
        <v>Yes</v>
      </c>
      <c r="W118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71</v>
      </c>
      <c r="X1185" t="str">
        <f t="shared" ca="1" si="127"/>
        <v>Closed</v>
      </c>
      <c r="Y1185" t="str">
        <f t="shared" si="128"/>
        <v>Closed</v>
      </c>
      <c r="Z1185" t="str">
        <f t="shared" si="129"/>
        <v>Jul-2025</v>
      </c>
      <c r="AA1185" t="str">
        <f t="shared" si="130"/>
        <v>Q3 2025</v>
      </c>
      <c r="AB1185" s="4">
        <f t="shared" ca="1" si="131"/>
        <v>353</v>
      </c>
      <c r="AC1185" t="str">
        <f t="shared" si="132"/>
        <v>High</v>
      </c>
    </row>
    <row r="1186" spans="1:29">
      <c r="A1186" t="s">
        <v>4349</v>
      </c>
      <c r="B1186" s="2">
        <v>45984</v>
      </c>
      <c r="C1186" t="s">
        <v>2789</v>
      </c>
      <c r="D1186" t="s">
        <v>103</v>
      </c>
      <c r="E1186" t="s">
        <v>4350</v>
      </c>
      <c r="F1186" t="s">
        <v>4351</v>
      </c>
      <c r="G1186" t="s">
        <v>179</v>
      </c>
      <c r="H1186" t="s">
        <v>186</v>
      </c>
      <c r="I1186" t="s">
        <v>36</v>
      </c>
      <c r="J1186" t="s">
        <v>62</v>
      </c>
      <c r="K1186" t="s">
        <v>114</v>
      </c>
      <c r="L1186" t="s">
        <v>115</v>
      </c>
      <c r="M1186" t="s">
        <v>53</v>
      </c>
      <c r="N1186" t="s">
        <v>54</v>
      </c>
      <c r="O1186" s="3">
        <v>125000</v>
      </c>
      <c r="P1186" s="4">
        <v>35</v>
      </c>
      <c r="Q1186" s="2">
        <v>46076</v>
      </c>
      <c r="R1186" s="2">
        <v>46225</v>
      </c>
      <c r="S1186" s="2">
        <v>45988</v>
      </c>
      <c r="T1186" s="2"/>
      <c r="U1186" t="str">
        <f t="shared" si="126"/>
        <v>No</v>
      </c>
      <c r="W11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6" t="str">
        <f t="shared" ca="1" si="127"/>
        <v>Due/Open</v>
      </c>
      <c r="Y1186" t="str">
        <f t="shared" si="128"/>
        <v>Open</v>
      </c>
      <c r="Z1186" t="str">
        <f t="shared" si="129"/>
        <v>Nov-2025</v>
      </c>
      <c r="AA1186" t="str">
        <f t="shared" si="130"/>
        <v>Q4 2025</v>
      </c>
      <c r="AB1186" s="4">
        <f t="shared" ca="1" si="131"/>
        <v>215</v>
      </c>
      <c r="AC1186" t="str">
        <f t="shared" si="132"/>
        <v>Medium</v>
      </c>
    </row>
    <row r="1187" spans="1:29">
      <c r="A1187" t="s">
        <v>4352</v>
      </c>
      <c r="B1187" s="2">
        <v>45966</v>
      </c>
      <c r="C1187" t="s">
        <v>4353</v>
      </c>
      <c r="D1187" t="s">
        <v>755</v>
      </c>
      <c r="E1187" t="s">
        <v>4354</v>
      </c>
      <c r="F1187" t="s">
        <v>4355</v>
      </c>
      <c r="G1187" t="s">
        <v>47</v>
      </c>
      <c r="H1187" t="s">
        <v>89</v>
      </c>
      <c r="I1187" t="s">
        <v>98</v>
      </c>
      <c r="J1187" t="s">
        <v>62</v>
      </c>
      <c r="K1187" t="s">
        <v>194</v>
      </c>
      <c r="L1187" t="s">
        <v>52</v>
      </c>
      <c r="M1187" t="s">
        <v>166</v>
      </c>
      <c r="N1187" t="s">
        <v>167</v>
      </c>
      <c r="O1187" s="3">
        <v>185000</v>
      </c>
      <c r="P1187" s="4">
        <v>60</v>
      </c>
      <c r="Q1187" s="2">
        <v>46051</v>
      </c>
      <c r="R1187" s="2">
        <v>46187</v>
      </c>
      <c r="S1187" s="2">
        <v>45971</v>
      </c>
      <c r="T1187" s="2"/>
      <c r="U1187" t="str">
        <f t="shared" si="126"/>
        <v>No</v>
      </c>
      <c r="W11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7" t="str">
        <f t="shared" ca="1" si="127"/>
        <v>Overdue</v>
      </c>
      <c r="Y1187" t="str">
        <f t="shared" si="128"/>
        <v>Open</v>
      </c>
      <c r="Z1187" t="str">
        <f t="shared" si="129"/>
        <v>Nov-2025</v>
      </c>
      <c r="AA1187" t="str">
        <f t="shared" si="130"/>
        <v>Q4 2025</v>
      </c>
      <c r="AB1187" s="4">
        <f t="shared" ca="1" si="131"/>
        <v>233</v>
      </c>
      <c r="AC1187" t="str">
        <f t="shared" si="132"/>
        <v>Medium</v>
      </c>
    </row>
    <row r="1188" spans="1:29">
      <c r="A1188" t="s">
        <v>4356</v>
      </c>
      <c r="B1188" s="2">
        <v>45707</v>
      </c>
      <c r="C1188" t="s">
        <v>3076</v>
      </c>
      <c r="D1188" t="s">
        <v>1021</v>
      </c>
      <c r="E1188" t="s">
        <v>4357</v>
      </c>
      <c r="F1188" t="s">
        <v>4358</v>
      </c>
      <c r="G1188" t="s">
        <v>34</v>
      </c>
      <c r="H1188" t="s">
        <v>173</v>
      </c>
      <c r="I1188" t="s">
        <v>98</v>
      </c>
      <c r="J1188" t="s">
        <v>124</v>
      </c>
      <c r="K1188" t="s">
        <v>71</v>
      </c>
      <c r="L1188" t="s">
        <v>72</v>
      </c>
      <c r="M1188" t="s">
        <v>53</v>
      </c>
      <c r="N1188" t="s">
        <v>54</v>
      </c>
      <c r="O1188" s="3">
        <v>255000</v>
      </c>
      <c r="P1188" s="4">
        <v>25</v>
      </c>
      <c r="Q1188" s="2">
        <v>45738</v>
      </c>
      <c r="R1188" s="2">
        <v>46184</v>
      </c>
      <c r="S1188" s="2">
        <v>45719</v>
      </c>
      <c r="T1188" s="2"/>
      <c r="U1188" t="str">
        <f t="shared" si="126"/>
        <v>No</v>
      </c>
      <c r="W11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8" t="str">
        <f t="shared" ca="1" si="127"/>
        <v>Overdue</v>
      </c>
      <c r="Y1188" t="str">
        <f t="shared" si="128"/>
        <v>Open</v>
      </c>
      <c r="Z1188" t="str">
        <f t="shared" si="129"/>
        <v>Feb-2025</v>
      </c>
      <c r="AA1188" t="str">
        <f t="shared" si="130"/>
        <v>Q1 2025</v>
      </c>
      <c r="AB1188" s="4">
        <f t="shared" ca="1" si="131"/>
        <v>492</v>
      </c>
      <c r="AC1188" t="str">
        <f t="shared" si="132"/>
        <v>Medium</v>
      </c>
    </row>
    <row r="1189" spans="1:29">
      <c r="A1189" t="s">
        <v>4359</v>
      </c>
      <c r="B1189" s="2">
        <v>46158</v>
      </c>
      <c r="C1189" t="s">
        <v>2838</v>
      </c>
      <c r="D1189" t="s">
        <v>44</v>
      </c>
      <c r="E1189" t="s">
        <v>4360</v>
      </c>
      <c r="F1189" t="s">
        <v>4361</v>
      </c>
      <c r="G1189" t="s">
        <v>34</v>
      </c>
      <c r="H1189" t="s">
        <v>446</v>
      </c>
      <c r="I1189" t="s">
        <v>141</v>
      </c>
      <c r="J1189" t="s">
        <v>37</v>
      </c>
      <c r="K1189" t="s">
        <v>114</v>
      </c>
      <c r="L1189" t="s">
        <v>81</v>
      </c>
      <c r="M1189" t="s">
        <v>53</v>
      </c>
      <c r="N1189" t="s">
        <v>54</v>
      </c>
      <c r="O1189" s="3">
        <v>135000</v>
      </c>
      <c r="P1189" s="4">
        <v>35</v>
      </c>
      <c r="Q1189" s="2">
        <v>46237</v>
      </c>
      <c r="R1189" s="2">
        <v>46170</v>
      </c>
      <c r="S1189" s="2">
        <v>46188</v>
      </c>
      <c r="T1189" s="2"/>
      <c r="U1189" t="str">
        <f t="shared" si="126"/>
        <v>No</v>
      </c>
      <c r="W11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89" t="str">
        <f t="shared" ca="1" si="127"/>
        <v>Overdue</v>
      </c>
      <c r="Y1189" t="str">
        <f t="shared" si="128"/>
        <v>Open</v>
      </c>
      <c r="Z1189" t="str">
        <f t="shared" si="129"/>
        <v>May-2026</v>
      </c>
      <c r="AA1189" t="str">
        <f t="shared" si="130"/>
        <v>Q2 2026</v>
      </c>
      <c r="AB1189" s="4">
        <f t="shared" ca="1" si="131"/>
        <v>41</v>
      </c>
      <c r="AC1189" t="str">
        <f t="shared" si="132"/>
        <v>Medium</v>
      </c>
    </row>
    <row r="1190" spans="1:29">
      <c r="A1190" t="s">
        <v>4362</v>
      </c>
      <c r="B1190" s="2">
        <v>46103</v>
      </c>
      <c r="C1190" t="s">
        <v>4363</v>
      </c>
      <c r="D1190" t="s">
        <v>697</v>
      </c>
      <c r="E1190" t="s">
        <v>4364</v>
      </c>
      <c r="F1190" t="s">
        <v>4365</v>
      </c>
      <c r="G1190" t="s">
        <v>69</v>
      </c>
      <c r="H1190" t="s">
        <v>270</v>
      </c>
      <c r="I1190" t="s">
        <v>141</v>
      </c>
      <c r="J1190" t="s">
        <v>62</v>
      </c>
      <c r="K1190" t="s">
        <v>71</v>
      </c>
      <c r="L1190" t="s">
        <v>154</v>
      </c>
      <c r="M1190" t="s">
        <v>40</v>
      </c>
      <c r="N1190" t="s">
        <v>41</v>
      </c>
      <c r="O1190" s="3">
        <v>130000</v>
      </c>
      <c r="P1190" s="4">
        <v>100</v>
      </c>
      <c r="Q1190" s="2">
        <v>46115</v>
      </c>
      <c r="R1190" s="2"/>
      <c r="S1190" s="2">
        <v>46105</v>
      </c>
      <c r="T1190" s="2">
        <v>46115</v>
      </c>
      <c r="U1190" t="str">
        <f t="shared" si="126"/>
        <v>Yes</v>
      </c>
      <c r="W119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1190" t="str">
        <f t="shared" ca="1" si="127"/>
        <v>Closed</v>
      </c>
      <c r="Y1190" t="str">
        <f t="shared" si="128"/>
        <v>Closed</v>
      </c>
      <c r="Z1190" t="str">
        <f t="shared" si="129"/>
        <v>Mar-2026</v>
      </c>
      <c r="AA1190" t="str">
        <f t="shared" si="130"/>
        <v>Q1 2026</v>
      </c>
      <c r="AB1190" s="4">
        <f t="shared" ca="1" si="131"/>
        <v>96</v>
      </c>
      <c r="AC1190" t="str">
        <f t="shared" si="132"/>
        <v>Medium</v>
      </c>
    </row>
    <row r="1191" spans="1:29">
      <c r="A1191" t="s">
        <v>4366</v>
      </c>
      <c r="B1191" s="2">
        <v>46061</v>
      </c>
      <c r="C1191" t="s">
        <v>4367</v>
      </c>
      <c r="D1191" t="s">
        <v>1012</v>
      </c>
      <c r="E1191" t="s">
        <v>4368</v>
      </c>
      <c r="F1191" t="s">
        <v>4369</v>
      </c>
      <c r="G1191" t="s">
        <v>179</v>
      </c>
      <c r="H1191" t="s">
        <v>318</v>
      </c>
      <c r="I1191" t="s">
        <v>141</v>
      </c>
      <c r="J1191" t="s">
        <v>50</v>
      </c>
      <c r="K1191" t="s">
        <v>114</v>
      </c>
      <c r="L1191" t="s">
        <v>125</v>
      </c>
      <c r="M1191" t="s">
        <v>40</v>
      </c>
      <c r="N1191" t="s">
        <v>41</v>
      </c>
      <c r="O1191" s="3">
        <v>510000</v>
      </c>
      <c r="P1191" s="4">
        <v>100</v>
      </c>
      <c r="Q1191" s="2">
        <v>46102</v>
      </c>
      <c r="R1191" s="2"/>
      <c r="S1191" s="2">
        <v>46075</v>
      </c>
      <c r="T1191" s="2">
        <v>46102</v>
      </c>
      <c r="U1191" t="str">
        <f t="shared" si="126"/>
        <v>Yes</v>
      </c>
      <c r="W11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41</v>
      </c>
      <c r="X1191" t="str">
        <f t="shared" ca="1" si="127"/>
        <v>Closed</v>
      </c>
      <c r="Y1191" t="str">
        <f t="shared" si="128"/>
        <v>Closed</v>
      </c>
      <c r="Z1191" t="str">
        <f t="shared" si="129"/>
        <v>Feb-2026</v>
      </c>
      <c r="AA1191" t="str">
        <f t="shared" si="130"/>
        <v>Q1 2026</v>
      </c>
      <c r="AB1191" s="4">
        <f t="shared" ca="1" si="131"/>
        <v>138</v>
      </c>
      <c r="AC1191" t="str">
        <f t="shared" si="132"/>
        <v>High</v>
      </c>
    </row>
    <row r="1192" spans="1:29">
      <c r="A1192" t="s">
        <v>4370</v>
      </c>
      <c r="B1192" s="2">
        <v>45877</v>
      </c>
      <c r="C1192" t="s">
        <v>4371</v>
      </c>
      <c r="D1192" t="s">
        <v>170</v>
      </c>
      <c r="E1192" t="s">
        <v>4372</v>
      </c>
      <c r="F1192" t="s">
        <v>4373</v>
      </c>
      <c r="G1192" t="s">
        <v>79</v>
      </c>
      <c r="H1192" t="s">
        <v>228</v>
      </c>
      <c r="I1192" t="s">
        <v>36</v>
      </c>
      <c r="J1192" t="s">
        <v>50</v>
      </c>
      <c r="K1192" t="s">
        <v>194</v>
      </c>
      <c r="L1192" t="s">
        <v>115</v>
      </c>
      <c r="M1192" t="s">
        <v>82</v>
      </c>
      <c r="N1192" t="s">
        <v>83</v>
      </c>
      <c r="O1192" s="3">
        <v>530000</v>
      </c>
      <c r="P1192" s="4">
        <v>10</v>
      </c>
      <c r="Q1192" s="2">
        <v>45917</v>
      </c>
      <c r="R1192" s="2">
        <v>46202</v>
      </c>
      <c r="S1192" s="2">
        <v>45894</v>
      </c>
      <c r="T1192" s="2"/>
      <c r="U1192" t="str">
        <f t="shared" si="126"/>
        <v>No</v>
      </c>
      <c r="W11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2" t="str">
        <f t="shared" ca="1" si="127"/>
        <v>Due/Open</v>
      </c>
      <c r="Y1192" t="str">
        <f t="shared" si="128"/>
        <v>Open</v>
      </c>
      <c r="Z1192" t="str">
        <f t="shared" si="129"/>
        <v>Aug-2025</v>
      </c>
      <c r="AA1192" t="str">
        <f t="shared" si="130"/>
        <v>Q3 2025</v>
      </c>
      <c r="AB1192" s="4">
        <f t="shared" ca="1" si="131"/>
        <v>322</v>
      </c>
      <c r="AC1192" t="str">
        <f t="shared" si="132"/>
        <v>High</v>
      </c>
    </row>
    <row r="1193" spans="1:29">
      <c r="A1193" t="s">
        <v>4374</v>
      </c>
      <c r="B1193" s="2">
        <v>45706</v>
      </c>
      <c r="C1193" t="s">
        <v>2222</v>
      </c>
      <c r="D1193" t="s">
        <v>66</v>
      </c>
      <c r="E1193" t="s">
        <v>4375</v>
      </c>
      <c r="F1193" t="s">
        <v>4376</v>
      </c>
      <c r="G1193" t="s">
        <v>179</v>
      </c>
      <c r="H1193" t="s">
        <v>436</v>
      </c>
      <c r="I1193" t="s">
        <v>187</v>
      </c>
      <c r="J1193" t="s">
        <v>99</v>
      </c>
      <c r="K1193" t="s">
        <v>51</v>
      </c>
      <c r="L1193" t="s">
        <v>115</v>
      </c>
      <c r="M1193" t="s">
        <v>116</v>
      </c>
      <c r="N1193" t="s">
        <v>54</v>
      </c>
      <c r="O1193" s="3">
        <v>165000</v>
      </c>
      <c r="P1193" s="4">
        <v>20</v>
      </c>
      <c r="Q1193" s="2">
        <v>45801</v>
      </c>
      <c r="R1193" s="2">
        <v>46192</v>
      </c>
      <c r="S1193" s="2">
        <v>45725</v>
      </c>
      <c r="T1193" s="2"/>
      <c r="U1193" t="str">
        <f t="shared" si="126"/>
        <v>No</v>
      </c>
      <c r="W11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3" t="str">
        <f t="shared" ca="1" si="127"/>
        <v>Overdue</v>
      </c>
      <c r="Y1193" t="str">
        <f t="shared" si="128"/>
        <v>Open</v>
      </c>
      <c r="Z1193" t="str">
        <f t="shared" si="129"/>
        <v>Feb-2025</v>
      </c>
      <c r="AA1193" t="str">
        <f t="shared" si="130"/>
        <v>Q1 2025</v>
      </c>
      <c r="AB1193" s="4">
        <f t="shared" ca="1" si="131"/>
        <v>493</v>
      </c>
      <c r="AC1193" t="str">
        <f t="shared" si="132"/>
        <v>Medium</v>
      </c>
    </row>
    <row r="1194" spans="1:29">
      <c r="A1194" t="s">
        <v>4377</v>
      </c>
      <c r="B1194" s="2">
        <v>45740</v>
      </c>
      <c r="C1194" t="s">
        <v>805</v>
      </c>
      <c r="D1194" t="s">
        <v>225</v>
      </c>
      <c r="E1194" t="s">
        <v>4378</v>
      </c>
      <c r="F1194" t="s">
        <v>4379</v>
      </c>
      <c r="G1194" t="s">
        <v>34</v>
      </c>
      <c r="H1194" t="s">
        <v>160</v>
      </c>
      <c r="I1194" t="s">
        <v>141</v>
      </c>
      <c r="J1194" t="s">
        <v>50</v>
      </c>
      <c r="K1194" t="s">
        <v>194</v>
      </c>
      <c r="L1194" t="s">
        <v>115</v>
      </c>
      <c r="M1194" t="s">
        <v>53</v>
      </c>
      <c r="N1194" t="s">
        <v>54</v>
      </c>
      <c r="O1194" s="3">
        <v>320000</v>
      </c>
      <c r="P1194" s="4">
        <v>35</v>
      </c>
      <c r="Q1194" s="2">
        <v>45784</v>
      </c>
      <c r="R1194" s="2">
        <v>46214</v>
      </c>
      <c r="S1194" s="2">
        <v>45751</v>
      </c>
      <c r="T1194" s="2"/>
      <c r="U1194" t="str">
        <f t="shared" si="126"/>
        <v>No</v>
      </c>
      <c r="W11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4" t="str">
        <f t="shared" ca="1" si="127"/>
        <v>Due/Open</v>
      </c>
      <c r="Y1194" t="str">
        <f t="shared" si="128"/>
        <v>Open</v>
      </c>
      <c r="Z1194" t="str">
        <f t="shared" si="129"/>
        <v>Mar-2025</v>
      </c>
      <c r="AA1194" t="str">
        <f t="shared" si="130"/>
        <v>Q1 2025</v>
      </c>
      <c r="AB1194" s="4">
        <f t="shared" ca="1" si="131"/>
        <v>459</v>
      </c>
      <c r="AC1194" t="str">
        <f t="shared" si="132"/>
        <v>High</v>
      </c>
    </row>
    <row r="1195" spans="1:29">
      <c r="A1195" t="s">
        <v>4380</v>
      </c>
      <c r="B1195" s="2">
        <v>45749</v>
      </c>
      <c r="C1195" t="s">
        <v>175</v>
      </c>
      <c r="D1195" t="s">
        <v>484</v>
      </c>
      <c r="E1195" t="s">
        <v>4381</v>
      </c>
      <c r="F1195" t="s">
        <v>4382</v>
      </c>
      <c r="G1195" t="s">
        <v>69</v>
      </c>
      <c r="H1195" t="s">
        <v>285</v>
      </c>
      <c r="I1195" t="s">
        <v>36</v>
      </c>
      <c r="J1195" t="s">
        <v>50</v>
      </c>
      <c r="K1195" t="s">
        <v>194</v>
      </c>
      <c r="L1195" t="s">
        <v>154</v>
      </c>
      <c r="M1195" t="s">
        <v>90</v>
      </c>
      <c r="N1195" t="s">
        <v>91</v>
      </c>
      <c r="O1195" s="3">
        <v>350000</v>
      </c>
      <c r="P1195" s="4">
        <v>40</v>
      </c>
      <c r="Q1195" s="2">
        <v>45825</v>
      </c>
      <c r="R1195" s="2">
        <v>46189</v>
      </c>
      <c r="S1195" s="2">
        <v>45750</v>
      </c>
      <c r="T1195" s="2"/>
      <c r="U1195" t="str">
        <f t="shared" si="126"/>
        <v>No</v>
      </c>
      <c r="W11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5" t="str">
        <f t="shared" ca="1" si="127"/>
        <v>Overdue</v>
      </c>
      <c r="Y1195" t="str">
        <f t="shared" si="128"/>
        <v>Open</v>
      </c>
      <c r="Z1195" t="str">
        <f t="shared" si="129"/>
        <v>Apr-2025</v>
      </c>
      <c r="AA1195" t="str">
        <f t="shared" si="130"/>
        <v>Q2 2025</v>
      </c>
      <c r="AB1195" s="4">
        <f t="shared" ca="1" si="131"/>
        <v>450</v>
      </c>
      <c r="AC1195" t="str">
        <f t="shared" si="132"/>
        <v>High</v>
      </c>
    </row>
    <row r="1196" spans="1:29">
      <c r="A1196" t="s">
        <v>4383</v>
      </c>
      <c r="B1196" s="2">
        <v>46012</v>
      </c>
      <c r="C1196" t="s">
        <v>1436</v>
      </c>
      <c r="D1196" t="s">
        <v>394</v>
      </c>
      <c r="E1196" t="s">
        <v>4384</v>
      </c>
      <c r="F1196" t="s">
        <v>4385</v>
      </c>
      <c r="G1196" t="s">
        <v>34</v>
      </c>
      <c r="H1196" t="s">
        <v>238</v>
      </c>
      <c r="I1196" t="s">
        <v>36</v>
      </c>
      <c r="J1196" t="s">
        <v>37</v>
      </c>
      <c r="K1196" t="s">
        <v>71</v>
      </c>
      <c r="L1196" t="s">
        <v>81</v>
      </c>
      <c r="M1196" t="s">
        <v>53</v>
      </c>
      <c r="N1196" t="s">
        <v>54</v>
      </c>
      <c r="O1196" s="3">
        <v>165000</v>
      </c>
      <c r="P1196" s="4">
        <v>30</v>
      </c>
      <c r="Q1196" s="2">
        <v>46048</v>
      </c>
      <c r="R1196" s="2">
        <v>46179</v>
      </c>
      <c r="S1196" s="2">
        <v>46023</v>
      </c>
      <c r="T1196" s="2"/>
      <c r="U1196" t="str">
        <f t="shared" si="126"/>
        <v>No</v>
      </c>
      <c r="W11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6" t="str">
        <f t="shared" ca="1" si="127"/>
        <v>Overdue</v>
      </c>
      <c r="Y1196" t="str">
        <f t="shared" si="128"/>
        <v>Open</v>
      </c>
      <c r="Z1196" t="str">
        <f t="shared" si="129"/>
        <v>Dec-2025</v>
      </c>
      <c r="AA1196" t="str">
        <f t="shared" si="130"/>
        <v>Q4 2025</v>
      </c>
      <c r="AB1196" s="4">
        <f t="shared" ca="1" si="131"/>
        <v>187</v>
      </c>
      <c r="AC1196" t="str">
        <f t="shared" si="132"/>
        <v>Medium</v>
      </c>
    </row>
    <row r="1197" spans="1:29">
      <c r="A1197" t="s">
        <v>4386</v>
      </c>
      <c r="B1197" s="2">
        <v>46096</v>
      </c>
      <c r="C1197" t="s">
        <v>660</v>
      </c>
      <c r="D1197" t="s">
        <v>304</v>
      </c>
      <c r="E1197" t="s">
        <v>4387</v>
      </c>
      <c r="F1197" t="s">
        <v>4388</v>
      </c>
      <c r="G1197" t="s">
        <v>179</v>
      </c>
      <c r="H1197" t="s">
        <v>180</v>
      </c>
      <c r="I1197" t="s">
        <v>123</v>
      </c>
      <c r="J1197" t="s">
        <v>50</v>
      </c>
      <c r="K1197" t="s">
        <v>194</v>
      </c>
      <c r="L1197" t="s">
        <v>81</v>
      </c>
      <c r="M1197" t="s">
        <v>53</v>
      </c>
      <c r="N1197" t="s">
        <v>54</v>
      </c>
      <c r="O1197" s="3">
        <v>380000</v>
      </c>
      <c r="P1197" s="4">
        <v>30</v>
      </c>
      <c r="Q1197" s="2">
        <v>46190</v>
      </c>
      <c r="R1197" s="2">
        <v>46239</v>
      </c>
      <c r="S1197" s="2">
        <v>46120</v>
      </c>
      <c r="T1197" s="2"/>
      <c r="U1197" t="str">
        <f t="shared" si="126"/>
        <v>No</v>
      </c>
      <c r="W11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7" t="str">
        <f t="shared" ca="1" si="127"/>
        <v>Due/Open</v>
      </c>
      <c r="Y1197" t="str">
        <f t="shared" si="128"/>
        <v>Open</v>
      </c>
      <c r="Z1197" t="str">
        <f t="shared" si="129"/>
        <v>Mar-2026</v>
      </c>
      <c r="AA1197" t="str">
        <f t="shared" si="130"/>
        <v>Q1 2026</v>
      </c>
      <c r="AB1197" s="4">
        <f t="shared" ca="1" si="131"/>
        <v>103</v>
      </c>
      <c r="AC1197" t="str">
        <f t="shared" si="132"/>
        <v>High</v>
      </c>
    </row>
    <row r="1198" spans="1:29">
      <c r="A1198" t="s">
        <v>4389</v>
      </c>
      <c r="B1198" s="2">
        <v>45776</v>
      </c>
      <c r="C1198" t="s">
        <v>965</v>
      </c>
      <c r="D1198" t="s">
        <v>490</v>
      </c>
      <c r="E1198" t="s">
        <v>4390</v>
      </c>
      <c r="F1198" t="s">
        <v>4391</v>
      </c>
      <c r="G1198" t="s">
        <v>34</v>
      </c>
      <c r="H1198" t="s">
        <v>60</v>
      </c>
      <c r="I1198" t="s">
        <v>98</v>
      </c>
      <c r="J1198" t="s">
        <v>50</v>
      </c>
      <c r="K1198" t="s">
        <v>114</v>
      </c>
      <c r="L1198" t="s">
        <v>125</v>
      </c>
      <c r="M1198" t="s">
        <v>133</v>
      </c>
      <c r="N1198" t="s">
        <v>134</v>
      </c>
      <c r="O1198" s="3">
        <v>145000</v>
      </c>
      <c r="P1198" s="4">
        <v>0</v>
      </c>
      <c r="Q1198" s="2">
        <v>45834</v>
      </c>
      <c r="R1198" s="2"/>
      <c r="S1198" s="2">
        <v>45806</v>
      </c>
      <c r="T1198" s="2">
        <v>45834</v>
      </c>
      <c r="U1198" t="str">
        <f t="shared" si="126"/>
        <v>No</v>
      </c>
      <c r="V1198" t="s">
        <v>1105</v>
      </c>
      <c r="W11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198" t="str">
        <f t="shared" ca="1" si="127"/>
        <v>Closed</v>
      </c>
      <c r="Y1198" t="str">
        <f t="shared" si="128"/>
        <v>Closed</v>
      </c>
      <c r="Z1198" t="str">
        <f t="shared" si="129"/>
        <v>Apr-2025</v>
      </c>
      <c r="AA1198" t="str">
        <f t="shared" si="130"/>
        <v>Q2 2025</v>
      </c>
      <c r="AB1198" s="4">
        <f t="shared" ca="1" si="131"/>
        <v>423</v>
      </c>
      <c r="AC1198" t="str">
        <f t="shared" si="132"/>
        <v>Medium</v>
      </c>
    </row>
    <row r="1199" spans="1:29">
      <c r="A1199" t="s">
        <v>4392</v>
      </c>
      <c r="B1199" s="2">
        <v>45697</v>
      </c>
      <c r="C1199" t="s">
        <v>1825</v>
      </c>
      <c r="D1199" t="s">
        <v>352</v>
      </c>
      <c r="E1199" t="s">
        <v>4393</v>
      </c>
      <c r="F1199" t="s">
        <v>4394</v>
      </c>
      <c r="G1199" t="s">
        <v>179</v>
      </c>
      <c r="H1199" t="s">
        <v>180</v>
      </c>
      <c r="I1199" t="s">
        <v>49</v>
      </c>
      <c r="J1199" t="s">
        <v>131</v>
      </c>
      <c r="K1199" t="s">
        <v>114</v>
      </c>
      <c r="L1199" t="s">
        <v>63</v>
      </c>
      <c r="M1199" t="s">
        <v>166</v>
      </c>
      <c r="N1199" t="s">
        <v>167</v>
      </c>
      <c r="O1199" s="3">
        <v>235000</v>
      </c>
      <c r="P1199" s="4">
        <v>65</v>
      </c>
      <c r="Q1199" s="2">
        <v>45726</v>
      </c>
      <c r="R1199" s="2">
        <v>46224</v>
      </c>
      <c r="S1199" s="2">
        <v>45723</v>
      </c>
      <c r="T1199" s="2"/>
      <c r="U1199" t="str">
        <f t="shared" si="126"/>
        <v>No</v>
      </c>
      <c r="W11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199" t="str">
        <f t="shared" ca="1" si="127"/>
        <v>Due/Open</v>
      </c>
      <c r="Y1199" t="str">
        <f t="shared" si="128"/>
        <v>Open</v>
      </c>
      <c r="Z1199" t="str">
        <f t="shared" si="129"/>
        <v>Feb-2025</v>
      </c>
      <c r="AA1199" t="str">
        <f t="shared" si="130"/>
        <v>Q1 2025</v>
      </c>
      <c r="AB1199" s="4">
        <f t="shared" ca="1" si="131"/>
        <v>502</v>
      </c>
      <c r="AC1199" t="str">
        <f t="shared" si="132"/>
        <v>Medium</v>
      </c>
    </row>
    <row r="1200" spans="1:29">
      <c r="A1200" t="s">
        <v>4395</v>
      </c>
      <c r="B1200" s="2">
        <v>45726</v>
      </c>
      <c r="C1200" t="s">
        <v>1244</v>
      </c>
      <c r="D1200" t="s">
        <v>214</v>
      </c>
      <c r="E1200" t="s">
        <v>4396</v>
      </c>
      <c r="F1200" t="s">
        <v>4397</v>
      </c>
      <c r="G1200" t="s">
        <v>47</v>
      </c>
      <c r="H1200" t="s">
        <v>418</v>
      </c>
      <c r="I1200" t="s">
        <v>98</v>
      </c>
      <c r="J1200" t="s">
        <v>62</v>
      </c>
      <c r="K1200" t="s">
        <v>194</v>
      </c>
      <c r="L1200" t="s">
        <v>81</v>
      </c>
      <c r="M1200" t="s">
        <v>53</v>
      </c>
      <c r="N1200" t="s">
        <v>54</v>
      </c>
      <c r="O1200" s="3">
        <v>120000</v>
      </c>
      <c r="P1200" s="4">
        <v>30</v>
      </c>
      <c r="Q1200" s="2">
        <v>45750</v>
      </c>
      <c r="R1200" s="2">
        <v>46239</v>
      </c>
      <c r="S1200" s="2">
        <v>45740</v>
      </c>
      <c r="T1200" s="2"/>
      <c r="U1200" t="str">
        <f t="shared" si="126"/>
        <v>No</v>
      </c>
      <c r="W12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0" t="str">
        <f t="shared" ca="1" si="127"/>
        <v>Due/Open</v>
      </c>
      <c r="Y1200" t="str">
        <f t="shared" si="128"/>
        <v>Open</v>
      </c>
      <c r="Z1200" t="str">
        <f t="shared" si="129"/>
        <v>Mar-2025</v>
      </c>
      <c r="AA1200" t="str">
        <f t="shared" si="130"/>
        <v>Q1 2025</v>
      </c>
      <c r="AB1200" s="4">
        <f t="shared" ca="1" si="131"/>
        <v>473</v>
      </c>
      <c r="AC1200" t="str">
        <f t="shared" si="132"/>
        <v>Medium</v>
      </c>
    </row>
    <row r="1201" spans="1:29">
      <c r="A1201" t="s">
        <v>4398</v>
      </c>
      <c r="B1201" s="2">
        <v>46166</v>
      </c>
      <c r="C1201" t="s">
        <v>3226</v>
      </c>
      <c r="D1201" t="s">
        <v>557</v>
      </c>
      <c r="E1201" t="s">
        <v>4399</v>
      </c>
      <c r="F1201" t="s">
        <v>4400</v>
      </c>
      <c r="G1201" t="s">
        <v>179</v>
      </c>
      <c r="H1201" t="s">
        <v>436</v>
      </c>
      <c r="I1201" t="s">
        <v>49</v>
      </c>
      <c r="J1201" t="s">
        <v>124</v>
      </c>
      <c r="K1201" t="s">
        <v>51</v>
      </c>
      <c r="L1201" t="s">
        <v>81</v>
      </c>
      <c r="M1201" t="s">
        <v>73</v>
      </c>
      <c r="N1201" t="s">
        <v>73</v>
      </c>
      <c r="O1201" s="3">
        <v>225000</v>
      </c>
      <c r="P1201" s="4">
        <v>85</v>
      </c>
      <c r="Q1201" s="2">
        <v>46205</v>
      </c>
      <c r="R1201" s="2">
        <v>46230</v>
      </c>
      <c r="S1201" s="2">
        <v>46186</v>
      </c>
      <c r="T1201" s="2"/>
      <c r="U1201" t="str">
        <f t="shared" si="126"/>
        <v>No</v>
      </c>
      <c r="W12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1" t="str">
        <f t="shared" ca="1" si="127"/>
        <v>Due/Open</v>
      </c>
      <c r="Y1201" t="str">
        <f t="shared" si="128"/>
        <v>Open</v>
      </c>
      <c r="Z1201" t="str">
        <f t="shared" si="129"/>
        <v>May-2026</v>
      </c>
      <c r="AA1201" t="str">
        <f t="shared" si="130"/>
        <v>Q2 2026</v>
      </c>
      <c r="AB1201" s="4">
        <f t="shared" ca="1" si="131"/>
        <v>33</v>
      </c>
      <c r="AC1201" t="str">
        <f t="shared" si="132"/>
        <v>Medium</v>
      </c>
    </row>
    <row r="1202" spans="1:29">
      <c r="A1202" t="s">
        <v>4401</v>
      </c>
      <c r="B1202" s="2">
        <v>46185</v>
      </c>
      <c r="C1202" t="s">
        <v>1850</v>
      </c>
      <c r="D1202" t="s">
        <v>128</v>
      </c>
      <c r="E1202" t="s">
        <v>4402</v>
      </c>
      <c r="F1202" t="s">
        <v>4403</v>
      </c>
      <c r="G1202" t="s">
        <v>79</v>
      </c>
      <c r="H1202" t="s">
        <v>260</v>
      </c>
      <c r="I1202" t="s">
        <v>61</v>
      </c>
      <c r="J1202" t="s">
        <v>50</v>
      </c>
      <c r="K1202" t="s">
        <v>51</v>
      </c>
      <c r="L1202" t="s">
        <v>125</v>
      </c>
      <c r="M1202" t="s">
        <v>53</v>
      </c>
      <c r="N1202" t="s">
        <v>54</v>
      </c>
      <c r="O1202" s="3">
        <v>505000</v>
      </c>
      <c r="P1202" s="4">
        <v>25</v>
      </c>
      <c r="Q1202" s="2">
        <v>46240</v>
      </c>
      <c r="R1202" s="2">
        <v>46242</v>
      </c>
      <c r="S1202" s="2">
        <v>46198</v>
      </c>
      <c r="T1202" s="2"/>
      <c r="U1202" t="str">
        <f t="shared" si="126"/>
        <v>No</v>
      </c>
      <c r="W12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2" t="str">
        <f t="shared" ca="1" si="127"/>
        <v>Due/Open</v>
      </c>
      <c r="Y1202" t="str">
        <f t="shared" si="128"/>
        <v>Open</v>
      </c>
      <c r="Z1202" t="str">
        <f t="shared" si="129"/>
        <v>Jun-2026</v>
      </c>
      <c r="AA1202" t="str">
        <f t="shared" si="130"/>
        <v>Q2 2026</v>
      </c>
      <c r="AB1202" s="4">
        <f t="shared" ca="1" si="131"/>
        <v>14</v>
      </c>
      <c r="AC1202" t="str">
        <f t="shared" si="132"/>
        <v>High</v>
      </c>
    </row>
    <row r="1203" spans="1:29">
      <c r="A1203" t="s">
        <v>4404</v>
      </c>
      <c r="B1203" s="2">
        <v>45891</v>
      </c>
      <c r="C1203" t="s">
        <v>933</v>
      </c>
      <c r="D1203" t="s">
        <v>247</v>
      </c>
      <c r="E1203" t="s">
        <v>4405</v>
      </c>
      <c r="F1203" t="s">
        <v>4406</v>
      </c>
      <c r="G1203" t="s">
        <v>47</v>
      </c>
      <c r="H1203" t="s">
        <v>113</v>
      </c>
      <c r="I1203" t="s">
        <v>187</v>
      </c>
      <c r="J1203" t="s">
        <v>99</v>
      </c>
      <c r="K1203" t="s">
        <v>100</v>
      </c>
      <c r="L1203" t="s">
        <v>107</v>
      </c>
      <c r="M1203" t="s">
        <v>116</v>
      </c>
      <c r="N1203" t="s">
        <v>54</v>
      </c>
      <c r="O1203" s="3">
        <v>420000</v>
      </c>
      <c r="P1203" s="4">
        <v>25</v>
      </c>
      <c r="Q1203" s="2">
        <v>45939</v>
      </c>
      <c r="R1203" s="2">
        <v>46213</v>
      </c>
      <c r="S1203" s="2">
        <v>45913</v>
      </c>
      <c r="T1203" s="2"/>
      <c r="U1203" t="str">
        <f t="shared" si="126"/>
        <v>No</v>
      </c>
      <c r="W12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3" t="str">
        <f t="shared" ca="1" si="127"/>
        <v>Due/Open</v>
      </c>
      <c r="Y1203" t="str">
        <f t="shared" si="128"/>
        <v>Open</v>
      </c>
      <c r="Z1203" t="str">
        <f t="shared" si="129"/>
        <v>Aug-2025</v>
      </c>
      <c r="AA1203" t="str">
        <f t="shared" si="130"/>
        <v>Q3 2025</v>
      </c>
      <c r="AB1203" s="4">
        <f t="shared" ca="1" si="131"/>
        <v>308</v>
      </c>
      <c r="AC1203" t="str">
        <f t="shared" si="132"/>
        <v>High</v>
      </c>
    </row>
    <row r="1204" spans="1:29">
      <c r="A1204" t="s">
        <v>4407</v>
      </c>
      <c r="B1204" s="2">
        <v>46078</v>
      </c>
      <c r="C1204" t="s">
        <v>635</v>
      </c>
      <c r="D1204" t="s">
        <v>282</v>
      </c>
      <c r="E1204" t="s">
        <v>4408</v>
      </c>
      <c r="F1204" t="s">
        <v>4409</v>
      </c>
      <c r="G1204" t="s">
        <v>47</v>
      </c>
      <c r="H1204" t="s">
        <v>493</v>
      </c>
      <c r="I1204" t="s">
        <v>49</v>
      </c>
      <c r="J1204" t="s">
        <v>99</v>
      </c>
      <c r="K1204" t="s">
        <v>194</v>
      </c>
      <c r="L1204" t="s">
        <v>63</v>
      </c>
      <c r="M1204" t="s">
        <v>90</v>
      </c>
      <c r="N1204" t="s">
        <v>91</v>
      </c>
      <c r="O1204" s="3">
        <v>695000</v>
      </c>
      <c r="P1204" s="4">
        <v>55</v>
      </c>
      <c r="Q1204" s="2">
        <v>46169</v>
      </c>
      <c r="R1204" s="2">
        <v>46231</v>
      </c>
      <c r="S1204" s="2">
        <v>46081</v>
      </c>
      <c r="T1204" s="2"/>
      <c r="U1204" t="str">
        <f t="shared" si="126"/>
        <v>No</v>
      </c>
      <c r="W12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4" t="str">
        <f t="shared" ca="1" si="127"/>
        <v>Due/Open</v>
      </c>
      <c r="Y1204" t="str">
        <f t="shared" si="128"/>
        <v>Open</v>
      </c>
      <c r="Z1204" t="str">
        <f t="shared" si="129"/>
        <v>Feb-2026</v>
      </c>
      <c r="AA1204" t="str">
        <f t="shared" si="130"/>
        <v>Q1 2026</v>
      </c>
      <c r="AB1204" s="4">
        <f t="shared" ca="1" si="131"/>
        <v>121</v>
      </c>
      <c r="AC1204" t="str">
        <f t="shared" si="132"/>
        <v>High</v>
      </c>
    </row>
    <row r="1205" spans="1:29">
      <c r="A1205" t="s">
        <v>4410</v>
      </c>
      <c r="B1205" s="2">
        <v>45887</v>
      </c>
      <c r="C1205" t="s">
        <v>3327</v>
      </c>
      <c r="D1205" t="s">
        <v>645</v>
      </c>
      <c r="E1205" t="s">
        <v>4411</v>
      </c>
      <c r="F1205" t="s">
        <v>4412</v>
      </c>
      <c r="G1205" t="s">
        <v>179</v>
      </c>
      <c r="H1205" t="s">
        <v>436</v>
      </c>
      <c r="I1205" t="s">
        <v>49</v>
      </c>
      <c r="J1205" t="s">
        <v>124</v>
      </c>
      <c r="K1205" t="s">
        <v>51</v>
      </c>
      <c r="L1205" t="s">
        <v>52</v>
      </c>
      <c r="M1205" t="s">
        <v>90</v>
      </c>
      <c r="N1205" t="s">
        <v>91</v>
      </c>
      <c r="O1205" s="3">
        <v>190000</v>
      </c>
      <c r="P1205" s="4">
        <v>50</v>
      </c>
      <c r="Q1205" s="2">
        <v>45907</v>
      </c>
      <c r="R1205" s="2">
        <v>46206</v>
      </c>
      <c r="S1205" s="2">
        <v>45901</v>
      </c>
      <c r="T1205" s="2"/>
      <c r="U1205" t="str">
        <f t="shared" si="126"/>
        <v>No</v>
      </c>
      <c r="W12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5" t="str">
        <f t="shared" ca="1" si="127"/>
        <v>Due/Open</v>
      </c>
      <c r="Y1205" t="str">
        <f t="shared" si="128"/>
        <v>Open</v>
      </c>
      <c r="Z1205" t="str">
        <f t="shared" si="129"/>
        <v>Aug-2025</v>
      </c>
      <c r="AA1205" t="str">
        <f t="shared" si="130"/>
        <v>Q3 2025</v>
      </c>
      <c r="AB1205" s="4">
        <f t="shared" ca="1" si="131"/>
        <v>312</v>
      </c>
      <c r="AC1205" t="str">
        <f t="shared" si="132"/>
        <v>Medium</v>
      </c>
    </row>
    <row r="1206" spans="1:29">
      <c r="A1206" t="s">
        <v>4413</v>
      </c>
      <c r="B1206" s="2">
        <v>45868</v>
      </c>
      <c r="C1206" t="s">
        <v>4414</v>
      </c>
      <c r="D1206" t="s">
        <v>214</v>
      </c>
      <c r="E1206" t="s">
        <v>4415</v>
      </c>
      <c r="F1206" t="s">
        <v>4416</v>
      </c>
      <c r="G1206" t="s">
        <v>47</v>
      </c>
      <c r="H1206" t="s">
        <v>89</v>
      </c>
      <c r="I1206" t="s">
        <v>123</v>
      </c>
      <c r="J1206" t="s">
        <v>62</v>
      </c>
      <c r="K1206" t="s">
        <v>194</v>
      </c>
      <c r="L1206" t="s">
        <v>125</v>
      </c>
      <c r="M1206" t="s">
        <v>73</v>
      </c>
      <c r="N1206" t="s">
        <v>73</v>
      </c>
      <c r="O1206" s="3">
        <v>435000</v>
      </c>
      <c r="P1206" s="4">
        <v>85</v>
      </c>
      <c r="Q1206" s="2">
        <v>45960</v>
      </c>
      <c r="R1206" s="2">
        <v>46212</v>
      </c>
      <c r="S1206" s="2">
        <v>45888</v>
      </c>
      <c r="T1206" s="2"/>
      <c r="U1206" t="str">
        <f t="shared" si="126"/>
        <v>No</v>
      </c>
      <c r="W12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6" t="str">
        <f t="shared" ca="1" si="127"/>
        <v>Due/Open</v>
      </c>
      <c r="Y1206" t="str">
        <f t="shared" si="128"/>
        <v>Open</v>
      </c>
      <c r="Z1206" t="str">
        <f t="shared" si="129"/>
        <v>Jul-2025</v>
      </c>
      <c r="AA1206" t="str">
        <f t="shared" si="130"/>
        <v>Q3 2025</v>
      </c>
      <c r="AB1206" s="4">
        <f t="shared" ca="1" si="131"/>
        <v>331</v>
      </c>
      <c r="AC1206" t="str">
        <f t="shared" si="132"/>
        <v>High</v>
      </c>
    </row>
    <row r="1207" spans="1:29">
      <c r="A1207" t="s">
        <v>4417</v>
      </c>
      <c r="B1207" s="2">
        <v>46083</v>
      </c>
      <c r="C1207" t="s">
        <v>3410</v>
      </c>
      <c r="D1207" t="s">
        <v>1021</v>
      </c>
      <c r="E1207" t="s">
        <v>4418</v>
      </c>
      <c r="F1207" t="s">
        <v>4419</v>
      </c>
      <c r="G1207" t="s">
        <v>79</v>
      </c>
      <c r="H1207" t="s">
        <v>260</v>
      </c>
      <c r="I1207" t="s">
        <v>123</v>
      </c>
      <c r="J1207" t="s">
        <v>50</v>
      </c>
      <c r="K1207" t="s">
        <v>51</v>
      </c>
      <c r="L1207" t="s">
        <v>72</v>
      </c>
      <c r="M1207" t="s">
        <v>73</v>
      </c>
      <c r="N1207" t="s">
        <v>73</v>
      </c>
      <c r="O1207" s="3">
        <v>155000</v>
      </c>
      <c r="P1207" s="4">
        <v>75</v>
      </c>
      <c r="Q1207" s="2">
        <v>46105</v>
      </c>
      <c r="R1207" s="2">
        <v>46239</v>
      </c>
      <c r="S1207" s="2">
        <v>46110</v>
      </c>
      <c r="T1207" s="2"/>
      <c r="U1207" t="str">
        <f t="shared" si="126"/>
        <v>No</v>
      </c>
      <c r="W12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7" t="str">
        <f t="shared" ca="1" si="127"/>
        <v>Due/Open</v>
      </c>
      <c r="Y1207" t="str">
        <f t="shared" si="128"/>
        <v>Open</v>
      </c>
      <c r="Z1207" t="str">
        <f t="shared" si="129"/>
        <v>Mar-2026</v>
      </c>
      <c r="AA1207" t="str">
        <f t="shared" si="130"/>
        <v>Q1 2026</v>
      </c>
      <c r="AB1207" s="4">
        <f t="shared" ca="1" si="131"/>
        <v>116</v>
      </c>
      <c r="AC1207" t="str">
        <f t="shared" si="132"/>
        <v>Medium</v>
      </c>
    </row>
    <row r="1208" spans="1:29">
      <c r="A1208" t="s">
        <v>4420</v>
      </c>
      <c r="B1208" s="2">
        <v>46018</v>
      </c>
      <c r="C1208" t="s">
        <v>1835</v>
      </c>
      <c r="D1208" t="s">
        <v>1662</v>
      </c>
      <c r="E1208" t="s">
        <v>4421</v>
      </c>
      <c r="F1208" t="s">
        <v>4422</v>
      </c>
      <c r="G1208" t="s">
        <v>34</v>
      </c>
      <c r="H1208" t="s">
        <v>160</v>
      </c>
      <c r="I1208" t="s">
        <v>187</v>
      </c>
      <c r="J1208" t="s">
        <v>62</v>
      </c>
      <c r="K1208" t="s">
        <v>38</v>
      </c>
      <c r="L1208" t="s">
        <v>125</v>
      </c>
      <c r="M1208" t="s">
        <v>82</v>
      </c>
      <c r="N1208" t="s">
        <v>83</v>
      </c>
      <c r="O1208" s="3">
        <v>325000</v>
      </c>
      <c r="P1208" s="4">
        <v>10</v>
      </c>
      <c r="Q1208" s="2">
        <v>46068</v>
      </c>
      <c r="R1208" s="2">
        <v>46227</v>
      </c>
      <c r="S1208" s="2">
        <v>46031</v>
      </c>
      <c r="T1208" s="2"/>
      <c r="U1208" t="str">
        <f t="shared" si="126"/>
        <v>No</v>
      </c>
      <c r="W12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8" t="str">
        <f t="shared" ca="1" si="127"/>
        <v>Due/Open</v>
      </c>
      <c r="Y1208" t="str">
        <f t="shared" si="128"/>
        <v>Open</v>
      </c>
      <c r="Z1208" t="str">
        <f t="shared" si="129"/>
        <v>Dec-2025</v>
      </c>
      <c r="AA1208" t="str">
        <f t="shared" si="130"/>
        <v>Q4 2025</v>
      </c>
      <c r="AB1208" s="4">
        <f t="shared" ca="1" si="131"/>
        <v>181</v>
      </c>
      <c r="AC1208" t="str">
        <f t="shared" si="132"/>
        <v>High</v>
      </c>
    </row>
    <row r="1209" spans="1:29">
      <c r="A1209" t="s">
        <v>4423</v>
      </c>
      <c r="B1209" s="2">
        <v>46079</v>
      </c>
      <c r="C1209" t="s">
        <v>475</v>
      </c>
      <c r="D1209" t="s">
        <v>684</v>
      </c>
      <c r="E1209" t="s">
        <v>4424</v>
      </c>
      <c r="F1209" t="s">
        <v>4425</v>
      </c>
      <c r="G1209" t="s">
        <v>69</v>
      </c>
      <c r="H1209" t="s">
        <v>270</v>
      </c>
      <c r="I1209" t="s">
        <v>49</v>
      </c>
      <c r="J1209" t="s">
        <v>50</v>
      </c>
      <c r="K1209" t="s">
        <v>38</v>
      </c>
      <c r="L1209" t="s">
        <v>142</v>
      </c>
      <c r="M1209" t="s">
        <v>166</v>
      </c>
      <c r="N1209" t="s">
        <v>167</v>
      </c>
      <c r="O1209" s="3">
        <v>310000</v>
      </c>
      <c r="P1209" s="4">
        <v>60</v>
      </c>
      <c r="Q1209" s="2">
        <v>46125</v>
      </c>
      <c r="R1209" s="2">
        <v>46235</v>
      </c>
      <c r="S1209" s="2">
        <v>46095</v>
      </c>
      <c r="T1209" s="2"/>
      <c r="U1209" t="str">
        <f t="shared" si="126"/>
        <v>No</v>
      </c>
      <c r="W12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09" t="str">
        <f t="shared" ca="1" si="127"/>
        <v>Due/Open</v>
      </c>
      <c r="Y1209" t="str">
        <f t="shared" si="128"/>
        <v>Open</v>
      </c>
      <c r="Z1209" t="str">
        <f t="shared" si="129"/>
        <v>Feb-2026</v>
      </c>
      <c r="AA1209" t="str">
        <f t="shared" si="130"/>
        <v>Q1 2026</v>
      </c>
      <c r="AB1209" s="4">
        <f t="shared" ca="1" si="131"/>
        <v>120</v>
      </c>
      <c r="AC1209" t="str">
        <f t="shared" si="132"/>
        <v>High</v>
      </c>
    </row>
    <row r="1210" spans="1:29">
      <c r="A1210" t="s">
        <v>4426</v>
      </c>
      <c r="B1210" s="2">
        <v>46161</v>
      </c>
      <c r="C1210" t="s">
        <v>246</v>
      </c>
      <c r="D1210" t="s">
        <v>1148</v>
      </c>
      <c r="E1210" t="s">
        <v>4427</v>
      </c>
      <c r="F1210" t="s">
        <v>4428</v>
      </c>
      <c r="G1210" t="s">
        <v>34</v>
      </c>
      <c r="H1210" t="s">
        <v>60</v>
      </c>
      <c r="I1210" t="s">
        <v>187</v>
      </c>
      <c r="J1210" t="s">
        <v>99</v>
      </c>
      <c r="K1210" t="s">
        <v>51</v>
      </c>
      <c r="L1210" t="s">
        <v>39</v>
      </c>
      <c r="M1210" t="s">
        <v>90</v>
      </c>
      <c r="N1210" t="s">
        <v>91</v>
      </c>
      <c r="O1210" s="3">
        <v>300000</v>
      </c>
      <c r="P1210" s="4">
        <v>50</v>
      </c>
      <c r="Q1210" s="2">
        <v>46183</v>
      </c>
      <c r="R1210" s="2">
        <v>46221</v>
      </c>
      <c r="S1210" s="2">
        <v>46187</v>
      </c>
      <c r="T1210" s="2"/>
      <c r="U1210" t="str">
        <f t="shared" si="126"/>
        <v>No</v>
      </c>
      <c r="W12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0" t="str">
        <f t="shared" ca="1" si="127"/>
        <v>Due/Open</v>
      </c>
      <c r="Y1210" t="str">
        <f t="shared" si="128"/>
        <v>Open</v>
      </c>
      <c r="Z1210" t="str">
        <f t="shared" si="129"/>
        <v>May-2026</v>
      </c>
      <c r="AA1210" t="str">
        <f t="shared" si="130"/>
        <v>Q2 2026</v>
      </c>
      <c r="AB1210" s="4">
        <f t="shared" ca="1" si="131"/>
        <v>38</v>
      </c>
      <c r="AC1210" t="str">
        <f t="shared" si="132"/>
        <v>High</v>
      </c>
    </row>
    <row r="1211" spans="1:29">
      <c r="A1211" t="s">
        <v>4429</v>
      </c>
      <c r="B1211" s="2">
        <v>45817</v>
      </c>
      <c r="C1211" t="s">
        <v>2086</v>
      </c>
      <c r="D1211" t="s">
        <v>784</v>
      </c>
      <c r="E1211" t="s">
        <v>4430</v>
      </c>
      <c r="F1211" t="s">
        <v>4431</v>
      </c>
      <c r="G1211" t="s">
        <v>79</v>
      </c>
      <c r="H1211" t="s">
        <v>106</v>
      </c>
      <c r="I1211" t="s">
        <v>36</v>
      </c>
      <c r="J1211" t="s">
        <v>50</v>
      </c>
      <c r="K1211" t="s">
        <v>114</v>
      </c>
      <c r="L1211" t="s">
        <v>52</v>
      </c>
      <c r="M1211" t="s">
        <v>210</v>
      </c>
      <c r="N1211" t="s">
        <v>134</v>
      </c>
      <c r="O1211" s="3">
        <v>475000</v>
      </c>
      <c r="P1211" s="4">
        <v>0</v>
      </c>
      <c r="Q1211" s="2">
        <v>45892</v>
      </c>
      <c r="R1211" s="2"/>
      <c r="S1211" s="2">
        <v>45818</v>
      </c>
      <c r="T1211" s="2">
        <v>45892</v>
      </c>
      <c r="U1211" t="str">
        <f t="shared" si="126"/>
        <v>No</v>
      </c>
      <c r="V1211" t="s">
        <v>1105</v>
      </c>
      <c r="W12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211" t="str">
        <f t="shared" ca="1" si="127"/>
        <v>Closed</v>
      </c>
      <c r="Y1211" t="str">
        <f t="shared" si="128"/>
        <v>Closed</v>
      </c>
      <c r="Z1211" t="str">
        <f t="shared" si="129"/>
        <v>Jun-2025</v>
      </c>
      <c r="AA1211" t="str">
        <f t="shared" si="130"/>
        <v>Q2 2025</v>
      </c>
      <c r="AB1211" s="4">
        <f t="shared" ca="1" si="131"/>
        <v>382</v>
      </c>
      <c r="AC1211" t="str">
        <f t="shared" si="132"/>
        <v>High</v>
      </c>
    </row>
    <row r="1212" spans="1:29">
      <c r="A1212" t="s">
        <v>4432</v>
      </c>
      <c r="B1212" s="2">
        <v>46068</v>
      </c>
      <c r="C1212" t="s">
        <v>2648</v>
      </c>
      <c r="D1212" t="s">
        <v>522</v>
      </c>
      <c r="E1212" t="s">
        <v>4433</v>
      </c>
      <c r="F1212" t="s">
        <v>4434</v>
      </c>
      <c r="G1212" t="s">
        <v>79</v>
      </c>
      <c r="H1212" t="s">
        <v>106</v>
      </c>
      <c r="I1212" t="s">
        <v>187</v>
      </c>
      <c r="J1212" t="s">
        <v>124</v>
      </c>
      <c r="K1212" t="s">
        <v>114</v>
      </c>
      <c r="L1212" t="s">
        <v>125</v>
      </c>
      <c r="M1212" t="s">
        <v>166</v>
      </c>
      <c r="N1212" t="s">
        <v>167</v>
      </c>
      <c r="O1212" s="3">
        <v>325000</v>
      </c>
      <c r="P1212" s="4">
        <v>70</v>
      </c>
      <c r="Q1212" s="2">
        <v>46121</v>
      </c>
      <c r="R1212" s="2">
        <v>46153</v>
      </c>
      <c r="S1212" s="2">
        <v>46093</v>
      </c>
      <c r="T1212" s="2"/>
      <c r="U1212" t="str">
        <f t="shared" si="126"/>
        <v>No</v>
      </c>
      <c r="W12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2" t="str">
        <f t="shared" ca="1" si="127"/>
        <v>Overdue</v>
      </c>
      <c r="Y1212" t="str">
        <f t="shared" si="128"/>
        <v>Open</v>
      </c>
      <c r="Z1212" t="str">
        <f t="shared" si="129"/>
        <v>Feb-2026</v>
      </c>
      <c r="AA1212" t="str">
        <f t="shared" si="130"/>
        <v>Q1 2026</v>
      </c>
      <c r="AB1212" s="4">
        <f t="shared" ca="1" si="131"/>
        <v>131</v>
      </c>
      <c r="AC1212" t="str">
        <f t="shared" si="132"/>
        <v>High</v>
      </c>
    </row>
    <row r="1213" spans="1:29">
      <c r="A1213" t="s">
        <v>4435</v>
      </c>
      <c r="B1213" s="2">
        <v>46099</v>
      </c>
      <c r="C1213" t="s">
        <v>4436</v>
      </c>
      <c r="D1213" t="s">
        <v>636</v>
      </c>
      <c r="E1213" t="s">
        <v>4437</v>
      </c>
      <c r="F1213" t="s">
        <v>4438</v>
      </c>
      <c r="G1213" t="s">
        <v>179</v>
      </c>
      <c r="H1213" t="s">
        <v>487</v>
      </c>
      <c r="I1213" t="s">
        <v>36</v>
      </c>
      <c r="J1213" t="s">
        <v>37</v>
      </c>
      <c r="K1213" t="s">
        <v>51</v>
      </c>
      <c r="L1213" t="s">
        <v>52</v>
      </c>
      <c r="M1213" t="s">
        <v>116</v>
      </c>
      <c r="N1213" t="s">
        <v>54</v>
      </c>
      <c r="O1213" s="3">
        <v>170000</v>
      </c>
      <c r="P1213" s="4">
        <v>20</v>
      </c>
      <c r="Q1213" s="2">
        <v>46179</v>
      </c>
      <c r="R1213" s="2">
        <v>46240</v>
      </c>
      <c r="S1213" s="2">
        <v>46122</v>
      </c>
      <c r="T1213" s="2"/>
      <c r="U1213" t="str">
        <f t="shared" si="126"/>
        <v>No</v>
      </c>
      <c r="W12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3" t="str">
        <f t="shared" ca="1" si="127"/>
        <v>Due/Open</v>
      </c>
      <c r="Y1213" t="str">
        <f t="shared" si="128"/>
        <v>Open</v>
      </c>
      <c r="Z1213" t="str">
        <f t="shared" si="129"/>
        <v>Mar-2026</v>
      </c>
      <c r="AA1213" t="str">
        <f t="shared" si="130"/>
        <v>Q1 2026</v>
      </c>
      <c r="AB1213" s="4">
        <f t="shared" ca="1" si="131"/>
        <v>100</v>
      </c>
      <c r="AC1213" t="str">
        <f t="shared" si="132"/>
        <v>Medium</v>
      </c>
    </row>
    <row r="1214" spans="1:29">
      <c r="A1214" t="s">
        <v>4439</v>
      </c>
      <c r="B1214" s="2">
        <v>45999</v>
      </c>
      <c r="C1214" t="s">
        <v>346</v>
      </c>
      <c r="D1214" t="s">
        <v>207</v>
      </c>
      <c r="E1214" t="s">
        <v>4440</v>
      </c>
      <c r="F1214" t="s">
        <v>4441</v>
      </c>
      <c r="G1214" t="s">
        <v>69</v>
      </c>
      <c r="H1214" t="s">
        <v>200</v>
      </c>
      <c r="I1214" t="s">
        <v>148</v>
      </c>
      <c r="J1214" t="s">
        <v>50</v>
      </c>
      <c r="K1214" t="s">
        <v>71</v>
      </c>
      <c r="L1214" t="s">
        <v>125</v>
      </c>
      <c r="M1214" t="s">
        <v>116</v>
      </c>
      <c r="N1214" t="s">
        <v>54</v>
      </c>
      <c r="O1214" s="3">
        <v>450000</v>
      </c>
      <c r="P1214" s="4">
        <v>25</v>
      </c>
      <c r="Q1214" s="2">
        <v>46091</v>
      </c>
      <c r="R1214" s="2">
        <v>46224</v>
      </c>
      <c r="S1214" s="2">
        <v>46007</v>
      </c>
      <c r="T1214" s="2"/>
      <c r="U1214" t="str">
        <f t="shared" si="126"/>
        <v>No</v>
      </c>
      <c r="W12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4" t="str">
        <f t="shared" ca="1" si="127"/>
        <v>Due/Open</v>
      </c>
      <c r="Y1214" t="str">
        <f t="shared" si="128"/>
        <v>Open</v>
      </c>
      <c r="Z1214" t="str">
        <f t="shared" si="129"/>
        <v>Dec-2025</v>
      </c>
      <c r="AA1214" t="str">
        <f t="shared" si="130"/>
        <v>Q4 2025</v>
      </c>
      <c r="AB1214" s="4">
        <f t="shared" ca="1" si="131"/>
        <v>200</v>
      </c>
      <c r="AC1214" t="str">
        <f t="shared" si="132"/>
        <v>High</v>
      </c>
    </row>
    <row r="1215" spans="1:29">
      <c r="A1215" t="s">
        <v>4442</v>
      </c>
      <c r="B1215" s="2">
        <v>45887</v>
      </c>
      <c r="C1215" t="s">
        <v>2336</v>
      </c>
      <c r="D1215" t="s">
        <v>66</v>
      </c>
      <c r="E1215" t="s">
        <v>4443</v>
      </c>
      <c r="F1215" t="s">
        <v>4444</v>
      </c>
      <c r="G1215" t="s">
        <v>79</v>
      </c>
      <c r="H1215" t="s">
        <v>80</v>
      </c>
      <c r="I1215" t="s">
        <v>36</v>
      </c>
      <c r="J1215" t="s">
        <v>50</v>
      </c>
      <c r="K1215" t="s">
        <v>38</v>
      </c>
      <c r="L1215" t="s">
        <v>72</v>
      </c>
      <c r="M1215" t="s">
        <v>116</v>
      </c>
      <c r="N1215" t="s">
        <v>54</v>
      </c>
      <c r="O1215" s="3">
        <v>535000</v>
      </c>
      <c r="P1215" s="4">
        <v>20</v>
      </c>
      <c r="Q1215" s="2">
        <v>45938</v>
      </c>
      <c r="R1215" s="2">
        <v>46236</v>
      </c>
      <c r="S1215" s="2">
        <v>45894</v>
      </c>
      <c r="T1215" s="2"/>
      <c r="U1215" t="str">
        <f t="shared" si="126"/>
        <v>No</v>
      </c>
      <c r="W12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5" t="str">
        <f t="shared" ca="1" si="127"/>
        <v>Due/Open</v>
      </c>
      <c r="Y1215" t="str">
        <f t="shared" si="128"/>
        <v>Open</v>
      </c>
      <c r="Z1215" t="str">
        <f t="shared" si="129"/>
        <v>Aug-2025</v>
      </c>
      <c r="AA1215" t="str">
        <f t="shared" si="130"/>
        <v>Q3 2025</v>
      </c>
      <c r="AB1215" s="4">
        <f t="shared" ca="1" si="131"/>
        <v>312</v>
      </c>
      <c r="AC1215" t="str">
        <f t="shared" si="132"/>
        <v>High</v>
      </c>
    </row>
    <row r="1216" spans="1:29">
      <c r="A1216" t="s">
        <v>4445</v>
      </c>
      <c r="B1216" s="2">
        <v>46028</v>
      </c>
      <c r="C1216" t="s">
        <v>3178</v>
      </c>
      <c r="D1216" t="s">
        <v>909</v>
      </c>
      <c r="E1216" t="s">
        <v>4446</v>
      </c>
      <c r="F1216" t="s">
        <v>4447</v>
      </c>
      <c r="G1216" t="s">
        <v>179</v>
      </c>
      <c r="H1216" t="s">
        <v>186</v>
      </c>
      <c r="I1216" t="s">
        <v>141</v>
      </c>
      <c r="J1216" t="s">
        <v>37</v>
      </c>
      <c r="K1216" t="s">
        <v>38</v>
      </c>
      <c r="L1216" t="s">
        <v>115</v>
      </c>
      <c r="M1216" t="s">
        <v>133</v>
      </c>
      <c r="N1216" t="s">
        <v>134</v>
      </c>
      <c r="O1216" s="3">
        <v>170000</v>
      </c>
      <c r="P1216" s="4">
        <v>0</v>
      </c>
      <c r="Q1216" s="2">
        <v>46073</v>
      </c>
      <c r="R1216" s="2"/>
      <c r="S1216" s="2">
        <v>46038</v>
      </c>
      <c r="T1216" s="2">
        <v>46073</v>
      </c>
      <c r="U1216" t="str">
        <f t="shared" si="126"/>
        <v>No</v>
      </c>
      <c r="V1216" t="s">
        <v>1105</v>
      </c>
      <c r="W121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45</v>
      </c>
      <c r="X1216" t="str">
        <f t="shared" ca="1" si="127"/>
        <v>Closed</v>
      </c>
      <c r="Y1216" t="str">
        <f t="shared" si="128"/>
        <v>Closed</v>
      </c>
      <c r="Z1216" t="str">
        <f t="shared" si="129"/>
        <v>Jan-2026</v>
      </c>
      <c r="AA1216" t="str">
        <f t="shared" si="130"/>
        <v>Q1 2026</v>
      </c>
      <c r="AB1216" s="4">
        <f t="shared" ca="1" si="131"/>
        <v>171</v>
      </c>
      <c r="AC1216" t="str">
        <f t="shared" si="132"/>
        <v>Medium</v>
      </c>
    </row>
    <row r="1217" spans="1:29">
      <c r="A1217" t="s">
        <v>4448</v>
      </c>
      <c r="B1217" s="2">
        <v>45929</v>
      </c>
      <c r="C1217" t="s">
        <v>1432</v>
      </c>
      <c r="D1217" t="s">
        <v>710</v>
      </c>
      <c r="E1217" t="s">
        <v>4449</v>
      </c>
      <c r="F1217" t="s">
        <v>4450</v>
      </c>
      <c r="G1217" t="s">
        <v>47</v>
      </c>
      <c r="H1217" t="s">
        <v>113</v>
      </c>
      <c r="I1217" t="s">
        <v>187</v>
      </c>
      <c r="J1217" t="s">
        <v>37</v>
      </c>
      <c r="K1217" t="s">
        <v>38</v>
      </c>
      <c r="L1217" t="s">
        <v>52</v>
      </c>
      <c r="M1217" t="s">
        <v>116</v>
      </c>
      <c r="N1217" t="s">
        <v>54</v>
      </c>
      <c r="O1217" s="3">
        <v>85000</v>
      </c>
      <c r="P1217" s="4">
        <v>25</v>
      </c>
      <c r="Q1217" s="2">
        <v>46011</v>
      </c>
      <c r="R1217" s="2">
        <v>46210</v>
      </c>
      <c r="S1217" s="2">
        <v>45932</v>
      </c>
      <c r="T1217" s="2"/>
      <c r="U1217" t="str">
        <f t="shared" si="126"/>
        <v>No</v>
      </c>
      <c r="W12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7" t="str">
        <f t="shared" ca="1" si="127"/>
        <v>Due/Open</v>
      </c>
      <c r="Y1217" t="str">
        <f t="shared" si="128"/>
        <v>Open</v>
      </c>
      <c r="Z1217" t="str">
        <f t="shared" si="129"/>
        <v>Sep-2025</v>
      </c>
      <c r="AA1217" t="str">
        <f t="shared" si="130"/>
        <v>Q3 2025</v>
      </c>
      <c r="AB1217" s="4">
        <f t="shared" ca="1" si="131"/>
        <v>270</v>
      </c>
      <c r="AC1217" t="str">
        <f t="shared" si="132"/>
        <v>Low</v>
      </c>
    </row>
    <row r="1218" spans="1:29">
      <c r="A1218" t="s">
        <v>4451</v>
      </c>
      <c r="B1218" s="2">
        <v>45896</v>
      </c>
      <c r="C1218" t="s">
        <v>219</v>
      </c>
      <c r="D1218" t="s">
        <v>242</v>
      </c>
      <c r="E1218" t="s">
        <v>4452</v>
      </c>
      <c r="F1218" t="s">
        <v>4453</v>
      </c>
      <c r="G1218" t="s">
        <v>69</v>
      </c>
      <c r="H1218" t="s">
        <v>285</v>
      </c>
      <c r="I1218" t="s">
        <v>98</v>
      </c>
      <c r="J1218" t="s">
        <v>37</v>
      </c>
      <c r="K1218" t="s">
        <v>100</v>
      </c>
      <c r="L1218" t="s">
        <v>239</v>
      </c>
      <c r="M1218" t="s">
        <v>82</v>
      </c>
      <c r="N1218" t="s">
        <v>83</v>
      </c>
      <c r="O1218" s="3">
        <v>135000</v>
      </c>
      <c r="P1218" s="4">
        <v>5</v>
      </c>
      <c r="Q1218" s="2">
        <v>45952</v>
      </c>
      <c r="R1218" s="2">
        <v>46236</v>
      </c>
      <c r="S1218" s="2">
        <v>45898</v>
      </c>
      <c r="T1218" s="2"/>
      <c r="U1218" t="str">
        <f t="shared" ref="U1218:U1281" si="133">IF(M1218="Converted","Yes","No")</f>
        <v>No</v>
      </c>
      <c r="W12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8" t="str">
        <f t="shared" ref="X1218:X1281" ca="1" si="134">IF(OR(M1218="Converted",M1218="Lost",M1218="Not Interested"),"Closed",IF(R1218&lt;TODAY(),"Overdue","Due/Open"))</f>
        <v>Due/Open</v>
      </c>
      <c r="Y1218" t="str">
        <f t="shared" ref="Y1218:Y1281" si="135">IF(OR(M1218="Converted",M1218="Lost",M1218="Not Interested"),"Closed","Open")</f>
        <v>Open</v>
      </c>
      <c r="Z1218" t="str">
        <f t="shared" ref="Z1218:Z1281" si="136">TEXT(B1218,"mmm-yyyy")</f>
        <v>Aug-2025</v>
      </c>
      <c r="AA1218" t="str">
        <f t="shared" ref="AA1218:AA1281" si="137">"Q"&amp;ROUNDUP(MONTH(B1218)/3,0)&amp;" "&amp;YEAR(B1218)</f>
        <v>Q3 2025</v>
      </c>
      <c r="AB1218" s="4">
        <f t="shared" ref="AB1218:AB1281" ca="1" si="138">TODAY()-B1218</f>
        <v>303</v>
      </c>
      <c r="AC1218" t="str">
        <f t="shared" ref="AC1218:AC1281" si="139">IF(O1218&gt;=300000,"High",IF(O1218&gt;=120000,"Medium","Low"))</f>
        <v>Medium</v>
      </c>
    </row>
    <row r="1219" spans="1:29">
      <c r="A1219" t="s">
        <v>4454</v>
      </c>
      <c r="B1219" s="2">
        <v>45903</v>
      </c>
      <c r="C1219" t="s">
        <v>4455</v>
      </c>
      <c r="D1219" t="s">
        <v>394</v>
      </c>
      <c r="E1219" t="s">
        <v>4456</v>
      </c>
      <c r="F1219" t="s">
        <v>4457</v>
      </c>
      <c r="G1219" t="s">
        <v>179</v>
      </c>
      <c r="H1219" t="s">
        <v>296</v>
      </c>
      <c r="I1219" t="s">
        <v>148</v>
      </c>
      <c r="J1219" t="s">
        <v>99</v>
      </c>
      <c r="K1219" t="s">
        <v>71</v>
      </c>
      <c r="L1219" t="s">
        <v>63</v>
      </c>
      <c r="M1219" t="s">
        <v>73</v>
      </c>
      <c r="N1219" t="s">
        <v>73</v>
      </c>
      <c r="O1219" s="3">
        <v>295000</v>
      </c>
      <c r="P1219" s="4">
        <v>80</v>
      </c>
      <c r="Q1219" s="2">
        <v>45979</v>
      </c>
      <c r="R1219" s="2">
        <v>46196</v>
      </c>
      <c r="S1219" s="2">
        <v>45922</v>
      </c>
      <c r="T1219" s="2"/>
      <c r="U1219" t="str">
        <f t="shared" si="133"/>
        <v>No</v>
      </c>
      <c r="W12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19" t="str">
        <f t="shared" ca="1" si="134"/>
        <v>Overdue</v>
      </c>
      <c r="Y1219" t="str">
        <f t="shared" si="135"/>
        <v>Open</v>
      </c>
      <c r="Z1219" t="str">
        <f t="shared" si="136"/>
        <v>Sep-2025</v>
      </c>
      <c r="AA1219" t="str">
        <f t="shared" si="137"/>
        <v>Q3 2025</v>
      </c>
      <c r="AB1219" s="4">
        <f t="shared" ca="1" si="138"/>
        <v>296</v>
      </c>
      <c r="AC1219" t="str">
        <f t="shared" si="139"/>
        <v>Medium</v>
      </c>
    </row>
    <row r="1220" spans="1:29">
      <c r="A1220" t="s">
        <v>4458</v>
      </c>
      <c r="B1220" s="2">
        <v>45972</v>
      </c>
      <c r="C1220" t="s">
        <v>746</v>
      </c>
      <c r="D1220" t="s">
        <v>742</v>
      </c>
      <c r="E1220" t="s">
        <v>4459</v>
      </c>
      <c r="F1220" t="s">
        <v>4460</v>
      </c>
      <c r="G1220" t="s">
        <v>179</v>
      </c>
      <c r="H1220" t="s">
        <v>186</v>
      </c>
      <c r="I1220" t="s">
        <v>148</v>
      </c>
      <c r="J1220" t="s">
        <v>62</v>
      </c>
      <c r="K1220" t="s">
        <v>71</v>
      </c>
      <c r="L1220" t="s">
        <v>63</v>
      </c>
      <c r="M1220" t="s">
        <v>53</v>
      </c>
      <c r="N1220" t="s">
        <v>54</v>
      </c>
      <c r="O1220" s="3">
        <v>280000</v>
      </c>
      <c r="P1220" s="4">
        <v>35</v>
      </c>
      <c r="Q1220" s="2">
        <v>46021</v>
      </c>
      <c r="R1220" s="2">
        <v>46222</v>
      </c>
      <c r="S1220" s="2">
        <v>45979</v>
      </c>
      <c r="T1220" s="2"/>
      <c r="U1220" t="str">
        <f t="shared" si="133"/>
        <v>No</v>
      </c>
      <c r="W12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0" t="str">
        <f t="shared" ca="1" si="134"/>
        <v>Due/Open</v>
      </c>
      <c r="Y1220" t="str">
        <f t="shared" si="135"/>
        <v>Open</v>
      </c>
      <c r="Z1220" t="str">
        <f t="shared" si="136"/>
        <v>Nov-2025</v>
      </c>
      <c r="AA1220" t="str">
        <f t="shared" si="137"/>
        <v>Q4 2025</v>
      </c>
      <c r="AB1220" s="4">
        <f t="shared" ca="1" si="138"/>
        <v>227</v>
      </c>
      <c r="AC1220" t="str">
        <f t="shared" si="139"/>
        <v>Medium</v>
      </c>
    </row>
    <row r="1221" spans="1:29">
      <c r="A1221" t="s">
        <v>4461</v>
      </c>
      <c r="B1221" s="2">
        <v>45718</v>
      </c>
      <c r="C1221" t="s">
        <v>1921</v>
      </c>
      <c r="D1221" t="s">
        <v>986</v>
      </c>
      <c r="E1221" t="s">
        <v>4462</v>
      </c>
      <c r="F1221" t="s">
        <v>4463</v>
      </c>
      <c r="G1221" t="s">
        <v>69</v>
      </c>
      <c r="H1221" t="s">
        <v>270</v>
      </c>
      <c r="I1221" t="s">
        <v>36</v>
      </c>
      <c r="J1221" t="s">
        <v>99</v>
      </c>
      <c r="K1221" t="s">
        <v>71</v>
      </c>
      <c r="L1221" t="s">
        <v>125</v>
      </c>
      <c r="M1221" t="s">
        <v>90</v>
      </c>
      <c r="N1221" t="s">
        <v>91</v>
      </c>
      <c r="O1221" s="3">
        <v>455000</v>
      </c>
      <c r="P1221" s="4">
        <v>55</v>
      </c>
      <c r="Q1221" s="2">
        <v>45767</v>
      </c>
      <c r="R1221" s="2">
        <v>46182</v>
      </c>
      <c r="S1221" s="2">
        <v>45732</v>
      </c>
      <c r="T1221" s="2"/>
      <c r="U1221" t="str">
        <f t="shared" si="133"/>
        <v>No</v>
      </c>
      <c r="W12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1" t="str">
        <f t="shared" ca="1" si="134"/>
        <v>Overdue</v>
      </c>
      <c r="Y1221" t="str">
        <f t="shared" si="135"/>
        <v>Open</v>
      </c>
      <c r="Z1221" t="str">
        <f t="shared" si="136"/>
        <v>Mar-2025</v>
      </c>
      <c r="AA1221" t="str">
        <f t="shared" si="137"/>
        <v>Q1 2025</v>
      </c>
      <c r="AB1221" s="4">
        <f t="shared" ca="1" si="138"/>
        <v>481</v>
      </c>
      <c r="AC1221" t="str">
        <f t="shared" si="139"/>
        <v>High</v>
      </c>
    </row>
    <row r="1222" spans="1:29">
      <c r="A1222" t="s">
        <v>4464</v>
      </c>
      <c r="B1222" s="2">
        <v>45872</v>
      </c>
      <c r="C1222" t="s">
        <v>1981</v>
      </c>
      <c r="D1222" t="s">
        <v>1560</v>
      </c>
      <c r="E1222" t="s">
        <v>4465</v>
      </c>
      <c r="F1222" t="s">
        <v>4466</v>
      </c>
      <c r="G1222" t="s">
        <v>79</v>
      </c>
      <c r="H1222" t="s">
        <v>217</v>
      </c>
      <c r="I1222" t="s">
        <v>61</v>
      </c>
      <c r="J1222" t="s">
        <v>50</v>
      </c>
      <c r="K1222" t="s">
        <v>114</v>
      </c>
      <c r="L1222" t="s">
        <v>154</v>
      </c>
      <c r="M1222" t="s">
        <v>116</v>
      </c>
      <c r="N1222" t="s">
        <v>54</v>
      </c>
      <c r="O1222" s="3">
        <v>400000</v>
      </c>
      <c r="P1222" s="4">
        <v>25</v>
      </c>
      <c r="Q1222" s="2">
        <v>45897</v>
      </c>
      <c r="R1222" s="2">
        <v>46208</v>
      </c>
      <c r="S1222" s="2">
        <v>45881</v>
      </c>
      <c r="T1222" s="2"/>
      <c r="U1222" t="str">
        <f t="shared" si="133"/>
        <v>No</v>
      </c>
      <c r="W12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2" t="str">
        <f t="shared" ca="1" si="134"/>
        <v>Due/Open</v>
      </c>
      <c r="Y1222" t="str">
        <f t="shared" si="135"/>
        <v>Open</v>
      </c>
      <c r="Z1222" t="str">
        <f t="shared" si="136"/>
        <v>Aug-2025</v>
      </c>
      <c r="AA1222" t="str">
        <f t="shared" si="137"/>
        <v>Q3 2025</v>
      </c>
      <c r="AB1222" s="4">
        <f t="shared" ca="1" si="138"/>
        <v>327</v>
      </c>
      <c r="AC1222" t="str">
        <f t="shared" si="139"/>
        <v>High</v>
      </c>
    </row>
    <row r="1223" spans="1:29">
      <c r="A1223" t="s">
        <v>4467</v>
      </c>
      <c r="B1223" s="2">
        <v>46124</v>
      </c>
      <c r="C1223" t="s">
        <v>626</v>
      </c>
      <c r="D1223" t="s">
        <v>1343</v>
      </c>
      <c r="E1223" t="s">
        <v>4468</v>
      </c>
      <c r="F1223" t="s">
        <v>4469</v>
      </c>
      <c r="G1223" t="s">
        <v>179</v>
      </c>
      <c r="H1223" t="s">
        <v>318</v>
      </c>
      <c r="I1223" t="s">
        <v>141</v>
      </c>
      <c r="J1223" t="s">
        <v>124</v>
      </c>
      <c r="K1223" t="s">
        <v>38</v>
      </c>
      <c r="L1223" t="s">
        <v>72</v>
      </c>
      <c r="M1223" t="s">
        <v>53</v>
      </c>
      <c r="N1223" t="s">
        <v>54</v>
      </c>
      <c r="O1223" s="3">
        <v>110000</v>
      </c>
      <c r="P1223" s="4">
        <v>30</v>
      </c>
      <c r="Q1223" s="2">
        <v>46216</v>
      </c>
      <c r="R1223" s="2">
        <v>46158</v>
      </c>
      <c r="S1223" s="2">
        <v>46146</v>
      </c>
      <c r="T1223" s="2"/>
      <c r="U1223" t="str">
        <f t="shared" si="133"/>
        <v>No</v>
      </c>
      <c r="W12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3" t="str">
        <f t="shared" ca="1" si="134"/>
        <v>Overdue</v>
      </c>
      <c r="Y1223" t="str">
        <f t="shared" si="135"/>
        <v>Open</v>
      </c>
      <c r="Z1223" t="str">
        <f t="shared" si="136"/>
        <v>Apr-2026</v>
      </c>
      <c r="AA1223" t="str">
        <f t="shared" si="137"/>
        <v>Q2 2026</v>
      </c>
      <c r="AB1223" s="4">
        <f t="shared" ca="1" si="138"/>
        <v>75</v>
      </c>
      <c r="AC1223" t="str">
        <f t="shared" si="139"/>
        <v>Low</v>
      </c>
    </row>
    <row r="1224" spans="1:29">
      <c r="A1224" t="s">
        <v>4470</v>
      </c>
      <c r="B1224" s="2">
        <v>46029</v>
      </c>
      <c r="C1224" t="s">
        <v>351</v>
      </c>
      <c r="D1224" t="s">
        <v>119</v>
      </c>
      <c r="E1224" t="s">
        <v>4471</v>
      </c>
      <c r="F1224" t="s">
        <v>4472</v>
      </c>
      <c r="G1224" t="s">
        <v>79</v>
      </c>
      <c r="H1224" t="s">
        <v>260</v>
      </c>
      <c r="I1224" t="s">
        <v>141</v>
      </c>
      <c r="J1224" t="s">
        <v>99</v>
      </c>
      <c r="K1224" t="s">
        <v>114</v>
      </c>
      <c r="L1224" t="s">
        <v>239</v>
      </c>
      <c r="M1224" t="s">
        <v>116</v>
      </c>
      <c r="N1224" t="s">
        <v>54</v>
      </c>
      <c r="O1224" s="3">
        <v>360000</v>
      </c>
      <c r="P1224" s="4">
        <v>20</v>
      </c>
      <c r="Q1224" s="2">
        <v>46089</v>
      </c>
      <c r="R1224" s="2">
        <v>46155</v>
      </c>
      <c r="S1224" s="2">
        <v>46051</v>
      </c>
      <c r="T1224" s="2"/>
      <c r="U1224" t="str">
        <f t="shared" si="133"/>
        <v>No</v>
      </c>
      <c r="W12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4" t="str">
        <f t="shared" ca="1" si="134"/>
        <v>Overdue</v>
      </c>
      <c r="Y1224" t="str">
        <f t="shared" si="135"/>
        <v>Open</v>
      </c>
      <c r="Z1224" t="str">
        <f t="shared" si="136"/>
        <v>Jan-2026</v>
      </c>
      <c r="AA1224" t="str">
        <f t="shared" si="137"/>
        <v>Q1 2026</v>
      </c>
      <c r="AB1224" s="4">
        <f t="shared" ca="1" si="138"/>
        <v>170</v>
      </c>
      <c r="AC1224" t="str">
        <f t="shared" si="139"/>
        <v>High</v>
      </c>
    </row>
    <row r="1225" spans="1:29">
      <c r="A1225" t="s">
        <v>4473</v>
      </c>
      <c r="B1225" s="2">
        <v>46133</v>
      </c>
      <c r="C1225" t="s">
        <v>454</v>
      </c>
      <c r="D1225" t="s">
        <v>517</v>
      </c>
      <c r="E1225" t="s">
        <v>4474</v>
      </c>
      <c r="F1225" t="s">
        <v>4475</v>
      </c>
      <c r="G1225" t="s">
        <v>79</v>
      </c>
      <c r="H1225" t="s">
        <v>228</v>
      </c>
      <c r="I1225" t="s">
        <v>123</v>
      </c>
      <c r="J1225" t="s">
        <v>131</v>
      </c>
      <c r="K1225" t="s">
        <v>194</v>
      </c>
      <c r="L1225" t="s">
        <v>115</v>
      </c>
      <c r="M1225" t="s">
        <v>116</v>
      </c>
      <c r="N1225" t="s">
        <v>54</v>
      </c>
      <c r="O1225" s="3">
        <v>265000</v>
      </c>
      <c r="P1225" s="4">
        <v>20</v>
      </c>
      <c r="Q1225" s="2">
        <v>46161</v>
      </c>
      <c r="R1225" s="2">
        <v>46217</v>
      </c>
      <c r="S1225" s="2">
        <v>46142</v>
      </c>
      <c r="T1225" s="2"/>
      <c r="U1225" t="str">
        <f t="shared" si="133"/>
        <v>No</v>
      </c>
      <c r="W12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5" t="str">
        <f t="shared" ca="1" si="134"/>
        <v>Due/Open</v>
      </c>
      <c r="Y1225" t="str">
        <f t="shared" si="135"/>
        <v>Open</v>
      </c>
      <c r="Z1225" t="str">
        <f t="shared" si="136"/>
        <v>Apr-2026</v>
      </c>
      <c r="AA1225" t="str">
        <f t="shared" si="137"/>
        <v>Q2 2026</v>
      </c>
      <c r="AB1225" s="4">
        <f t="shared" ca="1" si="138"/>
        <v>66</v>
      </c>
      <c r="AC1225" t="str">
        <f t="shared" si="139"/>
        <v>Medium</v>
      </c>
    </row>
    <row r="1226" spans="1:29">
      <c r="A1226" t="s">
        <v>4476</v>
      </c>
      <c r="B1226" s="2">
        <v>45777</v>
      </c>
      <c r="C1226" t="s">
        <v>3926</v>
      </c>
      <c r="D1226" t="s">
        <v>1183</v>
      </c>
      <c r="E1226" t="s">
        <v>4477</v>
      </c>
      <c r="F1226" t="s">
        <v>4478</v>
      </c>
      <c r="G1226" t="s">
        <v>79</v>
      </c>
      <c r="H1226" t="s">
        <v>260</v>
      </c>
      <c r="I1226" t="s">
        <v>141</v>
      </c>
      <c r="J1226" t="s">
        <v>50</v>
      </c>
      <c r="K1226" t="s">
        <v>114</v>
      </c>
      <c r="L1226" t="s">
        <v>81</v>
      </c>
      <c r="M1226" t="s">
        <v>53</v>
      </c>
      <c r="N1226" t="s">
        <v>54</v>
      </c>
      <c r="O1226" s="3">
        <v>395000</v>
      </c>
      <c r="P1226" s="4">
        <v>30</v>
      </c>
      <c r="Q1226" s="2">
        <v>45837</v>
      </c>
      <c r="R1226" s="2">
        <v>46204</v>
      </c>
      <c r="S1226" s="2">
        <v>45795</v>
      </c>
      <c r="T1226" s="2"/>
      <c r="U1226" t="str">
        <f t="shared" si="133"/>
        <v>No</v>
      </c>
      <c r="W12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6" t="str">
        <f t="shared" ca="1" si="134"/>
        <v>Due/Open</v>
      </c>
      <c r="Y1226" t="str">
        <f t="shared" si="135"/>
        <v>Open</v>
      </c>
      <c r="Z1226" t="str">
        <f t="shared" si="136"/>
        <v>Apr-2025</v>
      </c>
      <c r="AA1226" t="str">
        <f t="shared" si="137"/>
        <v>Q2 2025</v>
      </c>
      <c r="AB1226" s="4">
        <f t="shared" ca="1" si="138"/>
        <v>422</v>
      </c>
      <c r="AC1226" t="str">
        <f t="shared" si="139"/>
        <v>High</v>
      </c>
    </row>
    <row r="1227" spans="1:29">
      <c r="A1227" t="s">
        <v>4479</v>
      </c>
      <c r="B1227" s="2">
        <v>46064</v>
      </c>
      <c r="C1227" t="s">
        <v>3540</v>
      </c>
      <c r="D1227" t="s">
        <v>257</v>
      </c>
      <c r="E1227" t="s">
        <v>4480</v>
      </c>
      <c r="F1227" t="s">
        <v>4481</v>
      </c>
      <c r="G1227" t="s">
        <v>69</v>
      </c>
      <c r="H1227" t="s">
        <v>312</v>
      </c>
      <c r="I1227" t="s">
        <v>187</v>
      </c>
      <c r="J1227" t="s">
        <v>37</v>
      </c>
      <c r="K1227" t="s">
        <v>51</v>
      </c>
      <c r="L1227" t="s">
        <v>81</v>
      </c>
      <c r="M1227" t="s">
        <v>82</v>
      </c>
      <c r="N1227" t="s">
        <v>83</v>
      </c>
      <c r="O1227" s="3">
        <v>105000</v>
      </c>
      <c r="P1227" s="4">
        <v>5</v>
      </c>
      <c r="Q1227" s="2">
        <v>46139</v>
      </c>
      <c r="R1227" s="2">
        <v>46168</v>
      </c>
      <c r="S1227" s="2">
        <v>46094</v>
      </c>
      <c r="T1227" s="2"/>
      <c r="U1227" t="str">
        <f t="shared" si="133"/>
        <v>No</v>
      </c>
      <c r="W12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7" t="str">
        <f t="shared" ca="1" si="134"/>
        <v>Overdue</v>
      </c>
      <c r="Y1227" t="str">
        <f t="shared" si="135"/>
        <v>Open</v>
      </c>
      <c r="Z1227" t="str">
        <f t="shared" si="136"/>
        <v>Feb-2026</v>
      </c>
      <c r="AA1227" t="str">
        <f t="shared" si="137"/>
        <v>Q1 2026</v>
      </c>
      <c r="AB1227" s="4">
        <f t="shared" ca="1" si="138"/>
        <v>135</v>
      </c>
      <c r="AC1227" t="str">
        <f t="shared" si="139"/>
        <v>Low</v>
      </c>
    </row>
    <row r="1228" spans="1:29">
      <c r="A1228" t="s">
        <v>4482</v>
      </c>
      <c r="B1228" s="2">
        <v>46149</v>
      </c>
      <c r="C1228" t="s">
        <v>3969</v>
      </c>
      <c r="D1228" t="s">
        <v>428</v>
      </c>
      <c r="E1228" t="s">
        <v>4483</v>
      </c>
      <c r="F1228" t="s">
        <v>4484</v>
      </c>
      <c r="G1228" t="s">
        <v>179</v>
      </c>
      <c r="H1228" t="s">
        <v>487</v>
      </c>
      <c r="I1228" t="s">
        <v>187</v>
      </c>
      <c r="J1228" t="s">
        <v>124</v>
      </c>
      <c r="K1228" t="s">
        <v>38</v>
      </c>
      <c r="L1228" t="s">
        <v>142</v>
      </c>
      <c r="M1228" t="s">
        <v>73</v>
      </c>
      <c r="N1228" t="s">
        <v>73</v>
      </c>
      <c r="O1228" s="3">
        <v>95000</v>
      </c>
      <c r="P1228" s="4">
        <v>85</v>
      </c>
      <c r="Q1228" s="2">
        <v>46216</v>
      </c>
      <c r="R1228" s="2">
        <v>46210</v>
      </c>
      <c r="S1228" s="2">
        <v>46168</v>
      </c>
      <c r="T1228" s="2"/>
      <c r="U1228" t="str">
        <f t="shared" si="133"/>
        <v>No</v>
      </c>
      <c r="W12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28" t="str">
        <f t="shared" ca="1" si="134"/>
        <v>Due/Open</v>
      </c>
      <c r="Y1228" t="str">
        <f t="shared" si="135"/>
        <v>Open</v>
      </c>
      <c r="Z1228" t="str">
        <f t="shared" si="136"/>
        <v>May-2026</v>
      </c>
      <c r="AA1228" t="str">
        <f t="shared" si="137"/>
        <v>Q2 2026</v>
      </c>
      <c r="AB1228" s="4">
        <f t="shared" ca="1" si="138"/>
        <v>50</v>
      </c>
      <c r="AC1228" t="str">
        <f t="shared" si="139"/>
        <v>Low</v>
      </c>
    </row>
    <row r="1229" spans="1:29">
      <c r="A1229" t="s">
        <v>4485</v>
      </c>
      <c r="B1229" s="2">
        <v>45957</v>
      </c>
      <c r="C1229" t="s">
        <v>3782</v>
      </c>
      <c r="D1229" t="s">
        <v>157</v>
      </c>
      <c r="E1229" t="s">
        <v>4486</v>
      </c>
      <c r="F1229" t="s">
        <v>4487</v>
      </c>
      <c r="G1229" t="s">
        <v>69</v>
      </c>
      <c r="H1229" t="s">
        <v>70</v>
      </c>
      <c r="I1229" t="s">
        <v>187</v>
      </c>
      <c r="J1229" t="s">
        <v>131</v>
      </c>
      <c r="K1229" t="s">
        <v>100</v>
      </c>
      <c r="L1229" t="s">
        <v>63</v>
      </c>
      <c r="M1229" t="s">
        <v>40</v>
      </c>
      <c r="N1229" t="s">
        <v>41</v>
      </c>
      <c r="O1229" s="3">
        <v>175000</v>
      </c>
      <c r="P1229" s="4">
        <v>100</v>
      </c>
      <c r="Q1229" s="2">
        <v>46042</v>
      </c>
      <c r="R1229" s="2"/>
      <c r="S1229" s="2">
        <v>45971</v>
      </c>
      <c r="T1229" s="2">
        <v>46042</v>
      </c>
      <c r="U1229" t="str">
        <f t="shared" si="133"/>
        <v>Yes</v>
      </c>
      <c r="W12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85</v>
      </c>
      <c r="X1229" t="str">
        <f t="shared" ca="1" si="134"/>
        <v>Closed</v>
      </c>
      <c r="Y1229" t="str">
        <f t="shared" si="135"/>
        <v>Closed</v>
      </c>
      <c r="Z1229" t="str">
        <f t="shared" si="136"/>
        <v>Oct-2025</v>
      </c>
      <c r="AA1229" t="str">
        <f t="shared" si="137"/>
        <v>Q4 2025</v>
      </c>
      <c r="AB1229" s="4">
        <f t="shared" ca="1" si="138"/>
        <v>242</v>
      </c>
      <c r="AC1229" t="str">
        <f t="shared" si="139"/>
        <v>Medium</v>
      </c>
    </row>
    <row r="1230" spans="1:29">
      <c r="A1230" t="s">
        <v>4488</v>
      </c>
      <c r="B1230" s="2">
        <v>45756</v>
      </c>
      <c r="C1230" t="s">
        <v>3540</v>
      </c>
      <c r="D1230" t="s">
        <v>252</v>
      </c>
      <c r="E1230" t="s">
        <v>4489</v>
      </c>
      <c r="F1230" t="s">
        <v>4490</v>
      </c>
      <c r="G1230" t="s">
        <v>79</v>
      </c>
      <c r="H1230" t="s">
        <v>80</v>
      </c>
      <c r="I1230" t="s">
        <v>141</v>
      </c>
      <c r="J1230" t="s">
        <v>124</v>
      </c>
      <c r="K1230" t="s">
        <v>194</v>
      </c>
      <c r="L1230" t="s">
        <v>107</v>
      </c>
      <c r="M1230" t="s">
        <v>53</v>
      </c>
      <c r="N1230" t="s">
        <v>54</v>
      </c>
      <c r="O1230" s="3">
        <v>230000</v>
      </c>
      <c r="P1230" s="4">
        <v>30</v>
      </c>
      <c r="Q1230" s="2">
        <v>45829</v>
      </c>
      <c r="R1230" s="2">
        <v>46184</v>
      </c>
      <c r="S1230" s="2">
        <v>45785</v>
      </c>
      <c r="T1230" s="2"/>
      <c r="U1230" t="str">
        <f t="shared" si="133"/>
        <v>No</v>
      </c>
      <c r="W12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0" t="str">
        <f t="shared" ca="1" si="134"/>
        <v>Overdue</v>
      </c>
      <c r="Y1230" t="str">
        <f t="shared" si="135"/>
        <v>Open</v>
      </c>
      <c r="Z1230" t="str">
        <f t="shared" si="136"/>
        <v>Apr-2025</v>
      </c>
      <c r="AA1230" t="str">
        <f t="shared" si="137"/>
        <v>Q2 2025</v>
      </c>
      <c r="AB1230" s="4">
        <f t="shared" ca="1" si="138"/>
        <v>443</v>
      </c>
      <c r="AC1230" t="str">
        <f t="shared" si="139"/>
        <v>Medium</v>
      </c>
    </row>
    <row r="1231" spans="1:29">
      <c r="A1231" t="s">
        <v>4491</v>
      </c>
      <c r="B1231" s="2">
        <v>46001</v>
      </c>
      <c r="C1231" t="s">
        <v>1608</v>
      </c>
      <c r="D1231" t="s">
        <v>526</v>
      </c>
      <c r="E1231" t="s">
        <v>4492</v>
      </c>
      <c r="F1231" t="s">
        <v>4493</v>
      </c>
      <c r="G1231" t="s">
        <v>34</v>
      </c>
      <c r="H1231" t="s">
        <v>238</v>
      </c>
      <c r="I1231" t="s">
        <v>36</v>
      </c>
      <c r="J1231" t="s">
        <v>37</v>
      </c>
      <c r="K1231" t="s">
        <v>114</v>
      </c>
      <c r="L1231" t="s">
        <v>154</v>
      </c>
      <c r="M1231" t="s">
        <v>53</v>
      </c>
      <c r="N1231" t="s">
        <v>54</v>
      </c>
      <c r="O1231" s="3">
        <v>85000</v>
      </c>
      <c r="P1231" s="4">
        <v>25</v>
      </c>
      <c r="Q1231" s="2">
        <v>46022</v>
      </c>
      <c r="R1231" s="2">
        <v>46190</v>
      </c>
      <c r="S1231" s="2">
        <v>46021</v>
      </c>
      <c r="T1231" s="2"/>
      <c r="U1231" t="str">
        <f t="shared" si="133"/>
        <v>No</v>
      </c>
      <c r="W12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1" t="str">
        <f t="shared" ca="1" si="134"/>
        <v>Overdue</v>
      </c>
      <c r="Y1231" t="str">
        <f t="shared" si="135"/>
        <v>Open</v>
      </c>
      <c r="Z1231" t="str">
        <f t="shared" si="136"/>
        <v>Dec-2025</v>
      </c>
      <c r="AA1231" t="str">
        <f t="shared" si="137"/>
        <v>Q4 2025</v>
      </c>
      <c r="AB1231" s="4">
        <f t="shared" ca="1" si="138"/>
        <v>198</v>
      </c>
      <c r="AC1231" t="str">
        <f t="shared" si="139"/>
        <v>Low</v>
      </c>
    </row>
    <row r="1232" spans="1:29">
      <c r="A1232" t="s">
        <v>4494</v>
      </c>
      <c r="B1232" s="2">
        <v>45780</v>
      </c>
      <c r="C1232" t="s">
        <v>1152</v>
      </c>
      <c r="D1232" t="s">
        <v>1081</v>
      </c>
      <c r="E1232" t="s">
        <v>4495</v>
      </c>
      <c r="F1232" t="s">
        <v>4496</v>
      </c>
      <c r="G1232" t="s">
        <v>179</v>
      </c>
      <c r="H1232" t="s">
        <v>318</v>
      </c>
      <c r="I1232" t="s">
        <v>36</v>
      </c>
      <c r="J1232" t="s">
        <v>37</v>
      </c>
      <c r="K1232" t="s">
        <v>38</v>
      </c>
      <c r="L1232" t="s">
        <v>52</v>
      </c>
      <c r="M1232" t="s">
        <v>116</v>
      </c>
      <c r="N1232" t="s">
        <v>54</v>
      </c>
      <c r="O1232" s="3">
        <v>135000</v>
      </c>
      <c r="P1232" s="4">
        <v>20</v>
      </c>
      <c r="Q1232" s="2">
        <v>45829</v>
      </c>
      <c r="R1232" s="2">
        <v>46187</v>
      </c>
      <c r="S1232" s="2">
        <v>45810</v>
      </c>
      <c r="T1232" s="2"/>
      <c r="U1232" t="str">
        <f t="shared" si="133"/>
        <v>No</v>
      </c>
      <c r="W12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2" t="str">
        <f t="shared" ca="1" si="134"/>
        <v>Overdue</v>
      </c>
      <c r="Y1232" t="str">
        <f t="shared" si="135"/>
        <v>Open</v>
      </c>
      <c r="Z1232" t="str">
        <f t="shared" si="136"/>
        <v>May-2025</v>
      </c>
      <c r="AA1232" t="str">
        <f t="shared" si="137"/>
        <v>Q2 2025</v>
      </c>
      <c r="AB1232" s="4">
        <f t="shared" ca="1" si="138"/>
        <v>419</v>
      </c>
      <c r="AC1232" t="str">
        <f t="shared" si="139"/>
        <v>Medium</v>
      </c>
    </row>
    <row r="1233" spans="1:29">
      <c r="A1233" t="s">
        <v>4497</v>
      </c>
      <c r="B1233" s="2">
        <v>46104</v>
      </c>
      <c r="C1233" t="s">
        <v>1612</v>
      </c>
      <c r="D1233" t="s">
        <v>86</v>
      </c>
      <c r="E1233" t="s">
        <v>4498</v>
      </c>
      <c r="F1233" t="s">
        <v>4499</v>
      </c>
      <c r="G1233" t="s">
        <v>34</v>
      </c>
      <c r="H1233" t="s">
        <v>238</v>
      </c>
      <c r="I1233" t="s">
        <v>141</v>
      </c>
      <c r="J1233" t="s">
        <v>99</v>
      </c>
      <c r="K1233" t="s">
        <v>114</v>
      </c>
      <c r="L1233" t="s">
        <v>125</v>
      </c>
      <c r="M1233" t="s">
        <v>40</v>
      </c>
      <c r="N1233" t="s">
        <v>41</v>
      </c>
      <c r="O1233" s="3">
        <v>185000</v>
      </c>
      <c r="P1233" s="4">
        <v>100</v>
      </c>
      <c r="Q1233" s="2">
        <v>46156</v>
      </c>
      <c r="R1233" s="2"/>
      <c r="S1233" s="2">
        <v>46131</v>
      </c>
      <c r="T1233" s="2">
        <v>46156</v>
      </c>
      <c r="U1233" t="str">
        <f t="shared" si="133"/>
        <v>Yes</v>
      </c>
      <c r="W12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1233" t="str">
        <f t="shared" ca="1" si="134"/>
        <v>Closed</v>
      </c>
      <c r="Y1233" t="str">
        <f t="shared" si="135"/>
        <v>Closed</v>
      </c>
      <c r="Z1233" t="str">
        <f t="shared" si="136"/>
        <v>Mar-2026</v>
      </c>
      <c r="AA1233" t="str">
        <f t="shared" si="137"/>
        <v>Q1 2026</v>
      </c>
      <c r="AB1233" s="4">
        <f t="shared" ca="1" si="138"/>
        <v>95</v>
      </c>
      <c r="AC1233" t="str">
        <f t="shared" si="139"/>
        <v>Medium</v>
      </c>
    </row>
    <row r="1234" spans="1:29">
      <c r="A1234" t="s">
        <v>4500</v>
      </c>
      <c r="B1234" s="2">
        <v>45672</v>
      </c>
      <c r="C1234" t="s">
        <v>1060</v>
      </c>
      <c r="D1234" t="s">
        <v>1043</v>
      </c>
      <c r="E1234" t="s">
        <v>4501</v>
      </c>
      <c r="F1234" t="s">
        <v>4502</v>
      </c>
      <c r="G1234" t="s">
        <v>179</v>
      </c>
      <c r="H1234" t="s">
        <v>436</v>
      </c>
      <c r="I1234" t="s">
        <v>123</v>
      </c>
      <c r="J1234" t="s">
        <v>99</v>
      </c>
      <c r="K1234" t="s">
        <v>114</v>
      </c>
      <c r="L1234" t="s">
        <v>239</v>
      </c>
      <c r="M1234" t="s">
        <v>116</v>
      </c>
      <c r="N1234" t="s">
        <v>54</v>
      </c>
      <c r="O1234" s="3">
        <v>270000</v>
      </c>
      <c r="P1234" s="4">
        <v>20</v>
      </c>
      <c r="Q1234" s="2">
        <v>45745</v>
      </c>
      <c r="R1234" s="2">
        <v>46172</v>
      </c>
      <c r="S1234" s="2">
        <v>45696</v>
      </c>
      <c r="T1234" s="2"/>
      <c r="U1234" t="str">
        <f t="shared" si="133"/>
        <v>No</v>
      </c>
      <c r="W12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4" t="str">
        <f t="shared" ca="1" si="134"/>
        <v>Overdue</v>
      </c>
      <c r="Y1234" t="str">
        <f t="shared" si="135"/>
        <v>Open</v>
      </c>
      <c r="Z1234" t="str">
        <f t="shared" si="136"/>
        <v>Jan-2025</v>
      </c>
      <c r="AA1234" t="str">
        <f t="shared" si="137"/>
        <v>Q1 2025</v>
      </c>
      <c r="AB1234" s="4">
        <f t="shared" ca="1" si="138"/>
        <v>527</v>
      </c>
      <c r="AC1234" t="str">
        <f t="shared" si="139"/>
        <v>Medium</v>
      </c>
    </row>
    <row r="1235" spans="1:29">
      <c r="A1235" t="s">
        <v>4503</v>
      </c>
      <c r="B1235" s="2">
        <v>46033</v>
      </c>
      <c r="C1235" t="s">
        <v>1237</v>
      </c>
      <c r="D1235" t="s">
        <v>257</v>
      </c>
      <c r="E1235" t="s">
        <v>4504</v>
      </c>
      <c r="F1235" t="s">
        <v>4505</v>
      </c>
      <c r="G1235" t="s">
        <v>179</v>
      </c>
      <c r="H1235" t="s">
        <v>296</v>
      </c>
      <c r="I1235" t="s">
        <v>98</v>
      </c>
      <c r="J1235" t="s">
        <v>37</v>
      </c>
      <c r="K1235" t="s">
        <v>100</v>
      </c>
      <c r="L1235" t="s">
        <v>63</v>
      </c>
      <c r="M1235" t="s">
        <v>166</v>
      </c>
      <c r="N1235" t="s">
        <v>167</v>
      </c>
      <c r="O1235" s="3">
        <v>90000</v>
      </c>
      <c r="P1235" s="4">
        <v>70</v>
      </c>
      <c r="Q1235" s="2">
        <v>46110</v>
      </c>
      <c r="R1235" s="2">
        <v>46204</v>
      </c>
      <c r="S1235" s="2">
        <v>46036</v>
      </c>
      <c r="T1235" s="2"/>
      <c r="U1235" t="str">
        <f t="shared" si="133"/>
        <v>No</v>
      </c>
      <c r="W12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5" t="str">
        <f t="shared" ca="1" si="134"/>
        <v>Due/Open</v>
      </c>
      <c r="Y1235" t="str">
        <f t="shared" si="135"/>
        <v>Open</v>
      </c>
      <c r="Z1235" t="str">
        <f t="shared" si="136"/>
        <v>Jan-2026</v>
      </c>
      <c r="AA1235" t="str">
        <f t="shared" si="137"/>
        <v>Q1 2026</v>
      </c>
      <c r="AB1235" s="4">
        <f t="shared" ca="1" si="138"/>
        <v>166</v>
      </c>
      <c r="AC1235" t="str">
        <f t="shared" si="139"/>
        <v>Low</v>
      </c>
    </row>
    <row r="1236" spans="1:29">
      <c r="A1236" t="s">
        <v>4506</v>
      </c>
      <c r="B1236" s="2">
        <v>46086</v>
      </c>
      <c r="C1236" t="s">
        <v>4168</v>
      </c>
      <c r="D1236" t="s">
        <v>2143</v>
      </c>
      <c r="E1236" t="s">
        <v>4507</v>
      </c>
      <c r="F1236" t="s">
        <v>4508</v>
      </c>
      <c r="G1236" t="s">
        <v>69</v>
      </c>
      <c r="H1236" t="s">
        <v>70</v>
      </c>
      <c r="I1236" t="s">
        <v>36</v>
      </c>
      <c r="J1236" t="s">
        <v>62</v>
      </c>
      <c r="K1236" t="s">
        <v>51</v>
      </c>
      <c r="L1236" t="s">
        <v>125</v>
      </c>
      <c r="M1236" t="s">
        <v>40</v>
      </c>
      <c r="N1236" t="s">
        <v>41</v>
      </c>
      <c r="O1236" s="3">
        <v>100000</v>
      </c>
      <c r="P1236" s="4">
        <v>100</v>
      </c>
      <c r="Q1236" s="2">
        <v>46151</v>
      </c>
      <c r="R1236" s="2"/>
      <c r="S1236" s="2">
        <v>46108</v>
      </c>
      <c r="T1236" s="2">
        <v>46151</v>
      </c>
      <c r="U1236" t="str">
        <f t="shared" si="133"/>
        <v>Yes</v>
      </c>
      <c r="W123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65</v>
      </c>
      <c r="X1236" t="str">
        <f t="shared" ca="1" si="134"/>
        <v>Closed</v>
      </c>
      <c r="Y1236" t="str">
        <f t="shared" si="135"/>
        <v>Closed</v>
      </c>
      <c r="Z1236" t="str">
        <f t="shared" si="136"/>
        <v>Mar-2026</v>
      </c>
      <c r="AA1236" t="str">
        <f t="shared" si="137"/>
        <v>Q1 2026</v>
      </c>
      <c r="AB1236" s="4">
        <f t="shared" ca="1" si="138"/>
        <v>113</v>
      </c>
      <c r="AC1236" t="str">
        <f t="shared" si="139"/>
        <v>Low</v>
      </c>
    </row>
    <row r="1237" spans="1:29">
      <c r="A1237" t="s">
        <v>4509</v>
      </c>
      <c r="B1237" s="2">
        <v>46069</v>
      </c>
      <c r="C1237" t="s">
        <v>4085</v>
      </c>
      <c r="D1237" t="s">
        <v>459</v>
      </c>
      <c r="E1237" t="s">
        <v>4510</v>
      </c>
      <c r="F1237" t="s">
        <v>4511</v>
      </c>
      <c r="G1237" t="s">
        <v>47</v>
      </c>
      <c r="H1237" t="s">
        <v>48</v>
      </c>
      <c r="I1237" t="s">
        <v>98</v>
      </c>
      <c r="J1237" t="s">
        <v>131</v>
      </c>
      <c r="K1237" t="s">
        <v>114</v>
      </c>
      <c r="L1237" t="s">
        <v>39</v>
      </c>
      <c r="M1237" t="s">
        <v>53</v>
      </c>
      <c r="N1237" t="s">
        <v>54</v>
      </c>
      <c r="O1237" s="3">
        <v>350000</v>
      </c>
      <c r="P1237" s="4">
        <v>30</v>
      </c>
      <c r="Q1237" s="2">
        <v>46162</v>
      </c>
      <c r="R1237" s="2">
        <v>46225</v>
      </c>
      <c r="S1237" s="2">
        <v>46075</v>
      </c>
      <c r="T1237" s="2"/>
      <c r="U1237" t="str">
        <f t="shared" si="133"/>
        <v>No</v>
      </c>
      <c r="W12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7" t="str">
        <f t="shared" ca="1" si="134"/>
        <v>Due/Open</v>
      </c>
      <c r="Y1237" t="str">
        <f t="shared" si="135"/>
        <v>Open</v>
      </c>
      <c r="Z1237" t="str">
        <f t="shared" si="136"/>
        <v>Feb-2026</v>
      </c>
      <c r="AA1237" t="str">
        <f t="shared" si="137"/>
        <v>Q1 2026</v>
      </c>
      <c r="AB1237" s="4">
        <f t="shared" ca="1" si="138"/>
        <v>130</v>
      </c>
      <c r="AC1237" t="str">
        <f t="shared" si="139"/>
        <v>High</v>
      </c>
    </row>
    <row r="1238" spans="1:29">
      <c r="A1238" t="s">
        <v>4512</v>
      </c>
      <c r="B1238" s="2">
        <v>46171</v>
      </c>
      <c r="C1238" t="s">
        <v>2056</v>
      </c>
      <c r="D1238" t="s">
        <v>1249</v>
      </c>
      <c r="E1238" t="s">
        <v>4513</v>
      </c>
      <c r="F1238" t="s">
        <v>4514</v>
      </c>
      <c r="G1238" t="s">
        <v>179</v>
      </c>
      <c r="H1238" t="s">
        <v>296</v>
      </c>
      <c r="I1238" t="s">
        <v>98</v>
      </c>
      <c r="J1238" t="s">
        <v>124</v>
      </c>
      <c r="K1238" t="s">
        <v>38</v>
      </c>
      <c r="L1238" t="s">
        <v>107</v>
      </c>
      <c r="M1238" t="s">
        <v>53</v>
      </c>
      <c r="N1238" t="s">
        <v>54</v>
      </c>
      <c r="O1238" s="3">
        <v>295000</v>
      </c>
      <c r="P1238" s="4">
        <v>25</v>
      </c>
      <c r="Q1238" s="2">
        <v>46230</v>
      </c>
      <c r="R1238" s="2">
        <v>46208</v>
      </c>
      <c r="S1238" s="2">
        <v>46188</v>
      </c>
      <c r="T1238" s="2"/>
      <c r="U1238" t="str">
        <f t="shared" si="133"/>
        <v>No</v>
      </c>
      <c r="W12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8" t="str">
        <f t="shared" ca="1" si="134"/>
        <v>Due/Open</v>
      </c>
      <c r="Y1238" t="str">
        <f t="shared" si="135"/>
        <v>Open</v>
      </c>
      <c r="Z1238" t="str">
        <f t="shared" si="136"/>
        <v>May-2026</v>
      </c>
      <c r="AA1238" t="str">
        <f t="shared" si="137"/>
        <v>Q2 2026</v>
      </c>
      <c r="AB1238" s="4">
        <f t="shared" ca="1" si="138"/>
        <v>28</v>
      </c>
      <c r="AC1238" t="str">
        <f t="shared" si="139"/>
        <v>Medium</v>
      </c>
    </row>
    <row r="1239" spans="1:29">
      <c r="A1239" t="s">
        <v>4515</v>
      </c>
      <c r="B1239" s="2">
        <v>45784</v>
      </c>
      <c r="C1239" t="s">
        <v>1721</v>
      </c>
      <c r="D1239" t="s">
        <v>710</v>
      </c>
      <c r="E1239" t="s">
        <v>4516</v>
      </c>
      <c r="F1239" t="s">
        <v>4517</v>
      </c>
      <c r="G1239" t="s">
        <v>179</v>
      </c>
      <c r="H1239" t="s">
        <v>296</v>
      </c>
      <c r="I1239" t="s">
        <v>141</v>
      </c>
      <c r="J1239" t="s">
        <v>37</v>
      </c>
      <c r="K1239" t="s">
        <v>114</v>
      </c>
      <c r="L1239" t="s">
        <v>39</v>
      </c>
      <c r="M1239" t="s">
        <v>166</v>
      </c>
      <c r="N1239" t="s">
        <v>167</v>
      </c>
      <c r="O1239" s="3">
        <v>95000</v>
      </c>
      <c r="P1239" s="4">
        <v>65</v>
      </c>
      <c r="Q1239" s="2">
        <v>45806</v>
      </c>
      <c r="R1239" s="2">
        <v>46232</v>
      </c>
      <c r="S1239" s="2">
        <v>45810</v>
      </c>
      <c r="T1239" s="2"/>
      <c r="U1239" t="str">
        <f t="shared" si="133"/>
        <v>No</v>
      </c>
      <c r="W12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39" t="str">
        <f t="shared" ca="1" si="134"/>
        <v>Due/Open</v>
      </c>
      <c r="Y1239" t="str">
        <f t="shared" si="135"/>
        <v>Open</v>
      </c>
      <c r="Z1239" t="str">
        <f t="shared" si="136"/>
        <v>May-2025</v>
      </c>
      <c r="AA1239" t="str">
        <f t="shared" si="137"/>
        <v>Q2 2025</v>
      </c>
      <c r="AB1239" s="4">
        <f t="shared" ca="1" si="138"/>
        <v>415</v>
      </c>
      <c r="AC1239" t="str">
        <f t="shared" si="139"/>
        <v>Low</v>
      </c>
    </row>
    <row r="1240" spans="1:29">
      <c r="A1240" t="s">
        <v>4518</v>
      </c>
      <c r="B1240" s="2">
        <v>46136</v>
      </c>
      <c r="C1240" t="s">
        <v>3622</v>
      </c>
      <c r="D1240" t="s">
        <v>1132</v>
      </c>
      <c r="E1240" t="s">
        <v>4519</v>
      </c>
      <c r="F1240" t="s">
        <v>4520</v>
      </c>
      <c r="G1240" t="s">
        <v>34</v>
      </c>
      <c r="H1240" t="s">
        <v>35</v>
      </c>
      <c r="I1240" t="s">
        <v>123</v>
      </c>
      <c r="J1240" t="s">
        <v>50</v>
      </c>
      <c r="K1240" t="s">
        <v>114</v>
      </c>
      <c r="L1240" t="s">
        <v>81</v>
      </c>
      <c r="M1240" t="s">
        <v>82</v>
      </c>
      <c r="N1240" t="s">
        <v>83</v>
      </c>
      <c r="O1240" s="3">
        <v>205000</v>
      </c>
      <c r="P1240" s="4">
        <v>10</v>
      </c>
      <c r="Q1240" s="2">
        <v>46221</v>
      </c>
      <c r="R1240" s="2">
        <v>46201</v>
      </c>
      <c r="S1240" s="2">
        <v>46155</v>
      </c>
      <c r="T1240" s="2"/>
      <c r="U1240" t="str">
        <f t="shared" si="133"/>
        <v>No</v>
      </c>
      <c r="W12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0" t="str">
        <f t="shared" ca="1" si="134"/>
        <v>Due/Open</v>
      </c>
      <c r="Y1240" t="str">
        <f t="shared" si="135"/>
        <v>Open</v>
      </c>
      <c r="Z1240" t="str">
        <f t="shared" si="136"/>
        <v>Apr-2026</v>
      </c>
      <c r="AA1240" t="str">
        <f t="shared" si="137"/>
        <v>Q2 2026</v>
      </c>
      <c r="AB1240" s="4">
        <f t="shared" ca="1" si="138"/>
        <v>63</v>
      </c>
      <c r="AC1240" t="str">
        <f t="shared" si="139"/>
        <v>Medium</v>
      </c>
    </row>
    <row r="1241" spans="1:29">
      <c r="A1241" t="s">
        <v>4521</v>
      </c>
      <c r="B1241" s="2">
        <v>45913</v>
      </c>
      <c r="C1241" t="s">
        <v>1297</v>
      </c>
      <c r="D1241" t="s">
        <v>352</v>
      </c>
      <c r="E1241" t="s">
        <v>4522</v>
      </c>
      <c r="F1241" t="s">
        <v>4523</v>
      </c>
      <c r="G1241" t="s">
        <v>179</v>
      </c>
      <c r="H1241" t="s">
        <v>487</v>
      </c>
      <c r="I1241" t="s">
        <v>141</v>
      </c>
      <c r="J1241" t="s">
        <v>131</v>
      </c>
      <c r="K1241" t="s">
        <v>51</v>
      </c>
      <c r="L1241" t="s">
        <v>115</v>
      </c>
      <c r="M1241" t="s">
        <v>73</v>
      </c>
      <c r="N1241" t="s">
        <v>73</v>
      </c>
      <c r="O1241" s="3">
        <v>275000</v>
      </c>
      <c r="P1241" s="4">
        <v>85</v>
      </c>
      <c r="Q1241" s="2">
        <v>45945</v>
      </c>
      <c r="R1241" s="2">
        <v>46159</v>
      </c>
      <c r="S1241" s="2">
        <v>45942</v>
      </c>
      <c r="T1241" s="2"/>
      <c r="U1241" t="str">
        <f t="shared" si="133"/>
        <v>No</v>
      </c>
      <c r="W12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1" t="str">
        <f t="shared" ca="1" si="134"/>
        <v>Overdue</v>
      </c>
      <c r="Y1241" t="str">
        <f t="shared" si="135"/>
        <v>Open</v>
      </c>
      <c r="Z1241" t="str">
        <f t="shared" si="136"/>
        <v>Sep-2025</v>
      </c>
      <c r="AA1241" t="str">
        <f t="shared" si="137"/>
        <v>Q3 2025</v>
      </c>
      <c r="AB1241" s="4">
        <f t="shared" ca="1" si="138"/>
        <v>286</v>
      </c>
      <c r="AC1241" t="str">
        <f t="shared" si="139"/>
        <v>Medium</v>
      </c>
    </row>
    <row r="1242" spans="1:29">
      <c r="A1242" t="s">
        <v>4524</v>
      </c>
      <c r="B1242" s="2">
        <v>45841</v>
      </c>
      <c r="C1242" t="s">
        <v>3048</v>
      </c>
      <c r="D1242" t="s">
        <v>1876</v>
      </c>
      <c r="E1242" t="s">
        <v>4525</v>
      </c>
      <c r="F1242" t="s">
        <v>4526</v>
      </c>
      <c r="G1242" t="s">
        <v>34</v>
      </c>
      <c r="H1242" t="s">
        <v>35</v>
      </c>
      <c r="I1242" t="s">
        <v>141</v>
      </c>
      <c r="J1242" t="s">
        <v>99</v>
      </c>
      <c r="K1242" t="s">
        <v>71</v>
      </c>
      <c r="L1242" t="s">
        <v>239</v>
      </c>
      <c r="M1242" t="s">
        <v>90</v>
      </c>
      <c r="N1242" t="s">
        <v>91</v>
      </c>
      <c r="O1242" s="3">
        <v>430000</v>
      </c>
      <c r="P1242" s="4">
        <v>40</v>
      </c>
      <c r="Q1242" s="2">
        <v>45900</v>
      </c>
      <c r="R1242" s="2">
        <v>46217</v>
      </c>
      <c r="S1242" s="2">
        <v>45844</v>
      </c>
      <c r="T1242" s="2"/>
      <c r="U1242" t="str">
        <f t="shared" si="133"/>
        <v>No</v>
      </c>
      <c r="W12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2" t="str">
        <f t="shared" ca="1" si="134"/>
        <v>Due/Open</v>
      </c>
      <c r="Y1242" t="str">
        <f t="shared" si="135"/>
        <v>Open</v>
      </c>
      <c r="Z1242" t="str">
        <f t="shared" si="136"/>
        <v>Jul-2025</v>
      </c>
      <c r="AA1242" t="str">
        <f t="shared" si="137"/>
        <v>Q3 2025</v>
      </c>
      <c r="AB1242" s="4">
        <f t="shared" ca="1" si="138"/>
        <v>358</v>
      </c>
      <c r="AC1242" t="str">
        <f t="shared" si="139"/>
        <v>High</v>
      </c>
    </row>
    <row r="1243" spans="1:29">
      <c r="A1243" t="s">
        <v>4527</v>
      </c>
      <c r="B1243" s="2">
        <v>45857</v>
      </c>
      <c r="C1243" t="s">
        <v>1160</v>
      </c>
      <c r="D1243" t="s">
        <v>895</v>
      </c>
      <c r="E1243" t="s">
        <v>4528</v>
      </c>
      <c r="F1243" t="s">
        <v>4529</v>
      </c>
      <c r="G1243" t="s">
        <v>79</v>
      </c>
      <c r="H1243" t="s">
        <v>106</v>
      </c>
      <c r="I1243" t="s">
        <v>49</v>
      </c>
      <c r="J1243" t="s">
        <v>124</v>
      </c>
      <c r="K1243" t="s">
        <v>114</v>
      </c>
      <c r="L1243" t="s">
        <v>107</v>
      </c>
      <c r="M1243" t="s">
        <v>116</v>
      </c>
      <c r="N1243" t="s">
        <v>54</v>
      </c>
      <c r="O1243" s="3">
        <v>120000</v>
      </c>
      <c r="P1243" s="4">
        <v>15</v>
      </c>
      <c r="Q1243" s="2">
        <v>45888</v>
      </c>
      <c r="R1243" s="2">
        <v>46202</v>
      </c>
      <c r="S1243" s="2">
        <v>45868</v>
      </c>
      <c r="T1243" s="2"/>
      <c r="U1243" t="str">
        <f t="shared" si="133"/>
        <v>No</v>
      </c>
      <c r="W12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3" t="str">
        <f t="shared" ca="1" si="134"/>
        <v>Due/Open</v>
      </c>
      <c r="Y1243" t="str">
        <f t="shared" si="135"/>
        <v>Open</v>
      </c>
      <c r="Z1243" t="str">
        <f t="shared" si="136"/>
        <v>Jul-2025</v>
      </c>
      <c r="AA1243" t="str">
        <f t="shared" si="137"/>
        <v>Q3 2025</v>
      </c>
      <c r="AB1243" s="4">
        <f t="shared" ca="1" si="138"/>
        <v>342</v>
      </c>
      <c r="AC1243" t="str">
        <f t="shared" si="139"/>
        <v>Medium</v>
      </c>
    </row>
    <row r="1244" spans="1:29">
      <c r="A1244" t="s">
        <v>4530</v>
      </c>
      <c r="B1244" s="2">
        <v>45791</v>
      </c>
      <c r="C1244" t="s">
        <v>976</v>
      </c>
      <c r="D1244" t="s">
        <v>676</v>
      </c>
      <c r="E1244" t="s">
        <v>4531</v>
      </c>
      <c r="F1244" t="s">
        <v>4532</v>
      </c>
      <c r="G1244" t="s">
        <v>79</v>
      </c>
      <c r="H1244" t="s">
        <v>260</v>
      </c>
      <c r="I1244" t="s">
        <v>98</v>
      </c>
      <c r="J1244" t="s">
        <v>124</v>
      </c>
      <c r="K1244" t="s">
        <v>114</v>
      </c>
      <c r="L1244" t="s">
        <v>125</v>
      </c>
      <c r="M1244" t="s">
        <v>133</v>
      </c>
      <c r="N1244" t="s">
        <v>134</v>
      </c>
      <c r="O1244" s="3">
        <v>240000</v>
      </c>
      <c r="P1244" s="4">
        <v>0</v>
      </c>
      <c r="Q1244" s="2">
        <v>45808</v>
      </c>
      <c r="R1244" s="2"/>
      <c r="S1244" s="2">
        <v>45800</v>
      </c>
      <c r="T1244" s="2">
        <v>45808</v>
      </c>
      <c r="U1244" t="str">
        <f t="shared" si="133"/>
        <v>No</v>
      </c>
      <c r="V1244" t="s">
        <v>211</v>
      </c>
      <c r="W124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244" t="str">
        <f t="shared" ca="1" si="134"/>
        <v>Closed</v>
      </c>
      <c r="Y1244" t="str">
        <f t="shared" si="135"/>
        <v>Closed</v>
      </c>
      <c r="Z1244" t="str">
        <f t="shared" si="136"/>
        <v>May-2025</v>
      </c>
      <c r="AA1244" t="str">
        <f t="shared" si="137"/>
        <v>Q2 2025</v>
      </c>
      <c r="AB1244" s="4">
        <f t="shared" ca="1" si="138"/>
        <v>408</v>
      </c>
      <c r="AC1244" t="str">
        <f t="shared" si="139"/>
        <v>Medium</v>
      </c>
    </row>
    <row r="1245" spans="1:29">
      <c r="A1245" t="s">
        <v>4533</v>
      </c>
      <c r="B1245" s="2">
        <v>45782</v>
      </c>
      <c r="C1245" t="s">
        <v>1411</v>
      </c>
      <c r="D1245" t="s">
        <v>304</v>
      </c>
      <c r="E1245" t="s">
        <v>4534</v>
      </c>
      <c r="F1245" t="s">
        <v>4535</v>
      </c>
      <c r="G1245" t="s">
        <v>69</v>
      </c>
      <c r="H1245" t="s">
        <v>270</v>
      </c>
      <c r="I1245" t="s">
        <v>36</v>
      </c>
      <c r="J1245" t="s">
        <v>124</v>
      </c>
      <c r="K1245" t="s">
        <v>51</v>
      </c>
      <c r="L1245" t="s">
        <v>154</v>
      </c>
      <c r="M1245" t="s">
        <v>73</v>
      </c>
      <c r="N1245" t="s">
        <v>73</v>
      </c>
      <c r="O1245" s="3">
        <v>120000</v>
      </c>
      <c r="P1245" s="4">
        <v>80</v>
      </c>
      <c r="Q1245" s="2">
        <v>45873</v>
      </c>
      <c r="R1245" s="2">
        <v>46163</v>
      </c>
      <c r="S1245" s="2">
        <v>45799</v>
      </c>
      <c r="T1245" s="2"/>
      <c r="U1245" t="str">
        <f t="shared" si="133"/>
        <v>No</v>
      </c>
      <c r="W12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5" t="str">
        <f t="shared" ca="1" si="134"/>
        <v>Overdue</v>
      </c>
      <c r="Y1245" t="str">
        <f t="shared" si="135"/>
        <v>Open</v>
      </c>
      <c r="Z1245" t="str">
        <f t="shared" si="136"/>
        <v>May-2025</v>
      </c>
      <c r="AA1245" t="str">
        <f t="shared" si="137"/>
        <v>Q2 2025</v>
      </c>
      <c r="AB1245" s="4">
        <f t="shared" ca="1" si="138"/>
        <v>417</v>
      </c>
      <c r="AC1245" t="str">
        <f t="shared" si="139"/>
        <v>Medium</v>
      </c>
    </row>
    <row r="1246" spans="1:29">
      <c r="A1246" t="s">
        <v>4536</v>
      </c>
      <c r="B1246" s="2">
        <v>46110</v>
      </c>
      <c r="C1246" t="s">
        <v>4346</v>
      </c>
      <c r="D1246" t="s">
        <v>375</v>
      </c>
      <c r="E1246" t="s">
        <v>4537</v>
      </c>
      <c r="F1246" t="s">
        <v>4538</v>
      </c>
      <c r="G1246" t="s">
        <v>179</v>
      </c>
      <c r="H1246" t="s">
        <v>296</v>
      </c>
      <c r="I1246" t="s">
        <v>36</v>
      </c>
      <c r="J1246" t="s">
        <v>131</v>
      </c>
      <c r="K1246" t="s">
        <v>100</v>
      </c>
      <c r="L1246" t="s">
        <v>142</v>
      </c>
      <c r="M1246" t="s">
        <v>73</v>
      </c>
      <c r="N1246" t="s">
        <v>73</v>
      </c>
      <c r="O1246" s="3">
        <v>365000</v>
      </c>
      <c r="P1246" s="4">
        <v>75</v>
      </c>
      <c r="Q1246" s="2">
        <v>46178</v>
      </c>
      <c r="R1246" s="2">
        <v>46236</v>
      </c>
      <c r="S1246" s="2">
        <v>46128</v>
      </c>
      <c r="T1246" s="2"/>
      <c r="U1246" t="str">
        <f t="shared" si="133"/>
        <v>No</v>
      </c>
      <c r="W12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6" t="str">
        <f t="shared" ca="1" si="134"/>
        <v>Due/Open</v>
      </c>
      <c r="Y1246" t="str">
        <f t="shared" si="135"/>
        <v>Open</v>
      </c>
      <c r="Z1246" t="str">
        <f t="shared" si="136"/>
        <v>Mar-2026</v>
      </c>
      <c r="AA1246" t="str">
        <f t="shared" si="137"/>
        <v>Q1 2026</v>
      </c>
      <c r="AB1246" s="4">
        <f t="shared" ca="1" si="138"/>
        <v>89</v>
      </c>
      <c r="AC1246" t="str">
        <f t="shared" si="139"/>
        <v>High</v>
      </c>
    </row>
    <row r="1247" spans="1:29">
      <c r="A1247" t="s">
        <v>4539</v>
      </c>
      <c r="B1247" s="2">
        <v>45947</v>
      </c>
      <c r="C1247" t="s">
        <v>4239</v>
      </c>
      <c r="D1247" t="s">
        <v>1302</v>
      </c>
      <c r="E1247" t="s">
        <v>4540</v>
      </c>
      <c r="F1247" t="s">
        <v>4541</v>
      </c>
      <c r="G1247" t="s">
        <v>34</v>
      </c>
      <c r="H1247" t="s">
        <v>446</v>
      </c>
      <c r="I1247" t="s">
        <v>98</v>
      </c>
      <c r="J1247" t="s">
        <v>62</v>
      </c>
      <c r="K1247" t="s">
        <v>38</v>
      </c>
      <c r="L1247" t="s">
        <v>154</v>
      </c>
      <c r="M1247" t="s">
        <v>40</v>
      </c>
      <c r="N1247" t="s">
        <v>41</v>
      </c>
      <c r="O1247" s="3">
        <v>425000</v>
      </c>
      <c r="P1247" s="4">
        <v>100</v>
      </c>
      <c r="Q1247" s="2">
        <v>46030</v>
      </c>
      <c r="R1247" s="2"/>
      <c r="S1247" s="2">
        <v>45973</v>
      </c>
      <c r="T1247" s="2">
        <v>46030</v>
      </c>
      <c r="U1247" t="str">
        <f t="shared" si="133"/>
        <v>Yes</v>
      </c>
      <c r="W12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1247" t="str">
        <f t="shared" ca="1" si="134"/>
        <v>Closed</v>
      </c>
      <c r="Y1247" t="str">
        <f t="shared" si="135"/>
        <v>Closed</v>
      </c>
      <c r="Z1247" t="str">
        <f t="shared" si="136"/>
        <v>Oct-2025</v>
      </c>
      <c r="AA1247" t="str">
        <f t="shared" si="137"/>
        <v>Q4 2025</v>
      </c>
      <c r="AB1247" s="4">
        <f t="shared" ca="1" si="138"/>
        <v>252</v>
      </c>
      <c r="AC1247" t="str">
        <f t="shared" si="139"/>
        <v>High</v>
      </c>
    </row>
    <row r="1248" spans="1:29">
      <c r="A1248" t="s">
        <v>4542</v>
      </c>
      <c r="B1248" s="2">
        <v>46085</v>
      </c>
      <c r="C1248" t="s">
        <v>737</v>
      </c>
      <c r="D1248" t="s">
        <v>225</v>
      </c>
      <c r="E1248" t="s">
        <v>4543</v>
      </c>
      <c r="F1248" t="s">
        <v>4544</v>
      </c>
      <c r="G1248" t="s">
        <v>69</v>
      </c>
      <c r="H1248" t="s">
        <v>193</v>
      </c>
      <c r="I1248" t="s">
        <v>49</v>
      </c>
      <c r="J1248" t="s">
        <v>50</v>
      </c>
      <c r="K1248" t="s">
        <v>194</v>
      </c>
      <c r="L1248" t="s">
        <v>115</v>
      </c>
      <c r="M1248" t="s">
        <v>166</v>
      </c>
      <c r="N1248" t="s">
        <v>167</v>
      </c>
      <c r="O1248" s="3">
        <v>215000</v>
      </c>
      <c r="P1248" s="4">
        <v>65</v>
      </c>
      <c r="Q1248" s="2">
        <v>46128</v>
      </c>
      <c r="R1248" s="2">
        <v>46173</v>
      </c>
      <c r="S1248" s="2">
        <v>46104</v>
      </c>
      <c r="T1248" s="2"/>
      <c r="U1248" t="str">
        <f t="shared" si="133"/>
        <v>No</v>
      </c>
      <c r="W12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8" t="str">
        <f t="shared" ca="1" si="134"/>
        <v>Overdue</v>
      </c>
      <c r="Y1248" t="str">
        <f t="shared" si="135"/>
        <v>Open</v>
      </c>
      <c r="Z1248" t="str">
        <f t="shared" si="136"/>
        <v>Mar-2026</v>
      </c>
      <c r="AA1248" t="str">
        <f t="shared" si="137"/>
        <v>Q1 2026</v>
      </c>
      <c r="AB1248" s="4">
        <f t="shared" ca="1" si="138"/>
        <v>114</v>
      </c>
      <c r="AC1248" t="str">
        <f t="shared" si="139"/>
        <v>Medium</v>
      </c>
    </row>
    <row r="1249" spans="1:29">
      <c r="A1249" t="s">
        <v>4545</v>
      </c>
      <c r="B1249" s="2">
        <v>46110</v>
      </c>
      <c r="C1249" t="s">
        <v>635</v>
      </c>
      <c r="D1249" t="s">
        <v>375</v>
      </c>
      <c r="E1249" t="s">
        <v>4546</v>
      </c>
      <c r="F1249" t="s">
        <v>4547</v>
      </c>
      <c r="G1249" t="s">
        <v>79</v>
      </c>
      <c r="H1249" t="s">
        <v>260</v>
      </c>
      <c r="I1249" t="s">
        <v>36</v>
      </c>
      <c r="J1249" t="s">
        <v>37</v>
      </c>
      <c r="K1249" t="s">
        <v>51</v>
      </c>
      <c r="L1249" t="s">
        <v>81</v>
      </c>
      <c r="M1249" t="s">
        <v>116</v>
      </c>
      <c r="N1249" t="s">
        <v>54</v>
      </c>
      <c r="O1249" s="3">
        <v>80000</v>
      </c>
      <c r="P1249" s="4">
        <v>20</v>
      </c>
      <c r="Q1249" s="2">
        <v>46200</v>
      </c>
      <c r="R1249" s="2">
        <v>46234</v>
      </c>
      <c r="S1249" s="2">
        <v>46132</v>
      </c>
      <c r="T1249" s="2"/>
      <c r="U1249" t="str">
        <f t="shared" si="133"/>
        <v>No</v>
      </c>
      <c r="W12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49" t="str">
        <f t="shared" ca="1" si="134"/>
        <v>Due/Open</v>
      </c>
      <c r="Y1249" t="str">
        <f t="shared" si="135"/>
        <v>Open</v>
      </c>
      <c r="Z1249" t="str">
        <f t="shared" si="136"/>
        <v>Mar-2026</v>
      </c>
      <c r="AA1249" t="str">
        <f t="shared" si="137"/>
        <v>Q1 2026</v>
      </c>
      <c r="AB1249" s="4">
        <f t="shared" ca="1" si="138"/>
        <v>89</v>
      </c>
      <c r="AC1249" t="str">
        <f t="shared" si="139"/>
        <v>Low</v>
      </c>
    </row>
    <row r="1250" spans="1:29">
      <c r="A1250" t="s">
        <v>4548</v>
      </c>
      <c r="B1250" s="2">
        <v>45668</v>
      </c>
      <c r="C1250" t="s">
        <v>1334</v>
      </c>
      <c r="D1250" t="s">
        <v>1560</v>
      </c>
      <c r="E1250" t="s">
        <v>4549</v>
      </c>
      <c r="F1250" t="s">
        <v>4550</v>
      </c>
      <c r="G1250" t="s">
        <v>69</v>
      </c>
      <c r="H1250" t="s">
        <v>285</v>
      </c>
      <c r="I1250" t="s">
        <v>148</v>
      </c>
      <c r="J1250" t="s">
        <v>37</v>
      </c>
      <c r="K1250" t="s">
        <v>38</v>
      </c>
      <c r="L1250" t="s">
        <v>125</v>
      </c>
      <c r="M1250" t="s">
        <v>53</v>
      </c>
      <c r="N1250" t="s">
        <v>54</v>
      </c>
      <c r="O1250" s="3">
        <v>135000</v>
      </c>
      <c r="P1250" s="4">
        <v>35</v>
      </c>
      <c r="Q1250" s="2">
        <v>45704</v>
      </c>
      <c r="R1250" s="2">
        <v>46238</v>
      </c>
      <c r="S1250" s="2">
        <v>45685</v>
      </c>
      <c r="T1250" s="2"/>
      <c r="U1250" t="str">
        <f t="shared" si="133"/>
        <v>No</v>
      </c>
      <c r="W12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0" t="str">
        <f t="shared" ca="1" si="134"/>
        <v>Due/Open</v>
      </c>
      <c r="Y1250" t="str">
        <f t="shared" si="135"/>
        <v>Open</v>
      </c>
      <c r="Z1250" t="str">
        <f t="shared" si="136"/>
        <v>Jan-2025</v>
      </c>
      <c r="AA1250" t="str">
        <f t="shared" si="137"/>
        <v>Q1 2025</v>
      </c>
      <c r="AB1250" s="4">
        <f t="shared" ca="1" si="138"/>
        <v>531</v>
      </c>
      <c r="AC1250" t="str">
        <f t="shared" si="139"/>
        <v>Medium</v>
      </c>
    </row>
    <row r="1251" spans="1:29">
      <c r="A1251" t="s">
        <v>4551</v>
      </c>
      <c r="B1251" s="2">
        <v>45978</v>
      </c>
      <c r="C1251" t="s">
        <v>1047</v>
      </c>
      <c r="D1251" t="s">
        <v>309</v>
      </c>
      <c r="E1251" t="s">
        <v>4552</v>
      </c>
      <c r="F1251" t="s">
        <v>4553</v>
      </c>
      <c r="G1251" t="s">
        <v>69</v>
      </c>
      <c r="H1251" t="s">
        <v>270</v>
      </c>
      <c r="I1251" t="s">
        <v>148</v>
      </c>
      <c r="J1251" t="s">
        <v>131</v>
      </c>
      <c r="K1251" t="s">
        <v>100</v>
      </c>
      <c r="L1251" t="s">
        <v>63</v>
      </c>
      <c r="M1251" t="s">
        <v>53</v>
      </c>
      <c r="N1251" t="s">
        <v>54</v>
      </c>
      <c r="O1251" s="3">
        <v>235000</v>
      </c>
      <c r="P1251" s="4">
        <v>35</v>
      </c>
      <c r="Q1251" s="2">
        <v>46053</v>
      </c>
      <c r="R1251" s="2">
        <v>46217</v>
      </c>
      <c r="S1251" s="2">
        <v>45981</v>
      </c>
      <c r="T1251" s="2"/>
      <c r="U1251" t="str">
        <f t="shared" si="133"/>
        <v>No</v>
      </c>
      <c r="W12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1" t="str">
        <f t="shared" ca="1" si="134"/>
        <v>Due/Open</v>
      </c>
      <c r="Y1251" t="str">
        <f t="shared" si="135"/>
        <v>Open</v>
      </c>
      <c r="Z1251" t="str">
        <f t="shared" si="136"/>
        <v>Nov-2025</v>
      </c>
      <c r="AA1251" t="str">
        <f t="shared" si="137"/>
        <v>Q4 2025</v>
      </c>
      <c r="AB1251" s="4">
        <f t="shared" ca="1" si="138"/>
        <v>221</v>
      </c>
      <c r="AC1251" t="str">
        <f t="shared" si="139"/>
        <v>Medium</v>
      </c>
    </row>
    <row r="1252" spans="1:29">
      <c r="A1252" t="s">
        <v>4554</v>
      </c>
      <c r="B1252" s="2">
        <v>45858</v>
      </c>
      <c r="C1252" t="s">
        <v>2165</v>
      </c>
      <c r="D1252" t="s">
        <v>407</v>
      </c>
      <c r="E1252" t="s">
        <v>4555</v>
      </c>
      <c r="F1252" t="s">
        <v>4556</v>
      </c>
      <c r="G1252" t="s">
        <v>69</v>
      </c>
      <c r="H1252" t="s">
        <v>193</v>
      </c>
      <c r="I1252" t="s">
        <v>98</v>
      </c>
      <c r="J1252" t="s">
        <v>99</v>
      </c>
      <c r="K1252" t="s">
        <v>100</v>
      </c>
      <c r="L1252" t="s">
        <v>81</v>
      </c>
      <c r="M1252" t="s">
        <v>40</v>
      </c>
      <c r="N1252" t="s">
        <v>41</v>
      </c>
      <c r="O1252" s="3">
        <v>295000</v>
      </c>
      <c r="P1252" s="4">
        <v>100</v>
      </c>
      <c r="Q1252" s="2">
        <v>45872</v>
      </c>
      <c r="R1252" s="2"/>
      <c r="S1252" s="2">
        <v>45878</v>
      </c>
      <c r="T1252" s="2">
        <v>45872</v>
      </c>
      <c r="U1252" t="str">
        <f t="shared" si="133"/>
        <v>Yes</v>
      </c>
      <c r="W125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1252" t="str">
        <f t="shared" ca="1" si="134"/>
        <v>Closed</v>
      </c>
      <c r="Y1252" t="str">
        <f t="shared" si="135"/>
        <v>Closed</v>
      </c>
      <c r="Z1252" t="str">
        <f t="shared" si="136"/>
        <v>Jul-2025</v>
      </c>
      <c r="AA1252" t="str">
        <f t="shared" si="137"/>
        <v>Q3 2025</v>
      </c>
      <c r="AB1252" s="4">
        <f t="shared" ca="1" si="138"/>
        <v>341</v>
      </c>
      <c r="AC1252" t="str">
        <f t="shared" si="139"/>
        <v>Medium</v>
      </c>
    </row>
    <row r="1253" spans="1:29">
      <c r="A1253" t="s">
        <v>4557</v>
      </c>
      <c r="B1253" s="2">
        <v>46140</v>
      </c>
      <c r="C1253" t="s">
        <v>4558</v>
      </c>
      <c r="D1253" t="s">
        <v>1086</v>
      </c>
      <c r="E1253" t="s">
        <v>4559</v>
      </c>
      <c r="F1253" t="s">
        <v>4560</v>
      </c>
      <c r="G1253" t="s">
        <v>47</v>
      </c>
      <c r="H1253" t="s">
        <v>122</v>
      </c>
      <c r="I1253" t="s">
        <v>187</v>
      </c>
      <c r="J1253" t="s">
        <v>62</v>
      </c>
      <c r="K1253" t="s">
        <v>38</v>
      </c>
      <c r="L1253" t="s">
        <v>154</v>
      </c>
      <c r="M1253" t="s">
        <v>166</v>
      </c>
      <c r="N1253" t="s">
        <v>167</v>
      </c>
      <c r="O1253" s="3">
        <v>170000</v>
      </c>
      <c r="P1253" s="4">
        <v>60</v>
      </c>
      <c r="Q1253" s="2">
        <v>46169</v>
      </c>
      <c r="R1253" s="2">
        <v>46234</v>
      </c>
      <c r="S1253" s="2">
        <v>46160</v>
      </c>
      <c r="T1253" s="2"/>
      <c r="U1253" t="str">
        <f t="shared" si="133"/>
        <v>No</v>
      </c>
      <c r="W12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3" t="str">
        <f t="shared" ca="1" si="134"/>
        <v>Due/Open</v>
      </c>
      <c r="Y1253" t="str">
        <f t="shared" si="135"/>
        <v>Open</v>
      </c>
      <c r="Z1253" t="str">
        <f t="shared" si="136"/>
        <v>Apr-2026</v>
      </c>
      <c r="AA1253" t="str">
        <f t="shared" si="137"/>
        <v>Q2 2026</v>
      </c>
      <c r="AB1253" s="4">
        <f t="shared" ca="1" si="138"/>
        <v>59</v>
      </c>
      <c r="AC1253" t="str">
        <f t="shared" si="139"/>
        <v>Medium</v>
      </c>
    </row>
    <row r="1254" spans="1:29">
      <c r="A1254" t="s">
        <v>4561</v>
      </c>
      <c r="B1254" s="2">
        <v>46081</v>
      </c>
      <c r="C1254" t="s">
        <v>388</v>
      </c>
      <c r="D1254" t="s">
        <v>138</v>
      </c>
      <c r="E1254" t="s">
        <v>4562</v>
      </c>
      <c r="F1254" t="s">
        <v>4563</v>
      </c>
      <c r="G1254" t="s">
        <v>47</v>
      </c>
      <c r="H1254" t="s">
        <v>418</v>
      </c>
      <c r="I1254" t="s">
        <v>141</v>
      </c>
      <c r="J1254" t="s">
        <v>124</v>
      </c>
      <c r="K1254" t="s">
        <v>51</v>
      </c>
      <c r="L1254" t="s">
        <v>125</v>
      </c>
      <c r="M1254" t="s">
        <v>116</v>
      </c>
      <c r="N1254" t="s">
        <v>54</v>
      </c>
      <c r="O1254" s="3">
        <v>80000</v>
      </c>
      <c r="P1254" s="4">
        <v>20</v>
      </c>
      <c r="Q1254" s="2">
        <v>46114</v>
      </c>
      <c r="R1254" s="2">
        <v>46222</v>
      </c>
      <c r="S1254" s="2">
        <v>46092</v>
      </c>
      <c r="T1254" s="2"/>
      <c r="U1254" t="str">
        <f t="shared" si="133"/>
        <v>No</v>
      </c>
      <c r="W12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4" t="str">
        <f t="shared" ca="1" si="134"/>
        <v>Due/Open</v>
      </c>
      <c r="Y1254" t="str">
        <f t="shared" si="135"/>
        <v>Open</v>
      </c>
      <c r="Z1254" t="str">
        <f t="shared" si="136"/>
        <v>Feb-2026</v>
      </c>
      <c r="AA1254" t="str">
        <f t="shared" si="137"/>
        <v>Q1 2026</v>
      </c>
      <c r="AB1254" s="4">
        <f t="shared" ca="1" si="138"/>
        <v>118</v>
      </c>
      <c r="AC1254" t="str">
        <f t="shared" si="139"/>
        <v>Low</v>
      </c>
    </row>
    <row r="1255" spans="1:29">
      <c r="A1255" t="s">
        <v>4564</v>
      </c>
      <c r="B1255" s="2">
        <v>46043</v>
      </c>
      <c r="C1255" t="s">
        <v>656</v>
      </c>
      <c r="D1255" t="s">
        <v>138</v>
      </c>
      <c r="E1255" t="s">
        <v>2614</v>
      </c>
      <c r="F1255" t="s">
        <v>4565</v>
      </c>
      <c r="G1255" t="s">
        <v>79</v>
      </c>
      <c r="H1255" t="s">
        <v>228</v>
      </c>
      <c r="I1255" t="s">
        <v>49</v>
      </c>
      <c r="J1255" t="s">
        <v>99</v>
      </c>
      <c r="K1255" t="s">
        <v>100</v>
      </c>
      <c r="L1255" t="s">
        <v>52</v>
      </c>
      <c r="M1255" t="s">
        <v>40</v>
      </c>
      <c r="N1255" t="s">
        <v>41</v>
      </c>
      <c r="O1255" s="3">
        <v>260000</v>
      </c>
      <c r="P1255" s="4">
        <v>100</v>
      </c>
      <c r="Q1255" s="2">
        <v>46115</v>
      </c>
      <c r="R1255" s="2"/>
      <c r="S1255" s="2">
        <v>46068</v>
      </c>
      <c r="T1255" s="2">
        <v>46115</v>
      </c>
      <c r="U1255" t="str">
        <f t="shared" si="133"/>
        <v>Yes</v>
      </c>
      <c r="W12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255" t="str">
        <f t="shared" ca="1" si="134"/>
        <v>Closed</v>
      </c>
      <c r="Y1255" t="str">
        <f t="shared" si="135"/>
        <v>Closed</v>
      </c>
      <c r="Z1255" t="str">
        <f t="shared" si="136"/>
        <v>Jan-2026</v>
      </c>
      <c r="AA1255" t="str">
        <f t="shared" si="137"/>
        <v>Q1 2026</v>
      </c>
      <c r="AB1255" s="4">
        <f t="shared" ca="1" si="138"/>
        <v>156</v>
      </c>
      <c r="AC1255" t="str">
        <f t="shared" si="139"/>
        <v>Medium</v>
      </c>
    </row>
    <row r="1256" spans="1:29">
      <c r="A1256" t="s">
        <v>4566</v>
      </c>
      <c r="B1256" s="2">
        <v>45952</v>
      </c>
      <c r="C1256" t="s">
        <v>2725</v>
      </c>
      <c r="D1256" t="s">
        <v>1254</v>
      </c>
      <c r="E1256" t="s">
        <v>4567</v>
      </c>
      <c r="F1256" t="s">
        <v>4568</v>
      </c>
      <c r="G1256" t="s">
        <v>34</v>
      </c>
      <c r="H1256" t="s">
        <v>173</v>
      </c>
      <c r="I1256" t="s">
        <v>187</v>
      </c>
      <c r="J1256" t="s">
        <v>50</v>
      </c>
      <c r="K1256" t="s">
        <v>71</v>
      </c>
      <c r="L1256" t="s">
        <v>81</v>
      </c>
      <c r="M1256" t="s">
        <v>90</v>
      </c>
      <c r="N1256" t="s">
        <v>91</v>
      </c>
      <c r="O1256" s="3">
        <v>125000</v>
      </c>
      <c r="P1256" s="4">
        <v>55</v>
      </c>
      <c r="Q1256" s="2">
        <v>46025</v>
      </c>
      <c r="R1256" s="2">
        <v>46212</v>
      </c>
      <c r="S1256" s="2">
        <v>45968</v>
      </c>
      <c r="T1256" s="2"/>
      <c r="U1256" t="str">
        <f t="shared" si="133"/>
        <v>No</v>
      </c>
      <c r="W12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6" t="str">
        <f t="shared" ca="1" si="134"/>
        <v>Due/Open</v>
      </c>
      <c r="Y1256" t="str">
        <f t="shared" si="135"/>
        <v>Open</v>
      </c>
      <c r="Z1256" t="str">
        <f t="shared" si="136"/>
        <v>Oct-2025</v>
      </c>
      <c r="AA1256" t="str">
        <f t="shared" si="137"/>
        <v>Q4 2025</v>
      </c>
      <c r="AB1256" s="4">
        <f t="shared" ca="1" si="138"/>
        <v>247</v>
      </c>
      <c r="AC1256" t="str">
        <f t="shared" si="139"/>
        <v>Medium</v>
      </c>
    </row>
    <row r="1257" spans="1:29">
      <c r="A1257" t="s">
        <v>4569</v>
      </c>
      <c r="B1257" s="2">
        <v>45981</v>
      </c>
      <c r="C1257" t="s">
        <v>1839</v>
      </c>
      <c r="D1257" t="s">
        <v>887</v>
      </c>
      <c r="E1257" t="s">
        <v>4570</v>
      </c>
      <c r="F1257" t="s">
        <v>4571</v>
      </c>
      <c r="G1257" t="s">
        <v>69</v>
      </c>
      <c r="H1257" t="s">
        <v>200</v>
      </c>
      <c r="I1257" t="s">
        <v>141</v>
      </c>
      <c r="J1257" t="s">
        <v>131</v>
      </c>
      <c r="K1257" t="s">
        <v>194</v>
      </c>
      <c r="L1257" t="s">
        <v>63</v>
      </c>
      <c r="M1257" t="s">
        <v>90</v>
      </c>
      <c r="N1257" t="s">
        <v>91</v>
      </c>
      <c r="O1257" s="3">
        <v>105000</v>
      </c>
      <c r="P1257" s="4">
        <v>50</v>
      </c>
      <c r="Q1257" s="2">
        <v>46007</v>
      </c>
      <c r="R1257" s="2">
        <v>46196</v>
      </c>
      <c r="S1257" s="2">
        <v>45989</v>
      </c>
      <c r="T1257" s="2"/>
      <c r="U1257" t="str">
        <f t="shared" si="133"/>
        <v>No</v>
      </c>
      <c r="W12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7" t="str">
        <f t="shared" ca="1" si="134"/>
        <v>Overdue</v>
      </c>
      <c r="Y1257" t="str">
        <f t="shared" si="135"/>
        <v>Open</v>
      </c>
      <c r="Z1257" t="str">
        <f t="shared" si="136"/>
        <v>Nov-2025</v>
      </c>
      <c r="AA1257" t="str">
        <f t="shared" si="137"/>
        <v>Q4 2025</v>
      </c>
      <c r="AB1257" s="4">
        <f t="shared" ca="1" si="138"/>
        <v>218</v>
      </c>
      <c r="AC1257" t="str">
        <f t="shared" si="139"/>
        <v>Low</v>
      </c>
    </row>
    <row r="1258" spans="1:29">
      <c r="A1258" t="s">
        <v>4572</v>
      </c>
      <c r="B1258" s="2">
        <v>45677</v>
      </c>
      <c r="C1258" t="s">
        <v>1403</v>
      </c>
      <c r="D1258" t="s">
        <v>1021</v>
      </c>
      <c r="E1258" t="s">
        <v>4573</v>
      </c>
      <c r="F1258" t="s">
        <v>4574</v>
      </c>
      <c r="G1258" t="s">
        <v>79</v>
      </c>
      <c r="H1258" t="s">
        <v>217</v>
      </c>
      <c r="I1258" t="s">
        <v>98</v>
      </c>
      <c r="J1258" t="s">
        <v>99</v>
      </c>
      <c r="K1258" t="s">
        <v>71</v>
      </c>
      <c r="L1258" t="s">
        <v>39</v>
      </c>
      <c r="M1258" t="s">
        <v>53</v>
      </c>
      <c r="N1258" t="s">
        <v>54</v>
      </c>
      <c r="O1258" s="3">
        <v>580000</v>
      </c>
      <c r="P1258" s="4">
        <v>35</v>
      </c>
      <c r="Q1258" s="2">
        <v>45717</v>
      </c>
      <c r="R1258" s="2">
        <v>46233</v>
      </c>
      <c r="S1258" s="2">
        <v>45684</v>
      </c>
      <c r="T1258" s="2"/>
      <c r="U1258" t="str">
        <f t="shared" si="133"/>
        <v>No</v>
      </c>
      <c r="W12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8" t="str">
        <f t="shared" ca="1" si="134"/>
        <v>Due/Open</v>
      </c>
      <c r="Y1258" t="str">
        <f t="shared" si="135"/>
        <v>Open</v>
      </c>
      <c r="Z1258" t="str">
        <f t="shared" si="136"/>
        <v>Jan-2025</v>
      </c>
      <c r="AA1258" t="str">
        <f t="shared" si="137"/>
        <v>Q1 2025</v>
      </c>
      <c r="AB1258" s="4">
        <f t="shared" ca="1" si="138"/>
        <v>522</v>
      </c>
      <c r="AC1258" t="str">
        <f t="shared" si="139"/>
        <v>High</v>
      </c>
    </row>
    <row r="1259" spans="1:29">
      <c r="A1259" t="s">
        <v>4575</v>
      </c>
      <c r="B1259" s="2">
        <v>46189</v>
      </c>
      <c r="C1259" t="s">
        <v>958</v>
      </c>
      <c r="D1259" t="s">
        <v>145</v>
      </c>
      <c r="E1259" t="s">
        <v>959</v>
      </c>
      <c r="F1259" t="s">
        <v>4576</v>
      </c>
      <c r="G1259" t="s">
        <v>69</v>
      </c>
      <c r="H1259" t="s">
        <v>193</v>
      </c>
      <c r="I1259" t="s">
        <v>61</v>
      </c>
      <c r="J1259" t="s">
        <v>37</v>
      </c>
      <c r="K1259" t="s">
        <v>100</v>
      </c>
      <c r="L1259" t="s">
        <v>63</v>
      </c>
      <c r="M1259" t="s">
        <v>90</v>
      </c>
      <c r="N1259" t="s">
        <v>91</v>
      </c>
      <c r="O1259" s="3">
        <v>160000</v>
      </c>
      <c r="P1259" s="4">
        <v>50</v>
      </c>
      <c r="Q1259" s="2">
        <v>46242</v>
      </c>
      <c r="R1259" s="2">
        <v>46177</v>
      </c>
      <c r="S1259" s="2">
        <v>46197</v>
      </c>
      <c r="T1259" s="2"/>
      <c r="U1259" t="str">
        <f t="shared" si="133"/>
        <v>No</v>
      </c>
      <c r="W12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59" t="str">
        <f t="shared" ca="1" si="134"/>
        <v>Overdue</v>
      </c>
      <c r="Y1259" t="str">
        <f t="shared" si="135"/>
        <v>Open</v>
      </c>
      <c r="Z1259" t="str">
        <f t="shared" si="136"/>
        <v>Jun-2026</v>
      </c>
      <c r="AA1259" t="str">
        <f t="shared" si="137"/>
        <v>Q2 2026</v>
      </c>
      <c r="AB1259" s="4">
        <f t="shared" ca="1" si="138"/>
        <v>10</v>
      </c>
      <c r="AC1259" t="str">
        <f t="shared" si="139"/>
        <v>Medium</v>
      </c>
    </row>
    <row r="1260" spans="1:29">
      <c r="A1260" t="s">
        <v>4577</v>
      </c>
      <c r="B1260" s="2">
        <v>45708</v>
      </c>
      <c r="C1260" t="s">
        <v>1323</v>
      </c>
      <c r="D1260" t="s">
        <v>2143</v>
      </c>
      <c r="E1260" t="s">
        <v>4578</v>
      </c>
      <c r="F1260" t="s">
        <v>4579</v>
      </c>
      <c r="G1260" t="s">
        <v>47</v>
      </c>
      <c r="H1260" t="s">
        <v>493</v>
      </c>
      <c r="I1260" t="s">
        <v>49</v>
      </c>
      <c r="J1260" t="s">
        <v>62</v>
      </c>
      <c r="K1260" t="s">
        <v>51</v>
      </c>
      <c r="L1260" t="s">
        <v>81</v>
      </c>
      <c r="M1260" t="s">
        <v>82</v>
      </c>
      <c r="N1260" t="s">
        <v>83</v>
      </c>
      <c r="O1260" s="3">
        <v>390000</v>
      </c>
      <c r="P1260" s="4">
        <v>10</v>
      </c>
      <c r="Q1260" s="2">
        <v>45782</v>
      </c>
      <c r="R1260" s="2">
        <v>46207</v>
      </c>
      <c r="S1260" s="2">
        <v>45729</v>
      </c>
      <c r="T1260" s="2"/>
      <c r="U1260" t="str">
        <f t="shared" si="133"/>
        <v>No</v>
      </c>
      <c r="W12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0" t="str">
        <f t="shared" ca="1" si="134"/>
        <v>Due/Open</v>
      </c>
      <c r="Y1260" t="str">
        <f t="shared" si="135"/>
        <v>Open</v>
      </c>
      <c r="Z1260" t="str">
        <f t="shared" si="136"/>
        <v>Feb-2025</v>
      </c>
      <c r="AA1260" t="str">
        <f t="shared" si="137"/>
        <v>Q1 2025</v>
      </c>
      <c r="AB1260" s="4">
        <f t="shared" ca="1" si="138"/>
        <v>491</v>
      </c>
      <c r="AC1260" t="str">
        <f t="shared" si="139"/>
        <v>High</v>
      </c>
    </row>
    <row r="1261" spans="1:29">
      <c r="A1261" t="s">
        <v>4580</v>
      </c>
      <c r="B1261" s="2">
        <v>45810</v>
      </c>
      <c r="C1261" t="s">
        <v>1448</v>
      </c>
      <c r="D1261" t="s">
        <v>138</v>
      </c>
      <c r="E1261" t="s">
        <v>4581</v>
      </c>
      <c r="F1261" t="s">
        <v>4582</v>
      </c>
      <c r="G1261" t="s">
        <v>47</v>
      </c>
      <c r="H1261" t="s">
        <v>418</v>
      </c>
      <c r="I1261" t="s">
        <v>36</v>
      </c>
      <c r="J1261" t="s">
        <v>62</v>
      </c>
      <c r="K1261" t="s">
        <v>114</v>
      </c>
      <c r="L1261" t="s">
        <v>72</v>
      </c>
      <c r="M1261" t="s">
        <v>210</v>
      </c>
      <c r="N1261" t="s">
        <v>134</v>
      </c>
      <c r="O1261" s="3">
        <v>110000</v>
      </c>
      <c r="P1261" s="4">
        <v>0</v>
      </c>
      <c r="Q1261" s="2">
        <v>45868</v>
      </c>
      <c r="R1261" s="2"/>
      <c r="S1261" s="2">
        <v>45834</v>
      </c>
      <c r="T1261" s="2">
        <v>45868</v>
      </c>
      <c r="U1261" t="str">
        <f t="shared" si="133"/>
        <v>No</v>
      </c>
      <c r="V1261" t="s">
        <v>276</v>
      </c>
      <c r="W126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261" t="str">
        <f t="shared" ca="1" si="134"/>
        <v>Closed</v>
      </c>
      <c r="Y1261" t="str">
        <f t="shared" si="135"/>
        <v>Closed</v>
      </c>
      <c r="Z1261" t="str">
        <f t="shared" si="136"/>
        <v>Jun-2025</v>
      </c>
      <c r="AA1261" t="str">
        <f t="shared" si="137"/>
        <v>Q2 2025</v>
      </c>
      <c r="AB1261" s="4">
        <f t="shared" ca="1" si="138"/>
        <v>389</v>
      </c>
      <c r="AC1261" t="str">
        <f t="shared" si="139"/>
        <v>Low</v>
      </c>
    </row>
    <row r="1262" spans="1:29">
      <c r="A1262" t="s">
        <v>4583</v>
      </c>
      <c r="B1262" s="2">
        <v>46124</v>
      </c>
      <c r="C1262" t="s">
        <v>835</v>
      </c>
      <c r="D1262" t="s">
        <v>44</v>
      </c>
      <c r="E1262" t="s">
        <v>4584</v>
      </c>
      <c r="F1262" t="s">
        <v>4585</v>
      </c>
      <c r="G1262" t="s">
        <v>34</v>
      </c>
      <c r="H1262" t="s">
        <v>173</v>
      </c>
      <c r="I1262" t="s">
        <v>148</v>
      </c>
      <c r="J1262" t="s">
        <v>37</v>
      </c>
      <c r="K1262" t="s">
        <v>51</v>
      </c>
      <c r="L1262" t="s">
        <v>125</v>
      </c>
      <c r="M1262" t="s">
        <v>40</v>
      </c>
      <c r="N1262" t="s">
        <v>41</v>
      </c>
      <c r="O1262" s="3">
        <v>45000</v>
      </c>
      <c r="P1262" s="4">
        <v>100</v>
      </c>
      <c r="Q1262" s="2">
        <v>46175</v>
      </c>
      <c r="R1262" s="2"/>
      <c r="S1262" s="2">
        <v>46139</v>
      </c>
      <c r="T1262" s="2">
        <v>46175</v>
      </c>
      <c r="U1262" t="str">
        <f t="shared" si="133"/>
        <v>Yes</v>
      </c>
      <c r="W12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51</v>
      </c>
      <c r="X1262" t="str">
        <f t="shared" ca="1" si="134"/>
        <v>Closed</v>
      </c>
      <c r="Y1262" t="str">
        <f t="shared" si="135"/>
        <v>Closed</v>
      </c>
      <c r="Z1262" t="str">
        <f t="shared" si="136"/>
        <v>Apr-2026</v>
      </c>
      <c r="AA1262" t="str">
        <f t="shared" si="137"/>
        <v>Q2 2026</v>
      </c>
      <c r="AB1262" s="4">
        <f t="shared" ca="1" si="138"/>
        <v>75</v>
      </c>
      <c r="AC1262" t="str">
        <f t="shared" si="139"/>
        <v>Low</v>
      </c>
    </row>
    <row r="1263" spans="1:29">
      <c r="A1263" t="s">
        <v>4586</v>
      </c>
      <c r="B1263" s="2">
        <v>46096</v>
      </c>
      <c r="C1263" t="s">
        <v>1117</v>
      </c>
      <c r="D1263" t="s">
        <v>361</v>
      </c>
      <c r="E1263" t="s">
        <v>4587</v>
      </c>
      <c r="F1263" t="s">
        <v>4588</v>
      </c>
      <c r="G1263" t="s">
        <v>179</v>
      </c>
      <c r="H1263" t="s">
        <v>296</v>
      </c>
      <c r="I1263" t="s">
        <v>36</v>
      </c>
      <c r="J1263" t="s">
        <v>124</v>
      </c>
      <c r="K1263" t="s">
        <v>38</v>
      </c>
      <c r="L1263" t="s">
        <v>154</v>
      </c>
      <c r="M1263" t="s">
        <v>40</v>
      </c>
      <c r="N1263" t="s">
        <v>41</v>
      </c>
      <c r="O1263" s="3">
        <v>210000</v>
      </c>
      <c r="P1263" s="4">
        <v>100</v>
      </c>
      <c r="Q1263" s="2">
        <v>46141</v>
      </c>
      <c r="R1263" s="2"/>
      <c r="S1263" s="2">
        <v>46115</v>
      </c>
      <c r="T1263" s="2">
        <v>46141</v>
      </c>
      <c r="U1263" t="str">
        <f t="shared" si="133"/>
        <v>Yes</v>
      </c>
      <c r="W12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45</v>
      </c>
      <c r="X1263" t="str">
        <f t="shared" ca="1" si="134"/>
        <v>Closed</v>
      </c>
      <c r="Y1263" t="str">
        <f t="shared" si="135"/>
        <v>Closed</v>
      </c>
      <c r="Z1263" t="str">
        <f t="shared" si="136"/>
        <v>Mar-2026</v>
      </c>
      <c r="AA1263" t="str">
        <f t="shared" si="137"/>
        <v>Q1 2026</v>
      </c>
      <c r="AB1263" s="4">
        <f t="shared" ca="1" si="138"/>
        <v>103</v>
      </c>
      <c r="AC1263" t="str">
        <f t="shared" si="139"/>
        <v>Medium</v>
      </c>
    </row>
    <row r="1264" spans="1:29">
      <c r="A1264" t="s">
        <v>4589</v>
      </c>
      <c r="B1264" s="2">
        <v>45819</v>
      </c>
      <c r="C1264" t="s">
        <v>741</v>
      </c>
      <c r="D1264" t="s">
        <v>1132</v>
      </c>
      <c r="E1264" t="s">
        <v>4590</v>
      </c>
      <c r="F1264" t="s">
        <v>4591</v>
      </c>
      <c r="G1264" t="s">
        <v>79</v>
      </c>
      <c r="H1264" t="s">
        <v>260</v>
      </c>
      <c r="I1264" t="s">
        <v>187</v>
      </c>
      <c r="J1264" t="s">
        <v>131</v>
      </c>
      <c r="K1264" t="s">
        <v>100</v>
      </c>
      <c r="L1264" t="s">
        <v>52</v>
      </c>
      <c r="M1264" t="s">
        <v>73</v>
      </c>
      <c r="N1264" t="s">
        <v>73</v>
      </c>
      <c r="O1264" s="3">
        <v>295000</v>
      </c>
      <c r="P1264" s="4">
        <v>75</v>
      </c>
      <c r="Q1264" s="2">
        <v>45855</v>
      </c>
      <c r="R1264" s="2">
        <v>46243</v>
      </c>
      <c r="S1264" s="2">
        <v>45849</v>
      </c>
      <c r="T1264" s="2"/>
      <c r="U1264" t="str">
        <f t="shared" si="133"/>
        <v>No</v>
      </c>
      <c r="W12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4" t="str">
        <f t="shared" ca="1" si="134"/>
        <v>Due/Open</v>
      </c>
      <c r="Y1264" t="str">
        <f t="shared" si="135"/>
        <v>Open</v>
      </c>
      <c r="Z1264" t="str">
        <f t="shared" si="136"/>
        <v>Jun-2025</v>
      </c>
      <c r="AA1264" t="str">
        <f t="shared" si="137"/>
        <v>Q2 2025</v>
      </c>
      <c r="AB1264" s="4">
        <f t="shared" ca="1" si="138"/>
        <v>380</v>
      </c>
      <c r="AC1264" t="str">
        <f t="shared" si="139"/>
        <v>Medium</v>
      </c>
    </row>
    <row r="1265" spans="1:29">
      <c r="A1265" t="s">
        <v>4592</v>
      </c>
      <c r="B1265" s="2">
        <v>45676</v>
      </c>
      <c r="C1265" t="s">
        <v>4339</v>
      </c>
      <c r="D1265" t="s">
        <v>247</v>
      </c>
      <c r="E1265" t="s">
        <v>4593</v>
      </c>
      <c r="F1265" t="s">
        <v>4594</v>
      </c>
      <c r="G1265" t="s">
        <v>34</v>
      </c>
      <c r="H1265" t="s">
        <v>60</v>
      </c>
      <c r="I1265" t="s">
        <v>141</v>
      </c>
      <c r="J1265" t="s">
        <v>124</v>
      </c>
      <c r="K1265" t="s">
        <v>51</v>
      </c>
      <c r="L1265" t="s">
        <v>154</v>
      </c>
      <c r="M1265" t="s">
        <v>73</v>
      </c>
      <c r="N1265" t="s">
        <v>73</v>
      </c>
      <c r="O1265" s="3">
        <v>130000</v>
      </c>
      <c r="P1265" s="4">
        <v>75</v>
      </c>
      <c r="Q1265" s="2">
        <v>45765</v>
      </c>
      <c r="R1265" s="2">
        <v>46209</v>
      </c>
      <c r="S1265" s="2">
        <v>45690</v>
      </c>
      <c r="T1265" s="2"/>
      <c r="U1265" t="str">
        <f t="shared" si="133"/>
        <v>No</v>
      </c>
      <c r="W12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5" t="str">
        <f t="shared" ca="1" si="134"/>
        <v>Due/Open</v>
      </c>
      <c r="Y1265" t="str">
        <f t="shared" si="135"/>
        <v>Open</v>
      </c>
      <c r="Z1265" t="str">
        <f t="shared" si="136"/>
        <v>Jan-2025</v>
      </c>
      <c r="AA1265" t="str">
        <f t="shared" si="137"/>
        <v>Q1 2025</v>
      </c>
      <c r="AB1265" s="4">
        <f t="shared" ca="1" si="138"/>
        <v>523</v>
      </c>
      <c r="AC1265" t="str">
        <f t="shared" si="139"/>
        <v>Medium</v>
      </c>
    </row>
    <row r="1266" spans="1:29">
      <c r="A1266" t="s">
        <v>4595</v>
      </c>
      <c r="B1266" s="2">
        <v>46028</v>
      </c>
      <c r="C1266" t="s">
        <v>1448</v>
      </c>
      <c r="D1266" t="s">
        <v>1600</v>
      </c>
      <c r="E1266" t="s">
        <v>4596</v>
      </c>
      <c r="F1266" t="s">
        <v>4597</v>
      </c>
      <c r="G1266" t="s">
        <v>47</v>
      </c>
      <c r="H1266" t="s">
        <v>48</v>
      </c>
      <c r="I1266" t="s">
        <v>36</v>
      </c>
      <c r="J1266" t="s">
        <v>99</v>
      </c>
      <c r="K1266" t="s">
        <v>114</v>
      </c>
      <c r="L1266" t="s">
        <v>72</v>
      </c>
      <c r="M1266" t="s">
        <v>116</v>
      </c>
      <c r="N1266" t="s">
        <v>54</v>
      </c>
      <c r="O1266" s="3">
        <v>470000</v>
      </c>
      <c r="P1266" s="4">
        <v>15</v>
      </c>
      <c r="Q1266" s="2">
        <v>46097</v>
      </c>
      <c r="R1266" s="2">
        <v>46214</v>
      </c>
      <c r="S1266" s="2">
        <v>46040</v>
      </c>
      <c r="T1266" s="2"/>
      <c r="U1266" t="str">
        <f t="shared" si="133"/>
        <v>No</v>
      </c>
      <c r="W12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6" t="str">
        <f t="shared" ca="1" si="134"/>
        <v>Due/Open</v>
      </c>
      <c r="Y1266" t="str">
        <f t="shared" si="135"/>
        <v>Open</v>
      </c>
      <c r="Z1266" t="str">
        <f t="shared" si="136"/>
        <v>Jan-2026</v>
      </c>
      <c r="AA1266" t="str">
        <f t="shared" si="137"/>
        <v>Q1 2026</v>
      </c>
      <c r="AB1266" s="4">
        <f t="shared" ca="1" si="138"/>
        <v>171</v>
      </c>
      <c r="AC1266" t="str">
        <f t="shared" si="139"/>
        <v>High</v>
      </c>
    </row>
    <row r="1267" spans="1:29">
      <c r="A1267" t="s">
        <v>4598</v>
      </c>
      <c r="B1267" s="2">
        <v>45916</v>
      </c>
      <c r="C1267" t="s">
        <v>2581</v>
      </c>
      <c r="D1267" t="s">
        <v>581</v>
      </c>
      <c r="E1267" t="s">
        <v>4599</v>
      </c>
      <c r="F1267" t="s">
        <v>4600</v>
      </c>
      <c r="G1267" t="s">
        <v>34</v>
      </c>
      <c r="H1267" t="s">
        <v>35</v>
      </c>
      <c r="I1267" t="s">
        <v>61</v>
      </c>
      <c r="J1267" t="s">
        <v>37</v>
      </c>
      <c r="K1267" t="s">
        <v>114</v>
      </c>
      <c r="L1267" t="s">
        <v>239</v>
      </c>
      <c r="M1267" t="s">
        <v>53</v>
      </c>
      <c r="N1267" t="s">
        <v>54</v>
      </c>
      <c r="O1267" s="3">
        <v>70000</v>
      </c>
      <c r="P1267" s="4">
        <v>30</v>
      </c>
      <c r="Q1267" s="2">
        <v>45945</v>
      </c>
      <c r="R1267" s="2">
        <v>46233</v>
      </c>
      <c r="S1267" s="2">
        <v>45938</v>
      </c>
      <c r="T1267" s="2"/>
      <c r="U1267" t="str">
        <f t="shared" si="133"/>
        <v>No</v>
      </c>
      <c r="W12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7" t="str">
        <f t="shared" ca="1" si="134"/>
        <v>Due/Open</v>
      </c>
      <c r="Y1267" t="str">
        <f t="shared" si="135"/>
        <v>Open</v>
      </c>
      <c r="Z1267" t="str">
        <f t="shared" si="136"/>
        <v>Sep-2025</v>
      </c>
      <c r="AA1267" t="str">
        <f t="shared" si="137"/>
        <v>Q3 2025</v>
      </c>
      <c r="AB1267" s="4">
        <f t="shared" ca="1" si="138"/>
        <v>283</v>
      </c>
      <c r="AC1267" t="str">
        <f t="shared" si="139"/>
        <v>Low</v>
      </c>
    </row>
    <row r="1268" spans="1:29">
      <c r="A1268" t="s">
        <v>4601</v>
      </c>
      <c r="B1268" s="2">
        <v>45877</v>
      </c>
      <c r="C1268" t="s">
        <v>538</v>
      </c>
      <c r="D1268" t="s">
        <v>1132</v>
      </c>
      <c r="E1268" t="s">
        <v>4602</v>
      </c>
      <c r="F1268" t="s">
        <v>4603</v>
      </c>
      <c r="G1268" t="s">
        <v>79</v>
      </c>
      <c r="H1268" t="s">
        <v>80</v>
      </c>
      <c r="I1268" t="s">
        <v>49</v>
      </c>
      <c r="J1268" t="s">
        <v>124</v>
      </c>
      <c r="K1268" t="s">
        <v>38</v>
      </c>
      <c r="L1268" t="s">
        <v>142</v>
      </c>
      <c r="M1268" t="s">
        <v>166</v>
      </c>
      <c r="N1268" t="s">
        <v>167</v>
      </c>
      <c r="O1268" s="3">
        <v>170000</v>
      </c>
      <c r="P1268" s="4">
        <v>70</v>
      </c>
      <c r="Q1268" s="2">
        <v>45905</v>
      </c>
      <c r="R1268" s="2">
        <v>46231</v>
      </c>
      <c r="S1268" s="2">
        <v>45880</v>
      </c>
      <c r="T1268" s="2"/>
      <c r="U1268" t="str">
        <f t="shared" si="133"/>
        <v>No</v>
      </c>
      <c r="W12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8" t="str">
        <f t="shared" ca="1" si="134"/>
        <v>Due/Open</v>
      </c>
      <c r="Y1268" t="str">
        <f t="shared" si="135"/>
        <v>Open</v>
      </c>
      <c r="Z1268" t="str">
        <f t="shared" si="136"/>
        <v>Aug-2025</v>
      </c>
      <c r="AA1268" t="str">
        <f t="shared" si="137"/>
        <v>Q3 2025</v>
      </c>
      <c r="AB1268" s="4">
        <f t="shared" ca="1" si="138"/>
        <v>322</v>
      </c>
      <c r="AC1268" t="str">
        <f t="shared" si="139"/>
        <v>Medium</v>
      </c>
    </row>
    <row r="1269" spans="1:29">
      <c r="A1269" t="s">
        <v>4604</v>
      </c>
      <c r="B1269" s="2">
        <v>46134</v>
      </c>
      <c r="C1269" t="s">
        <v>4605</v>
      </c>
      <c r="D1269" t="s">
        <v>337</v>
      </c>
      <c r="E1269" t="s">
        <v>4606</v>
      </c>
      <c r="F1269" t="s">
        <v>4607</v>
      </c>
      <c r="G1269" t="s">
        <v>69</v>
      </c>
      <c r="H1269" t="s">
        <v>193</v>
      </c>
      <c r="I1269" t="s">
        <v>148</v>
      </c>
      <c r="J1269" t="s">
        <v>99</v>
      </c>
      <c r="K1269" t="s">
        <v>194</v>
      </c>
      <c r="L1269" t="s">
        <v>132</v>
      </c>
      <c r="M1269" t="s">
        <v>82</v>
      </c>
      <c r="N1269" t="s">
        <v>83</v>
      </c>
      <c r="O1269" s="3">
        <v>680000</v>
      </c>
      <c r="P1269" s="4">
        <v>10</v>
      </c>
      <c r="Q1269" s="2">
        <v>46219</v>
      </c>
      <c r="R1269" s="2">
        <v>46175</v>
      </c>
      <c r="S1269" s="2">
        <v>46158</v>
      </c>
      <c r="T1269" s="2"/>
      <c r="U1269" t="str">
        <f t="shared" si="133"/>
        <v>No</v>
      </c>
      <c r="W12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69" t="str">
        <f t="shared" ca="1" si="134"/>
        <v>Overdue</v>
      </c>
      <c r="Y1269" t="str">
        <f t="shared" si="135"/>
        <v>Open</v>
      </c>
      <c r="Z1269" t="str">
        <f t="shared" si="136"/>
        <v>Apr-2026</v>
      </c>
      <c r="AA1269" t="str">
        <f t="shared" si="137"/>
        <v>Q2 2026</v>
      </c>
      <c r="AB1269" s="4">
        <f t="shared" ca="1" si="138"/>
        <v>65</v>
      </c>
      <c r="AC1269" t="str">
        <f t="shared" si="139"/>
        <v>High</v>
      </c>
    </row>
    <row r="1270" spans="1:29">
      <c r="A1270" t="s">
        <v>4608</v>
      </c>
      <c r="B1270" s="2">
        <v>45916</v>
      </c>
      <c r="C1270" t="s">
        <v>2658</v>
      </c>
      <c r="D1270" t="s">
        <v>389</v>
      </c>
      <c r="E1270" t="s">
        <v>4609</v>
      </c>
      <c r="F1270" t="s">
        <v>4610</v>
      </c>
      <c r="G1270" t="s">
        <v>69</v>
      </c>
      <c r="H1270" t="s">
        <v>200</v>
      </c>
      <c r="I1270" t="s">
        <v>187</v>
      </c>
      <c r="J1270" t="s">
        <v>124</v>
      </c>
      <c r="K1270" t="s">
        <v>100</v>
      </c>
      <c r="L1270" t="s">
        <v>72</v>
      </c>
      <c r="M1270" t="s">
        <v>166</v>
      </c>
      <c r="N1270" t="s">
        <v>167</v>
      </c>
      <c r="O1270" s="3">
        <v>125000</v>
      </c>
      <c r="P1270" s="4">
        <v>65</v>
      </c>
      <c r="Q1270" s="2">
        <v>45976</v>
      </c>
      <c r="R1270" s="2">
        <v>46201</v>
      </c>
      <c r="S1270" s="2">
        <v>45917</v>
      </c>
      <c r="T1270" s="2"/>
      <c r="U1270" t="str">
        <f t="shared" si="133"/>
        <v>No</v>
      </c>
      <c r="W12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0" t="str">
        <f t="shared" ca="1" si="134"/>
        <v>Due/Open</v>
      </c>
      <c r="Y1270" t="str">
        <f t="shared" si="135"/>
        <v>Open</v>
      </c>
      <c r="Z1270" t="str">
        <f t="shared" si="136"/>
        <v>Sep-2025</v>
      </c>
      <c r="AA1270" t="str">
        <f t="shared" si="137"/>
        <v>Q3 2025</v>
      </c>
      <c r="AB1270" s="4">
        <f t="shared" ca="1" si="138"/>
        <v>283</v>
      </c>
      <c r="AC1270" t="str">
        <f t="shared" si="139"/>
        <v>Medium</v>
      </c>
    </row>
    <row r="1271" spans="1:29">
      <c r="A1271" t="s">
        <v>4611</v>
      </c>
      <c r="B1271" s="2">
        <v>45809</v>
      </c>
      <c r="C1271" t="s">
        <v>763</v>
      </c>
      <c r="D1271" t="s">
        <v>852</v>
      </c>
      <c r="E1271" t="s">
        <v>4612</v>
      </c>
      <c r="F1271" t="s">
        <v>4613</v>
      </c>
      <c r="G1271" t="s">
        <v>69</v>
      </c>
      <c r="H1271" t="s">
        <v>70</v>
      </c>
      <c r="I1271" t="s">
        <v>49</v>
      </c>
      <c r="J1271" t="s">
        <v>50</v>
      </c>
      <c r="K1271" t="s">
        <v>194</v>
      </c>
      <c r="L1271" t="s">
        <v>39</v>
      </c>
      <c r="M1271" t="s">
        <v>116</v>
      </c>
      <c r="N1271" t="s">
        <v>54</v>
      </c>
      <c r="O1271" s="3">
        <v>440000</v>
      </c>
      <c r="P1271" s="4">
        <v>20</v>
      </c>
      <c r="Q1271" s="2">
        <v>45860</v>
      </c>
      <c r="R1271" s="2">
        <v>46205</v>
      </c>
      <c r="S1271" s="2">
        <v>45828</v>
      </c>
      <c r="T1271" s="2"/>
      <c r="U1271" t="str">
        <f t="shared" si="133"/>
        <v>No</v>
      </c>
      <c r="W12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1" t="str">
        <f t="shared" ca="1" si="134"/>
        <v>Due/Open</v>
      </c>
      <c r="Y1271" t="str">
        <f t="shared" si="135"/>
        <v>Open</v>
      </c>
      <c r="Z1271" t="str">
        <f t="shared" si="136"/>
        <v>Jun-2025</v>
      </c>
      <c r="AA1271" t="str">
        <f t="shared" si="137"/>
        <v>Q2 2025</v>
      </c>
      <c r="AB1271" s="4">
        <f t="shared" ca="1" si="138"/>
        <v>390</v>
      </c>
      <c r="AC1271" t="str">
        <f t="shared" si="139"/>
        <v>High</v>
      </c>
    </row>
    <row r="1272" spans="1:29">
      <c r="A1272" t="s">
        <v>4614</v>
      </c>
      <c r="B1272" s="2">
        <v>45747</v>
      </c>
      <c r="C1272" t="s">
        <v>3697</v>
      </c>
      <c r="D1272" t="s">
        <v>1098</v>
      </c>
      <c r="E1272" t="s">
        <v>4615</v>
      </c>
      <c r="F1272" t="s">
        <v>4616</v>
      </c>
      <c r="G1272" t="s">
        <v>79</v>
      </c>
      <c r="H1272" t="s">
        <v>217</v>
      </c>
      <c r="I1272" t="s">
        <v>123</v>
      </c>
      <c r="J1272" t="s">
        <v>50</v>
      </c>
      <c r="K1272" t="s">
        <v>38</v>
      </c>
      <c r="L1272" t="s">
        <v>72</v>
      </c>
      <c r="M1272" t="s">
        <v>53</v>
      </c>
      <c r="N1272" t="s">
        <v>54</v>
      </c>
      <c r="O1272" s="3">
        <v>225000</v>
      </c>
      <c r="P1272" s="4">
        <v>35</v>
      </c>
      <c r="Q1272" s="2">
        <v>45812</v>
      </c>
      <c r="R1272" s="2">
        <v>46237</v>
      </c>
      <c r="S1272" s="2">
        <v>45753</v>
      </c>
      <c r="T1272" s="2"/>
      <c r="U1272" t="str">
        <f t="shared" si="133"/>
        <v>No</v>
      </c>
      <c r="W12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2" t="str">
        <f t="shared" ca="1" si="134"/>
        <v>Due/Open</v>
      </c>
      <c r="Y1272" t="str">
        <f t="shared" si="135"/>
        <v>Open</v>
      </c>
      <c r="Z1272" t="str">
        <f t="shared" si="136"/>
        <v>Mar-2025</v>
      </c>
      <c r="AA1272" t="str">
        <f t="shared" si="137"/>
        <v>Q1 2025</v>
      </c>
      <c r="AB1272" s="4">
        <f t="shared" ca="1" si="138"/>
        <v>452</v>
      </c>
      <c r="AC1272" t="str">
        <f t="shared" si="139"/>
        <v>Medium</v>
      </c>
    </row>
    <row r="1273" spans="1:29">
      <c r="A1273" t="s">
        <v>4617</v>
      </c>
      <c r="B1273" s="2">
        <v>45982</v>
      </c>
      <c r="C1273" t="s">
        <v>3226</v>
      </c>
      <c r="D1273" t="s">
        <v>1701</v>
      </c>
      <c r="E1273" t="s">
        <v>4618</v>
      </c>
      <c r="F1273" t="s">
        <v>4619</v>
      </c>
      <c r="G1273" t="s">
        <v>34</v>
      </c>
      <c r="H1273" t="s">
        <v>35</v>
      </c>
      <c r="I1273" t="s">
        <v>187</v>
      </c>
      <c r="J1273" t="s">
        <v>62</v>
      </c>
      <c r="K1273" t="s">
        <v>71</v>
      </c>
      <c r="L1273" t="s">
        <v>142</v>
      </c>
      <c r="M1273" t="s">
        <v>166</v>
      </c>
      <c r="N1273" t="s">
        <v>167</v>
      </c>
      <c r="O1273" s="3">
        <v>320000</v>
      </c>
      <c r="P1273" s="4">
        <v>60</v>
      </c>
      <c r="Q1273" s="2">
        <v>46012</v>
      </c>
      <c r="R1273" s="2">
        <v>46213</v>
      </c>
      <c r="S1273" s="2">
        <v>46010</v>
      </c>
      <c r="T1273" s="2"/>
      <c r="U1273" t="str">
        <f t="shared" si="133"/>
        <v>No</v>
      </c>
      <c r="W12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3" t="str">
        <f t="shared" ca="1" si="134"/>
        <v>Due/Open</v>
      </c>
      <c r="Y1273" t="str">
        <f t="shared" si="135"/>
        <v>Open</v>
      </c>
      <c r="Z1273" t="str">
        <f t="shared" si="136"/>
        <v>Nov-2025</v>
      </c>
      <c r="AA1273" t="str">
        <f t="shared" si="137"/>
        <v>Q4 2025</v>
      </c>
      <c r="AB1273" s="4">
        <f t="shared" ca="1" si="138"/>
        <v>217</v>
      </c>
      <c r="AC1273" t="str">
        <f t="shared" si="139"/>
        <v>High</v>
      </c>
    </row>
    <row r="1274" spans="1:29">
      <c r="A1274" t="s">
        <v>4620</v>
      </c>
      <c r="B1274" s="2">
        <v>46094</v>
      </c>
      <c r="C1274" t="s">
        <v>771</v>
      </c>
      <c r="D1274" t="s">
        <v>110</v>
      </c>
      <c r="E1274" t="s">
        <v>4621</v>
      </c>
      <c r="F1274" t="s">
        <v>4622</v>
      </c>
      <c r="G1274" t="s">
        <v>179</v>
      </c>
      <c r="H1274" t="s">
        <v>318</v>
      </c>
      <c r="I1274" t="s">
        <v>98</v>
      </c>
      <c r="J1274" t="s">
        <v>37</v>
      </c>
      <c r="K1274" t="s">
        <v>71</v>
      </c>
      <c r="L1274" t="s">
        <v>72</v>
      </c>
      <c r="M1274" t="s">
        <v>40</v>
      </c>
      <c r="N1274" t="s">
        <v>41</v>
      </c>
      <c r="O1274" s="3">
        <v>110000</v>
      </c>
      <c r="P1274" s="4">
        <v>100</v>
      </c>
      <c r="Q1274" s="2">
        <v>46172</v>
      </c>
      <c r="R1274" s="2"/>
      <c r="S1274" s="2">
        <v>46124</v>
      </c>
      <c r="T1274" s="2">
        <v>46172</v>
      </c>
      <c r="U1274" t="str">
        <f t="shared" si="133"/>
        <v>Yes</v>
      </c>
      <c r="W127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1274" t="str">
        <f t="shared" ca="1" si="134"/>
        <v>Closed</v>
      </c>
      <c r="Y1274" t="str">
        <f t="shared" si="135"/>
        <v>Closed</v>
      </c>
      <c r="Z1274" t="str">
        <f t="shared" si="136"/>
        <v>Mar-2026</v>
      </c>
      <c r="AA1274" t="str">
        <f t="shared" si="137"/>
        <v>Q1 2026</v>
      </c>
      <c r="AB1274" s="4">
        <f t="shared" ca="1" si="138"/>
        <v>105</v>
      </c>
      <c r="AC1274" t="str">
        <f t="shared" si="139"/>
        <v>Low</v>
      </c>
    </row>
    <row r="1275" spans="1:29">
      <c r="A1275" t="s">
        <v>4623</v>
      </c>
      <c r="B1275" s="2">
        <v>45730</v>
      </c>
      <c r="C1275" t="s">
        <v>3286</v>
      </c>
      <c r="D1275" t="s">
        <v>347</v>
      </c>
      <c r="E1275" t="s">
        <v>4624</v>
      </c>
      <c r="F1275" t="s">
        <v>4625</v>
      </c>
      <c r="G1275" t="s">
        <v>179</v>
      </c>
      <c r="H1275" t="s">
        <v>487</v>
      </c>
      <c r="I1275" t="s">
        <v>36</v>
      </c>
      <c r="J1275" t="s">
        <v>50</v>
      </c>
      <c r="K1275" t="s">
        <v>194</v>
      </c>
      <c r="L1275" t="s">
        <v>63</v>
      </c>
      <c r="M1275" t="s">
        <v>90</v>
      </c>
      <c r="N1275" t="s">
        <v>91</v>
      </c>
      <c r="O1275" s="3">
        <v>225000</v>
      </c>
      <c r="P1275" s="4">
        <v>55</v>
      </c>
      <c r="Q1275" s="2">
        <v>45785</v>
      </c>
      <c r="R1275" s="2">
        <v>46211</v>
      </c>
      <c r="S1275" s="2">
        <v>45748</v>
      </c>
      <c r="T1275" s="2"/>
      <c r="U1275" t="str">
        <f t="shared" si="133"/>
        <v>No</v>
      </c>
      <c r="W12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5" t="str">
        <f t="shared" ca="1" si="134"/>
        <v>Due/Open</v>
      </c>
      <c r="Y1275" t="str">
        <f t="shared" si="135"/>
        <v>Open</v>
      </c>
      <c r="Z1275" t="str">
        <f t="shared" si="136"/>
        <v>Mar-2025</v>
      </c>
      <c r="AA1275" t="str">
        <f t="shared" si="137"/>
        <v>Q1 2025</v>
      </c>
      <c r="AB1275" s="4">
        <f t="shared" ca="1" si="138"/>
        <v>469</v>
      </c>
      <c r="AC1275" t="str">
        <f t="shared" si="139"/>
        <v>Medium</v>
      </c>
    </row>
    <row r="1276" spans="1:29">
      <c r="A1276" t="s">
        <v>4626</v>
      </c>
      <c r="B1276" s="2">
        <v>45722</v>
      </c>
      <c r="C1276" t="s">
        <v>3243</v>
      </c>
      <c r="D1276" t="s">
        <v>471</v>
      </c>
      <c r="E1276" t="s">
        <v>4627</v>
      </c>
      <c r="F1276" t="s">
        <v>4628</v>
      </c>
      <c r="G1276" t="s">
        <v>79</v>
      </c>
      <c r="H1276" t="s">
        <v>260</v>
      </c>
      <c r="I1276" t="s">
        <v>49</v>
      </c>
      <c r="J1276" t="s">
        <v>131</v>
      </c>
      <c r="K1276" t="s">
        <v>194</v>
      </c>
      <c r="L1276" t="s">
        <v>39</v>
      </c>
      <c r="M1276" t="s">
        <v>166</v>
      </c>
      <c r="N1276" t="s">
        <v>167</v>
      </c>
      <c r="O1276" s="3">
        <v>365000</v>
      </c>
      <c r="P1276" s="4">
        <v>60</v>
      </c>
      <c r="Q1276" s="2">
        <v>45783</v>
      </c>
      <c r="R1276" s="2">
        <v>46206</v>
      </c>
      <c r="S1276" s="2">
        <v>45748</v>
      </c>
      <c r="T1276" s="2"/>
      <c r="U1276" t="str">
        <f t="shared" si="133"/>
        <v>No</v>
      </c>
      <c r="W12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6" t="str">
        <f t="shared" ca="1" si="134"/>
        <v>Due/Open</v>
      </c>
      <c r="Y1276" t="str">
        <f t="shared" si="135"/>
        <v>Open</v>
      </c>
      <c r="Z1276" t="str">
        <f t="shared" si="136"/>
        <v>Mar-2025</v>
      </c>
      <c r="AA1276" t="str">
        <f t="shared" si="137"/>
        <v>Q1 2025</v>
      </c>
      <c r="AB1276" s="4">
        <f t="shared" ca="1" si="138"/>
        <v>477</v>
      </c>
      <c r="AC1276" t="str">
        <f t="shared" si="139"/>
        <v>High</v>
      </c>
    </row>
    <row r="1277" spans="1:29">
      <c r="A1277" t="s">
        <v>4629</v>
      </c>
      <c r="B1277" s="2">
        <v>45913</v>
      </c>
      <c r="C1277" t="s">
        <v>1122</v>
      </c>
      <c r="D1277" t="s">
        <v>2231</v>
      </c>
      <c r="E1277" t="s">
        <v>4630</v>
      </c>
      <c r="F1277" t="s">
        <v>4631</v>
      </c>
      <c r="G1277" t="s">
        <v>79</v>
      </c>
      <c r="H1277" t="s">
        <v>106</v>
      </c>
      <c r="I1277" t="s">
        <v>36</v>
      </c>
      <c r="J1277" t="s">
        <v>37</v>
      </c>
      <c r="K1277" t="s">
        <v>100</v>
      </c>
      <c r="L1277" t="s">
        <v>154</v>
      </c>
      <c r="M1277" t="s">
        <v>40</v>
      </c>
      <c r="N1277" t="s">
        <v>41</v>
      </c>
      <c r="O1277" s="3">
        <v>100000</v>
      </c>
      <c r="P1277" s="4">
        <v>100</v>
      </c>
      <c r="Q1277" s="2">
        <v>45949</v>
      </c>
      <c r="R1277" s="2"/>
      <c r="S1277" s="2">
        <v>45934</v>
      </c>
      <c r="T1277" s="2">
        <v>45949</v>
      </c>
      <c r="U1277" t="str">
        <f t="shared" si="133"/>
        <v>Yes</v>
      </c>
      <c r="W12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1277" t="str">
        <f t="shared" ca="1" si="134"/>
        <v>Closed</v>
      </c>
      <c r="Y1277" t="str">
        <f t="shared" si="135"/>
        <v>Closed</v>
      </c>
      <c r="Z1277" t="str">
        <f t="shared" si="136"/>
        <v>Sep-2025</v>
      </c>
      <c r="AA1277" t="str">
        <f t="shared" si="137"/>
        <v>Q3 2025</v>
      </c>
      <c r="AB1277" s="4">
        <f t="shared" ca="1" si="138"/>
        <v>286</v>
      </c>
      <c r="AC1277" t="str">
        <f t="shared" si="139"/>
        <v>Low</v>
      </c>
    </row>
    <row r="1278" spans="1:29">
      <c r="A1278" t="s">
        <v>4632</v>
      </c>
      <c r="B1278" s="2">
        <v>46177</v>
      </c>
      <c r="C1278" t="s">
        <v>1964</v>
      </c>
      <c r="D1278" t="s">
        <v>526</v>
      </c>
      <c r="E1278" t="s">
        <v>4633</v>
      </c>
      <c r="F1278" t="s">
        <v>4634</v>
      </c>
      <c r="G1278" t="s">
        <v>47</v>
      </c>
      <c r="H1278" t="s">
        <v>418</v>
      </c>
      <c r="I1278" t="s">
        <v>141</v>
      </c>
      <c r="J1278" t="s">
        <v>124</v>
      </c>
      <c r="K1278" t="s">
        <v>194</v>
      </c>
      <c r="L1278" t="s">
        <v>154</v>
      </c>
      <c r="M1278" t="s">
        <v>40</v>
      </c>
      <c r="N1278" t="s">
        <v>41</v>
      </c>
      <c r="O1278" s="3">
        <v>210000</v>
      </c>
      <c r="P1278" s="4">
        <v>100</v>
      </c>
      <c r="Q1278" s="2">
        <v>46194</v>
      </c>
      <c r="R1278" s="2"/>
      <c r="S1278" s="2">
        <v>46187</v>
      </c>
      <c r="T1278" s="2">
        <v>46194</v>
      </c>
      <c r="U1278" t="str">
        <f t="shared" si="133"/>
        <v>Yes</v>
      </c>
      <c r="W127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278" t="str">
        <f t="shared" ca="1" si="134"/>
        <v>Closed</v>
      </c>
      <c r="Y1278" t="str">
        <f t="shared" si="135"/>
        <v>Closed</v>
      </c>
      <c r="Z1278" t="str">
        <f t="shared" si="136"/>
        <v>Jun-2026</v>
      </c>
      <c r="AA1278" t="str">
        <f t="shared" si="137"/>
        <v>Q2 2026</v>
      </c>
      <c r="AB1278" s="4">
        <f t="shared" ca="1" si="138"/>
        <v>22</v>
      </c>
      <c r="AC1278" t="str">
        <f t="shared" si="139"/>
        <v>Medium</v>
      </c>
    </row>
    <row r="1279" spans="1:29">
      <c r="A1279" t="s">
        <v>4635</v>
      </c>
      <c r="B1279" s="2">
        <v>46079</v>
      </c>
      <c r="C1279" t="s">
        <v>150</v>
      </c>
      <c r="D1279" t="s">
        <v>852</v>
      </c>
      <c r="E1279" t="s">
        <v>4636</v>
      </c>
      <c r="F1279" t="s">
        <v>4637</v>
      </c>
      <c r="G1279" t="s">
        <v>179</v>
      </c>
      <c r="H1279" t="s">
        <v>180</v>
      </c>
      <c r="I1279" t="s">
        <v>36</v>
      </c>
      <c r="J1279" t="s">
        <v>37</v>
      </c>
      <c r="K1279" t="s">
        <v>38</v>
      </c>
      <c r="L1279" t="s">
        <v>72</v>
      </c>
      <c r="M1279" t="s">
        <v>82</v>
      </c>
      <c r="N1279" t="s">
        <v>83</v>
      </c>
      <c r="O1279" s="3">
        <v>30000</v>
      </c>
      <c r="P1279" s="4">
        <v>5</v>
      </c>
      <c r="Q1279" s="2">
        <v>46108</v>
      </c>
      <c r="R1279" s="2">
        <v>46182</v>
      </c>
      <c r="S1279" s="2">
        <v>46092</v>
      </c>
      <c r="T1279" s="2"/>
      <c r="U1279" t="str">
        <f t="shared" si="133"/>
        <v>No</v>
      </c>
      <c r="W12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79" t="str">
        <f t="shared" ca="1" si="134"/>
        <v>Overdue</v>
      </c>
      <c r="Y1279" t="str">
        <f t="shared" si="135"/>
        <v>Open</v>
      </c>
      <c r="Z1279" t="str">
        <f t="shared" si="136"/>
        <v>Feb-2026</v>
      </c>
      <c r="AA1279" t="str">
        <f t="shared" si="137"/>
        <v>Q1 2026</v>
      </c>
      <c r="AB1279" s="4">
        <f t="shared" ca="1" si="138"/>
        <v>120</v>
      </c>
      <c r="AC1279" t="str">
        <f t="shared" si="139"/>
        <v>Low</v>
      </c>
    </row>
    <row r="1280" spans="1:29">
      <c r="A1280" t="s">
        <v>4638</v>
      </c>
      <c r="B1280" s="2">
        <v>46143</v>
      </c>
      <c r="C1280" t="s">
        <v>3845</v>
      </c>
      <c r="D1280" t="s">
        <v>2493</v>
      </c>
      <c r="E1280" t="s">
        <v>4639</v>
      </c>
      <c r="F1280" t="s">
        <v>4640</v>
      </c>
      <c r="G1280" t="s">
        <v>69</v>
      </c>
      <c r="H1280" t="s">
        <v>193</v>
      </c>
      <c r="I1280" t="s">
        <v>141</v>
      </c>
      <c r="J1280" t="s">
        <v>62</v>
      </c>
      <c r="K1280" t="s">
        <v>100</v>
      </c>
      <c r="L1280" t="s">
        <v>81</v>
      </c>
      <c r="M1280" t="s">
        <v>40</v>
      </c>
      <c r="N1280" t="s">
        <v>41</v>
      </c>
      <c r="O1280" s="3">
        <v>280000</v>
      </c>
      <c r="P1280" s="4">
        <v>100</v>
      </c>
      <c r="Q1280" s="2">
        <v>46198</v>
      </c>
      <c r="R1280" s="2"/>
      <c r="S1280" s="2">
        <v>46164</v>
      </c>
      <c r="T1280" s="2">
        <v>46198</v>
      </c>
      <c r="U1280" t="str">
        <f t="shared" si="133"/>
        <v>Yes</v>
      </c>
      <c r="W128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55</v>
      </c>
      <c r="X1280" t="str">
        <f t="shared" ca="1" si="134"/>
        <v>Closed</v>
      </c>
      <c r="Y1280" t="str">
        <f t="shared" si="135"/>
        <v>Closed</v>
      </c>
      <c r="Z1280" t="str">
        <f t="shared" si="136"/>
        <v>May-2026</v>
      </c>
      <c r="AA1280" t="str">
        <f t="shared" si="137"/>
        <v>Q2 2026</v>
      </c>
      <c r="AB1280" s="4">
        <f t="shared" ca="1" si="138"/>
        <v>56</v>
      </c>
      <c r="AC1280" t="str">
        <f t="shared" si="139"/>
        <v>Medium</v>
      </c>
    </row>
    <row r="1281" spans="1:29">
      <c r="A1281" t="s">
        <v>4641</v>
      </c>
      <c r="B1281" s="2">
        <v>45670</v>
      </c>
      <c r="C1281" t="s">
        <v>1147</v>
      </c>
      <c r="D1281" t="s">
        <v>44</v>
      </c>
      <c r="E1281" t="s">
        <v>4642</v>
      </c>
      <c r="F1281" t="s">
        <v>4643</v>
      </c>
      <c r="G1281" t="s">
        <v>47</v>
      </c>
      <c r="H1281" t="s">
        <v>48</v>
      </c>
      <c r="I1281" t="s">
        <v>123</v>
      </c>
      <c r="J1281" t="s">
        <v>37</v>
      </c>
      <c r="K1281" t="s">
        <v>100</v>
      </c>
      <c r="L1281" t="s">
        <v>115</v>
      </c>
      <c r="M1281" t="s">
        <v>73</v>
      </c>
      <c r="N1281" t="s">
        <v>73</v>
      </c>
      <c r="O1281" s="3">
        <v>55000</v>
      </c>
      <c r="P1281" s="4">
        <v>80</v>
      </c>
      <c r="Q1281" s="2">
        <v>45690</v>
      </c>
      <c r="R1281" s="2">
        <v>46214</v>
      </c>
      <c r="S1281" s="2">
        <v>45700</v>
      </c>
      <c r="T1281" s="2"/>
      <c r="U1281" t="str">
        <f t="shared" si="133"/>
        <v>No</v>
      </c>
      <c r="W12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1" t="str">
        <f t="shared" ca="1" si="134"/>
        <v>Due/Open</v>
      </c>
      <c r="Y1281" t="str">
        <f t="shared" si="135"/>
        <v>Open</v>
      </c>
      <c r="Z1281" t="str">
        <f t="shared" si="136"/>
        <v>Jan-2025</v>
      </c>
      <c r="AA1281" t="str">
        <f t="shared" si="137"/>
        <v>Q1 2025</v>
      </c>
      <c r="AB1281" s="4">
        <f t="shared" ca="1" si="138"/>
        <v>529</v>
      </c>
      <c r="AC1281" t="str">
        <f t="shared" si="139"/>
        <v>Low</v>
      </c>
    </row>
    <row r="1282" spans="1:29">
      <c r="A1282" t="s">
        <v>4644</v>
      </c>
      <c r="B1282" s="2">
        <v>45951</v>
      </c>
      <c r="C1282" t="s">
        <v>1802</v>
      </c>
      <c r="D1282" t="s">
        <v>1560</v>
      </c>
      <c r="E1282" t="s">
        <v>4645</v>
      </c>
      <c r="F1282" t="s">
        <v>4646</v>
      </c>
      <c r="G1282" t="s">
        <v>79</v>
      </c>
      <c r="H1282" t="s">
        <v>97</v>
      </c>
      <c r="I1282" t="s">
        <v>187</v>
      </c>
      <c r="J1282" t="s">
        <v>131</v>
      </c>
      <c r="K1282" t="s">
        <v>38</v>
      </c>
      <c r="L1282" t="s">
        <v>115</v>
      </c>
      <c r="M1282" t="s">
        <v>133</v>
      </c>
      <c r="N1282" t="s">
        <v>134</v>
      </c>
      <c r="O1282" s="3">
        <v>230000</v>
      </c>
      <c r="P1282" s="4">
        <v>0</v>
      </c>
      <c r="Q1282" s="2">
        <v>46017</v>
      </c>
      <c r="R1282" s="2"/>
      <c r="S1282" s="2">
        <v>45973</v>
      </c>
      <c r="T1282" s="2">
        <v>46017</v>
      </c>
      <c r="U1282" t="str">
        <f t="shared" ref="U1282:U1345" si="140">IF(M1282="Converted","Yes","No")</f>
        <v>No</v>
      </c>
      <c r="V1282" t="s">
        <v>319</v>
      </c>
      <c r="W128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282" t="str">
        <f t="shared" ref="X1282:X1345" ca="1" si="141">IF(OR(M1282="Converted",M1282="Lost",M1282="Not Interested"),"Closed",IF(R1282&lt;TODAY(),"Overdue","Due/Open"))</f>
        <v>Closed</v>
      </c>
      <c r="Y1282" t="str">
        <f t="shared" ref="Y1282:Y1345" si="142">IF(OR(M1282="Converted",M1282="Lost",M1282="Not Interested"),"Closed","Open")</f>
        <v>Closed</v>
      </c>
      <c r="Z1282" t="str">
        <f t="shared" ref="Z1282:Z1345" si="143">TEXT(B1282,"mmm-yyyy")</f>
        <v>Oct-2025</v>
      </c>
      <c r="AA1282" t="str">
        <f t="shared" ref="AA1282:AA1345" si="144">"Q"&amp;ROUNDUP(MONTH(B1282)/3,0)&amp;" "&amp;YEAR(B1282)</f>
        <v>Q4 2025</v>
      </c>
      <c r="AB1282" s="4">
        <f t="shared" ref="AB1282:AB1345" ca="1" si="145">TODAY()-B1282</f>
        <v>248</v>
      </c>
      <c r="AC1282" t="str">
        <f t="shared" ref="AC1282:AC1345" si="146">IF(O1282&gt;=300000,"High",IF(O1282&gt;=120000,"Medium","Low"))</f>
        <v>Medium</v>
      </c>
    </row>
    <row r="1283" spans="1:29">
      <c r="A1283" t="s">
        <v>4647</v>
      </c>
      <c r="B1283" s="2">
        <v>46070</v>
      </c>
      <c r="C1283" t="s">
        <v>1420</v>
      </c>
      <c r="D1283" t="s">
        <v>94</v>
      </c>
      <c r="E1283" t="s">
        <v>4648</v>
      </c>
      <c r="F1283" t="s">
        <v>4649</v>
      </c>
      <c r="G1283" t="s">
        <v>69</v>
      </c>
      <c r="H1283" t="s">
        <v>70</v>
      </c>
      <c r="I1283" t="s">
        <v>49</v>
      </c>
      <c r="J1283" t="s">
        <v>37</v>
      </c>
      <c r="K1283" t="s">
        <v>51</v>
      </c>
      <c r="L1283" t="s">
        <v>132</v>
      </c>
      <c r="M1283" t="s">
        <v>40</v>
      </c>
      <c r="N1283" t="s">
        <v>41</v>
      </c>
      <c r="O1283" s="3">
        <v>65000</v>
      </c>
      <c r="P1283" s="4">
        <v>100</v>
      </c>
      <c r="Q1283" s="2">
        <v>46136</v>
      </c>
      <c r="R1283" s="2"/>
      <c r="S1283" s="2">
        <v>46086</v>
      </c>
      <c r="T1283" s="2">
        <v>46136</v>
      </c>
      <c r="U1283" t="str">
        <f t="shared" si="140"/>
        <v>Yes</v>
      </c>
      <c r="W12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283" t="str">
        <f t="shared" ca="1" si="141"/>
        <v>Closed</v>
      </c>
      <c r="Y1283" t="str">
        <f t="shared" si="142"/>
        <v>Closed</v>
      </c>
      <c r="Z1283" t="str">
        <f t="shared" si="143"/>
        <v>Feb-2026</v>
      </c>
      <c r="AA1283" t="str">
        <f t="shared" si="144"/>
        <v>Q1 2026</v>
      </c>
      <c r="AB1283" s="4">
        <f t="shared" ca="1" si="145"/>
        <v>129</v>
      </c>
      <c r="AC1283" t="str">
        <f t="shared" si="146"/>
        <v>Low</v>
      </c>
    </row>
    <row r="1284" spans="1:29">
      <c r="A1284" t="s">
        <v>4650</v>
      </c>
      <c r="B1284" s="2">
        <v>46159</v>
      </c>
      <c r="C1284" t="s">
        <v>958</v>
      </c>
      <c r="D1284" t="s">
        <v>190</v>
      </c>
      <c r="E1284" t="s">
        <v>4651</v>
      </c>
      <c r="F1284" t="s">
        <v>4652</v>
      </c>
      <c r="G1284" t="s">
        <v>179</v>
      </c>
      <c r="H1284" t="s">
        <v>487</v>
      </c>
      <c r="I1284" t="s">
        <v>36</v>
      </c>
      <c r="J1284" t="s">
        <v>99</v>
      </c>
      <c r="K1284" t="s">
        <v>51</v>
      </c>
      <c r="L1284" t="s">
        <v>142</v>
      </c>
      <c r="M1284" t="s">
        <v>53</v>
      </c>
      <c r="N1284" t="s">
        <v>54</v>
      </c>
      <c r="O1284" s="3">
        <v>685000</v>
      </c>
      <c r="P1284" s="4">
        <v>30</v>
      </c>
      <c r="Q1284" s="2">
        <v>46235</v>
      </c>
      <c r="R1284" s="2">
        <v>46179</v>
      </c>
      <c r="S1284" s="2">
        <v>46177</v>
      </c>
      <c r="T1284" s="2"/>
      <c r="U1284" t="str">
        <f t="shared" si="140"/>
        <v>No</v>
      </c>
      <c r="W12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4" t="str">
        <f t="shared" ca="1" si="141"/>
        <v>Overdue</v>
      </c>
      <c r="Y1284" t="str">
        <f t="shared" si="142"/>
        <v>Open</v>
      </c>
      <c r="Z1284" t="str">
        <f t="shared" si="143"/>
        <v>May-2026</v>
      </c>
      <c r="AA1284" t="str">
        <f t="shared" si="144"/>
        <v>Q2 2026</v>
      </c>
      <c r="AB1284" s="4">
        <f t="shared" ca="1" si="145"/>
        <v>40</v>
      </c>
      <c r="AC1284" t="str">
        <f t="shared" si="146"/>
        <v>High</v>
      </c>
    </row>
    <row r="1285" spans="1:29">
      <c r="A1285" t="s">
        <v>4653</v>
      </c>
      <c r="B1285" s="2">
        <v>45874</v>
      </c>
      <c r="C1285" t="s">
        <v>4654</v>
      </c>
      <c r="D1285" t="s">
        <v>1017</v>
      </c>
      <c r="E1285" t="s">
        <v>4655</v>
      </c>
      <c r="F1285" t="s">
        <v>4656</v>
      </c>
      <c r="G1285" t="s">
        <v>79</v>
      </c>
      <c r="H1285" t="s">
        <v>228</v>
      </c>
      <c r="I1285" t="s">
        <v>141</v>
      </c>
      <c r="J1285" t="s">
        <v>37</v>
      </c>
      <c r="K1285" t="s">
        <v>100</v>
      </c>
      <c r="L1285" t="s">
        <v>142</v>
      </c>
      <c r="M1285" t="s">
        <v>73</v>
      </c>
      <c r="N1285" t="s">
        <v>73</v>
      </c>
      <c r="O1285" s="3">
        <v>60000</v>
      </c>
      <c r="P1285" s="4">
        <v>80</v>
      </c>
      <c r="Q1285" s="2">
        <v>45913</v>
      </c>
      <c r="R1285" s="2">
        <v>46183</v>
      </c>
      <c r="S1285" s="2">
        <v>45886</v>
      </c>
      <c r="T1285" s="2"/>
      <c r="U1285" t="str">
        <f t="shared" si="140"/>
        <v>No</v>
      </c>
      <c r="W12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5" t="str">
        <f t="shared" ca="1" si="141"/>
        <v>Overdue</v>
      </c>
      <c r="Y1285" t="str">
        <f t="shared" si="142"/>
        <v>Open</v>
      </c>
      <c r="Z1285" t="str">
        <f t="shared" si="143"/>
        <v>Aug-2025</v>
      </c>
      <c r="AA1285" t="str">
        <f t="shared" si="144"/>
        <v>Q3 2025</v>
      </c>
      <c r="AB1285" s="4">
        <f t="shared" ca="1" si="145"/>
        <v>325</v>
      </c>
      <c r="AC1285" t="str">
        <f t="shared" si="146"/>
        <v>Low</v>
      </c>
    </row>
    <row r="1286" spans="1:29">
      <c r="A1286" t="s">
        <v>4657</v>
      </c>
      <c r="B1286" s="2">
        <v>45822</v>
      </c>
      <c r="C1286" t="s">
        <v>925</v>
      </c>
      <c r="D1286" t="s">
        <v>1722</v>
      </c>
      <c r="E1286" t="s">
        <v>4658</v>
      </c>
      <c r="F1286" t="s">
        <v>4659</v>
      </c>
      <c r="G1286" t="s">
        <v>79</v>
      </c>
      <c r="H1286" t="s">
        <v>228</v>
      </c>
      <c r="I1286" t="s">
        <v>36</v>
      </c>
      <c r="J1286" t="s">
        <v>131</v>
      </c>
      <c r="K1286" t="s">
        <v>71</v>
      </c>
      <c r="L1286" t="s">
        <v>239</v>
      </c>
      <c r="M1286" t="s">
        <v>40</v>
      </c>
      <c r="N1286" t="s">
        <v>41</v>
      </c>
      <c r="O1286" s="3">
        <v>185000</v>
      </c>
      <c r="P1286" s="4">
        <v>100</v>
      </c>
      <c r="Q1286" s="2">
        <v>45897</v>
      </c>
      <c r="R1286" s="2"/>
      <c r="S1286" s="2">
        <v>45844</v>
      </c>
      <c r="T1286" s="2">
        <v>45897</v>
      </c>
      <c r="U1286" t="str">
        <f t="shared" si="140"/>
        <v>Yes</v>
      </c>
      <c r="W128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286" t="str">
        <f t="shared" ca="1" si="141"/>
        <v>Closed</v>
      </c>
      <c r="Y1286" t="str">
        <f t="shared" si="142"/>
        <v>Closed</v>
      </c>
      <c r="Z1286" t="str">
        <f t="shared" si="143"/>
        <v>Jun-2025</v>
      </c>
      <c r="AA1286" t="str">
        <f t="shared" si="144"/>
        <v>Q2 2025</v>
      </c>
      <c r="AB1286" s="4">
        <f t="shared" ca="1" si="145"/>
        <v>377</v>
      </c>
      <c r="AC1286" t="str">
        <f t="shared" si="146"/>
        <v>Medium</v>
      </c>
    </row>
    <row r="1287" spans="1:29">
      <c r="A1287" t="s">
        <v>4660</v>
      </c>
      <c r="B1287" s="2">
        <v>46068</v>
      </c>
      <c r="C1287" t="s">
        <v>432</v>
      </c>
      <c r="D1287" t="s">
        <v>57</v>
      </c>
      <c r="E1287" t="s">
        <v>4661</v>
      </c>
      <c r="F1287" t="s">
        <v>4662</v>
      </c>
      <c r="G1287" t="s">
        <v>79</v>
      </c>
      <c r="H1287" t="s">
        <v>97</v>
      </c>
      <c r="I1287" t="s">
        <v>49</v>
      </c>
      <c r="J1287" t="s">
        <v>37</v>
      </c>
      <c r="K1287" t="s">
        <v>114</v>
      </c>
      <c r="L1287" t="s">
        <v>81</v>
      </c>
      <c r="M1287" t="s">
        <v>166</v>
      </c>
      <c r="N1287" t="s">
        <v>167</v>
      </c>
      <c r="O1287" s="3">
        <v>95000</v>
      </c>
      <c r="P1287" s="4">
        <v>65</v>
      </c>
      <c r="Q1287" s="2">
        <v>46121</v>
      </c>
      <c r="R1287" s="2">
        <v>46228</v>
      </c>
      <c r="S1287" s="2">
        <v>46080</v>
      </c>
      <c r="T1287" s="2"/>
      <c r="U1287" t="str">
        <f t="shared" si="140"/>
        <v>No</v>
      </c>
      <c r="W12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7" t="str">
        <f t="shared" ca="1" si="141"/>
        <v>Due/Open</v>
      </c>
      <c r="Y1287" t="str">
        <f t="shared" si="142"/>
        <v>Open</v>
      </c>
      <c r="Z1287" t="str">
        <f t="shared" si="143"/>
        <v>Feb-2026</v>
      </c>
      <c r="AA1287" t="str">
        <f t="shared" si="144"/>
        <v>Q1 2026</v>
      </c>
      <c r="AB1287" s="4">
        <f t="shared" ca="1" si="145"/>
        <v>131</v>
      </c>
      <c r="AC1287" t="str">
        <f t="shared" si="146"/>
        <v>Low</v>
      </c>
    </row>
    <row r="1288" spans="1:29">
      <c r="A1288" t="s">
        <v>4663</v>
      </c>
      <c r="B1288" s="2">
        <v>45986</v>
      </c>
      <c r="C1288" t="s">
        <v>272</v>
      </c>
      <c r="D1288" t="s">
        <v>389</v>
      </c>
      <c r="E1288" t="s">
        <v>4664</v>
      </c>
      <c r="F1288" t="s">
        <v>4665</v>
      </c>
      <c r="G1288" t="s">
        <v>79</v>
      </c>
      <c r="H1288" t="s">
        <v>228</v>
      </c>
      <c r="I1288" t="s">
        <v>148</v>
      </c>
      <c r="J1288" t="s">
        <v>131</v>
      </c>
      <c r="K1288" t="s">
        <v>71</v>
      </c>
      <c r="L1288" t="s">
        <v>39</v>
      </c>
      <c r="M1288" t="s">
        <v>166</v>
      </c>
      <c r="N1288" t="s">
        <v>167</v>
      </c>
      <c r="O1288" s="3">
        <v>145000</v>
      </c>
      <c r="P1288" s="4">
        <v>65</v>
      </c>
      <c r="Q1288" s="2">
        <v>46040</v>
      </c>
      <c r="R1288" s="2">
        <v>46214</v>
      </c>
      <c r="S1288" s="2">
        <v>46001</v>
      </c>
      <c r="T1288" s="2"/>
      <c r="U1288" t="str">
        <f t="shared" si="140"/>
        <v>No</v>
      </c>
      <c r="W12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8" t="str">
        <f t="shared" ca="1" si="141"/>
        <v>Due/Open</v>
      </c>
      <c r="Y1288" t="str">
        <f t="shared" si="142"/>
        <v>Open</v>
      </c>
      <c r="Z1288" t="str">
        <f t="shared" si="143"/>
        <v>Nov-2025</v>
      </c>
      <c r="AA1288" t="str">
        <f t="shared" si="144"/>
        <v>Q4 2025</v>
      </c>
      <c r="AB1288" s="4">
        <f t="shared" ca="1" si="145"/>
        <v>213</v>
      </c>
      <c r="AC1288" t="str">
        <f t="shared" si="146"/>
        <v>Medium</v>
      </c>
    </row>
    <row r="1289" spans="1:29">
      <c r="A1289" t="s">
        <v>4666</v>
      </c>
      <c r="B1289" s="2">
        <v>45941</v>
      </c>
      <c r="C1289" t="s">
        <v>1577</v>
      </c>
      <c r="D1289" t="s">
        <v>517</v>
      </c>
      <c r="E1289" t="s">
        <v>4667</v>
      </c>
      <c r="F1289" t="s">
        <v>4668</v>
      </c>
      <c r="G1289" t="s">
        <v>34</v>
      </c>
      <c r="H1289" t="s">
        <v>446</v>
      </c>
      <c r="I1289" t="s">
        <v>123</v>
      </c>
      <c r="J1289" t="s">
        <v>62</v>
      </c>
      <c r="K1289" t="s">
        <v>71</v>
      </c>
      <c r="L1289" t="s">
        <v>81</v>
      </c>
      <c r="M1289" t="s">
        <v>53</v>
      </c>
      <c r="N1289" t="s">
        <v>54</v>
      </c>
      <c r="O1289" s="3">
        <v>120000</v>
      </c>
      <c r="P1289" s="4">
        <v>25</v>
      </c>
      <c r="Q1289" s="2">
        <v>46020</v>
      </c>
      <c r="R1289" s="2">
        <v>46173</v>
      </c>
      <c r="S1289" s="2">
        <v>45952</v>
      </c>
      <c r="T1289" s="2"/>
      <c r="U1289" t="str">
        <f t="shared" si="140"/>
        <v>No</v>
      </c>
      <c r="W12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89" t="str">
        <f t="shared" ca="1" si="141"/>
        <v>Overdue</v>
      </c>
      <c r="Y1289" t="str">
        <f t="shared" si="142"/>
        <v>Open</v>
      </c>
      <c r="Z1289" t="str">
        <f t="shared" si="143"/>
        <v>Oct-2025</v>
      </c>
      <c r="AA1289" t="str">
        <f t="shared" si="144"/>
        <v>Q4 2025</v>
      </c>
      <c r="AB1289" s="4">
        <f t="shared" ca="1" si="145"/>
        <v>258</v>
      </c>
      <c r="AC1289" t="str">
        <f t="shared" si="146"/>
        <v>Medium</v>
      </c>
    </row>
    <row r="1290" spans="1:29">
      <c r="A1290" t="s">
        <v>4669</v>
      </c>
      <c r="B1290" s="2">
        <v>45831</v>
      </c>
      <c r="C1290" t="s">
        <v>1509</v>
      </c>
      <c r="D1290" t="s">
        <v>1933</v>
      </c>
      <c r="E1290" t="s">
        <v>4670</v>
      </c>
      <c r="F1290" t="s">
        <v>4671</v>
      </c>
      <c r="G1290" t="s">
        <v>47</v>
      </c>
      <c r="H1290" t="s">
        <v>418</v>
      </c>
      <c r="I1290" t="s">
        <v>148</v>
      </c>
      <c r="J1290" t="s">
        <v>37</v>
      </c>
      <c r="K1290" t="s">
        <v>194</v>
      </c>
      <c r="L1290" t="s">
        <v>239</v>
      </c>
      <c r="M1290" t="s">
        <v>73</v>
      </c>
      <c r="N1290" t="s">
        <v>73</v>
      </c>
      <c r="O1290" s="3">
        <v>80000</v>
      </c>
      <c r="P1290" s="4">
        <v>85</v>
      </c>
      <c r="Q1290" s="2">
        <v>45878</v>
      </c>
      <c r="R1290" s="2">
        <v>46242</v>
      </c>
      <c r="S1290" s="2">
        <v>45839</v>
      </c>
      <c r="T1290" s="2"/>
      <c r="U1290" t="str">
        <f t="shared" si="140"/>
        <v>No</v>
      </c>
      <c r="W12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0" t="str">
        <f t="shared" ca="1" si="141"/>
        <v>Due/Open</v>
      </c>
      <c r="Y1290" t="str">
        <f t="shared" si="142"/>
        <v>Open</v>
      </c>
      <c r="Z1290" t="str">
        <f t="shared" si="143"/>
        <v>Jun-2025</v>
      </c>
      <c r="AA1290" t="str">
        <f t="shared" si="144"/>
        <v>Q2 2025</v>
      </c>
      <c r="AB1290" s="4">
        <f t="shared" ca="1" si="145"/>
        <v>368</v>
      </c>
      <c r="AC1290" t="str">
        <f t="shared" si="146"/>
        <v>Low</v>
      </c>
    </row>
    <row r="1291" spans="1:29">
      <c r="A1291" t="s">
        <v>4672</v>
      </c>
      <c r="B1291" s="2">
        <v>46115</v>
      </c>
      <c r="C1291" t="s">
        <v>965</v>
      </c>
      <c r="D1291" t="s">
        <v>1098</v>
      </c>
      <c r="E1291" t="s">
        <v>4673</v>
      </c>
      <c r="F1291" t="s">
        <v>4674</v>
      </c>
      <c r="G1291" t="s">
        <v>69</v>
      </c>
      <c r="H1291" t="s">
        <v>70</v>
      </c>
      <c r="I1291" t="s">
        <v>36</v>
      </c>
      <c r="J1291" t="s">
        <v>124</v>
      </c>
      <c r="K1291" t="s">
        <v>71</v>
      </c>
      <c r="L1291" t="s">
        <v>239</v>
      </c>
      <c r="M1291" t="s">
        <v>116</v>
      </c>
      <c r="N1291" t="s">
        <v>54</v>
      </c>
      <c r="O1291" s="3">
        <v>240000</v>
      </c>
      <c r="P1291" s="4">
        <v>20</v>
      </c>
      <c r="Q1291" s="2">
        <v>46161</v>
      </c>
      <c r="R1291" s="2">
        <v>46214</v>
      </c>
      <c r="S1291" s="2">
        <v>46132</v>
      </c>
      <c r="T1291" s="2"/>
      <c r="U1291" t="str">
        <f t="shared" si="140"/>
        <v>No</v>
      </c>
      <c r="W12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1" t="str">
        <f t="shared" ca="1" si="141"/>
        <v>Due/Open</v>
      </c>
      <c r="Y1291" t="str">
        <f t="shared" si="142"/>
        <v>Open</v>
      </c>
      <c r="Z1291" t="str">
        <f t="shared" si="143"/>
        <v>Apr-2026</v>
      </c>
      <c r="AA1291" t="str">
        <f t="shared" si="144"/>
        <v>Q2 2026</v>
      </c>
      <c r="AB1291" s="4">
        <f t="shared" ca="1" si="145"/>
        <v>84</v>
      </c>
      <c r="AC1291" t="str">
        <f t="shared" si="146"/>
        <v>Medium</v>
      </c>
    </row>
    <row r="1292" spans="1:29">
      <c r="A1292" t="s">
        <v>4675</v>
      </c>
      <c r="B1292" s="2">
        <v>45726</v>
      </c>
      <c r="C1292" t="s">
        <v>2400</v>
      </c>
      <c r="D1292" t="s">
        <v>170</v>
      </c>
      <c r="E1292" t="s">
        <v>4676</v>
      </c>
      <c r="F1292" t="s">
        <v>4677</v>
      </c>
      <c r="G1292" t="s">
        <v>34</v>
      </c>
      <c r="H1292" t="s">
        <v>160</v>
      </c>
      <c r="I1292" t="s">
        <v>49</v>
      </c>
      <c r="J1292" t="s">
        <v>37</v>
      </c>
      <c r="K1292" t="s">
        <v>51</v>
      </c>
      <c r="L1292" t="s">
        <v>239</v>
      </c>
      <c r="M1292" t="s">
        <v>166</v>
      </c>
      <c r="N1292" t="s">
        <v>167</v>
      </c>
      <c r="O1292" s="3">
        <v>60000</v>
      </c>
      <c r="P1292" s="4">
        <v>70</v>
      </c>
      <c r="Q1292" s="2">
        <v>45821</v>
      </c>
      <c r="R1292" s="2">
        <v>46240</v>
      </c>
      <c r="S1292" s="2">
        <v>45751</v>
      </c>
      <c r="T1292" s="2"/>
      <c r="U1292" t="str">
        <f t="shared" si="140"/>
        <v>No</v>
      </c>
      <c r="W12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2" t="str">
        <f t="shared" ca="1" si="141"/>
        <v>Due/Open</v>
      </c>
      <c r="Y1292" t="str">
        <f t="shared" si="142"/>
        <v>Open</v>
      </c>
      <c r="Z1292" t="str">
        <f t="shared" si="143"/>
        <v>Mar-2025</v>
      </c>
      <c r="AA1292" t="str">
        <f t="shared" si="144"/>
        <v>Q1 2025</v>
      </c>
      <c r="AB1292" s="4">
        <f t="shared" ca="1" si="145"/>
        <v>473</v>
      </c>
      <c r="AC1292" t="str">
        <f t="shared" si="146"/>
        <v>Low</v>
      </c>
    </row>
    <row r="1293" spans="1:29">
      <c r="A1293" t="s">
        <v>4678</v>
      </c>
      <c r="B1293" s="2">
        <v>45913</v>
      </c>
      <c r="C1293" t="s">
        <v>1490</v>
      </c>
      <c r="D1293" t="s">
        <v>986</v>
      </c>
      <c r="E1293" t="s">
        <v>4679</v>
      </c>
      <c r="F1293" t="s">
        <v>4680</v>
      </c>
      <c r="G1293" t="s">
        <v>79</v>
      </c>
      <c r="H1293" t="s">
        <v>228</v>
      </c>
      <c r="I1293" t="s">
        <v>98</v>
      </c>
      <c r="J1293" t="s">
        <v>37</v>
      </c>
      <c r="K1293" t="s">
        <v>114</v>
      </c>
      <c r="L1293" t="s">
        <v>125</v>
      </c>
      <c r="M1293" t="s">
        <v>53</v>
      </c>
      <c r="N1293" t="s">
        <v>54</v>
      </c>
      <c r="O1293" s="3">
        <v>110000</v>
      </c>
      <c r="P1293" s="4">
        <v>30</v>
      </c>
      <c r="Q1293" s="2">
        <v>45985</v>
      </c>
      <c r="R1293" s="2">
        <v>46203</v>
      </c>
      <c r="S1293" s="2">
        <v>45923</v>
      </c>
      <c r="T1293" s="2"/>
      <c r="U1293" t="str">
        <f t="shared" si="140"/>
        <v>No</v>
      </c>
      <c r="W12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3" t="str">
        <f t="shared" ca="1" si="141"/>
        <v>Due/Open</v>
      </c>
      <c r="Y1293" t="str">
        <f t="shared" si="142"/>
        <v>Open</v>
      </c>
      <c r="Z1293" t="str">
        <f t="shared" si="143"/>
        <v>Sep-2025</v>
      </c>
      <c r="AA1293" t="str">
        <f t="shared" si="144"/>
        <v>Q3 2025</v>
      </c>
      <c r="AB1293" s="4">
        <f t="shared" ca="1" si="145"/>
        <v>286</v>
      </c>
      <c r="AC1293" t="str">
        <f t="shared" si="146"/>
        <v>Low</v>
      </c>
    </row>
    <row r="1294" spans="1:29">
      <c r="A1294" t="s">
        <v>4681</v>
      </c>
      <c r="B1294" s="2">
        <v>46028</v>
      </c>
      <c r="C1294" t="s">
        <v>1767</v>
      </c>
      <c r="D1294" t="s">
        <v>969</v>
      </c>
      <c r="E1294" t="s">
        <v>4682</v>
      </c>
      <c r="F1294" t="s">
        <v>4683</v>
      </c>
      <c r="G1294" t="s">
        <v>47</v>
      </c>
      <c r="H1294" t="s">
        <v>89</v>
      </c>
      <c r="I1294" t="s">
        <v>141</v>
      </c>
      <c r="J1294" t="s">
        <v>37</v>
      </c>
      <c r="K1294" t="s">
        <v>38</v>
      </c>
      <c r="L1294" t="s">
        <v>107</v>
      </c>
      <c r="M1294" t="s">
        <v>210</v>
      </c>
      <c r="N1294" t="s">
        <v>134</v>
      </c>
      <c r="O1294" s="3">
        <v>80000</v>
      </c>
      <c r="P1294" s="4">
        <v>0</v>
      </c>
      <c r="Q1294" s="2">
        <v>46057</v>
      </c>
      <c r="R1294" s="2"/>
      <c r="S1294" s="2">
        <v>46047</v>
      </c>
      <c r="T1294" s="2">
        <v>46057</v>
      </c>
      <c r="U1294" t="str">
        <f t="shared" si="140"/>
        <v>No</v>
      </c>
      <c r="V1294" t="s">
        <v>276</v>
      </c>
      <c r="W12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1294" t="str">
        <f t="shared" ca="1" si="141"/>
        <v>Closed</v>
      </c>
      <c r="Y1294" t="str">
        <f t="shared" si="142"/>
        <v>Closed</v>
      </c>
      <c r="Z1294" t="str">
        <f t="shared" si="143"/>
        <v>Jan-2026</v>
      </c>
      <c r="AA1294" t="str">
        <f t="shared" si="144"/>
        <v>Q1 2026</v>
      </c>
      <c r="AB1294" s="4">
        <f t="shared" ca="1" si="145"/>
        <v>171</v>
      </c>
      <c r="AC1294" t="str">
        <f t="shared" si="146"/>
        <v>Low</v>
      </c>
    </row>
    <row r="1295" spans="1:29">
      <c r="A1295" t="s">
        <v>4684</v>
      </c>
      <c r="B1295" s="2">
        <v>46108</v>
      </c>
      <c r="C1295" t="s">
        <v>714</v>
      </c>
      <c r="D1295" t="s">
        <v>423</v>
      </c>
      <c r="E1295" t="s">
        <v>4685</v>
      </c>
      <c r="F1295" t="s">
        <v>4686</v>
      </c>
      <c r="G1295" t="s">
        <v>179</v>
      </c>
      <c r="H1295" t="s">
        <v>487</v>
      </c>
      <c r="I1295" t="s">
        <v>148</v>
      </c>
      <c r="J1295" t="s">
        <v>50</v>
      </c>
      <c r="K1295" t="s">
        <v>71</v>
      </c>
      <c r="L1295" t="s">
        <v>154</v>
      </c>
      <c r="M1295" t="s">
        <v>166</v>
      </c>
      <c r="N1295" t="s">
        <v>167</v>
      </c>
      <c r="O1295" s="3">
        <v>235000</v>
      </c>
      <c r="P1295" s="4">
        <v>60</v>
      </c>
      <c r="Q1295" s="2">
        <v>46142</v>
      </c>
      <c r="R1295" s="2">
        <v>46168</v>
      </c>
      <c r="S1295" s="2">
        <v>46114</v>
      </c>
      <c r="T1295" s="2"/>
      <c r="U1295" t="str">
        <f t="shared" si="140"/>
        <v>No</v>
      </c>
      <c r="W12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5" t="str">
        <f t="shared" ca="1" si="141"/>
        <v>Overdue</v>
      </c>
      <c r="Y1295" t="str">
        <f t="shared" si="142"/>
        <v>Open</v>
      </c>
      <c r="Z1295" t="str">
        <f t="shared" si="143"/>
        <v>Mar-2026</v>
      </c>
      <c r="AA1295" t="str">
        <f t="shared" si="144"/>
        <v>Q1 2026</v>
      </c>
      <c r="AB1295" s="4">
        <f t="shared" ca="1" si="145"/>
        <v>91</v>
      </c>
      <c r="AC1295" t="str">
        <f t="shared" si="146"/>
        <v>Medium</v>
      </c>
    </row>
    <row r="1296" spans="1:29">
      <c r="A1296" t="s">
        <v>4687</v>
      </c>
      <c r="B1296" s="2">
        <v>45820</v>
      </c>
      <c r="C1296" t="s">
        <v>3867</v>
      </c>
      <c r="D1296" t="s">
        <v>299</v>
      </c>
      <c r="E1296" t="s">
        <v>4688</v>
      </c>
      <c r="F1296" t="s">
        <v>4689</v>
      </c>
      <c r="G1296" t="s">
        <v>69</v>
      </c>
      <c r="H1296" t="s">
        <v>193</v>
      </c>
      <c r="I1296" t="s">
        <v>36</v>
      </c>
      <c r="J1296" t="s">
        <v>124</v>
      </c>
      <c r="K1296" t="s">
        <v>38</v>
      </c>
      <c r="L1296" t="s">
        <v>107</v>
      </c>
      <c r="M1296" t="s">
        <v>166</v>
      </c>
      <c r="N1296" t="s">
        <v>167</v>
      </c>
      <c r="O1296" s="3">
        <v>170000</v>
      </c>
      <c r="P1296" s="4">
        <v>60</v>
      </c>
      <c r="Q1296" s="2">
        <v>45863</v>
      </c>
      <c r="R1296" s="2">
        <v>46192</v>
      </c>
      <c r="S1296" s="2">
        <v>45845</v>
      </c>
      <c r="T1296" s="2"/>
      <c r="U1296" t="str">
        <f t="shared" si="140"/>
        <v>No</v>
      </c>
      <c r="W12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6" t="str">
        <f t="shared" ca="1" si="141"/>
        <v>Overdue</v>
      </c>
      <c r="Y1296" t="str">
        <f t="shared" si="142"/>
        <v>Open</v>
      </c>
      <c r="Z1296" t="str">
        <f t="shared" si="143"/>
        <v>Jun-2025</v>
      </c>
      <c r="AA1296" t="str">
        <f t="shared" si="144"/>
        <v>Q2 2025</v>
      </c>
      <c r="AB1296" s="4">
        <f t="shared" ca="1" si="145"/>
        <v>379</v>
      </c>
      <c r="AC1296" t="str">
        <f t="shared" si="146"/>
        <v>Medium</v>
      </c>
    </row>
    <row r="1297" spans="1:29">
      <c r="A1297" t="s">
        <v>4690</v>
      </c>
      <c r="B1297" s="2">
        <v>45864</v>
      </c>
      <c r="C1297" t="s">
        <v>4691</v>
      </c>
      <c r="D1297" t="s">
        <v>701</v>
      </c>
      <c r="E1297" t="s">
        <v>4692</v>
      </c>
      <c r="F1297" t="s">
        <v>4693</v>
      </c>
      <c r="G1297" t="s">
        <v>79</v>
      </c>
      <c r="H1297" t="s">
        <v>217</v>
      </c>
      <c r="I1297" t="s">
        <v>49</v>
      </c>
      <c r="J1297" t="s">
        <v>131</v>
      </c>
      <c r="K1297" t="s">
        <v>38</v>
      </c>
      <c r="L1297" t="s">
        <v>142</v>
      </c>
      <c r="M1297" t="s">
        <v>133</v>
      </c>
      <c r="N1297" t="s">
        <v>134</v>
      </c>
      <c r="O1297" s="3">
        <v>295000</v>
      </c>
      <c r="P1297" s="4">
        <v>0</v>
      </c>
      <c r="Q1297" s="2">
        <v>45880</v>
      </c>
      <c r="R1297" s="2"/>
      <c r="S1297" s="2">
        <v>45874</v>
      </c>
      <c r="T1297" s="2">
        <v>45880</v>
      </c>
      <c r="U1297" t="str">
        <f t="shared" si="140"/>
        <v>No</v>
      </c>
      <c r="V1297" t="s">
        <v>211</v>
      </c>
      <c r="W129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1297" t="str">
        <f t="shared" ca="1" si="141"/>
        <v>Closed</v>
      </c>
      <c r="Y1297" t="str">
        <f t="shared" si="142"/>
        <v>Closed</v>
      </c>
      <c r="Z1297" t="str">
        <f t="shared" si="143"/>
        <v>Jul-2025</v>
      </c>
      <c r="AA1297" t="str">
        <f t="shared" si="144"/>
        <v>Q3 2025</v>
      </c>
      <c r="AB1297" s="4">
        <f t="shared" ca="1" si="145"/>
        <v>335</v>
      </c>
      <c r="AC1297" t="str">
        <f t="shared" si="146"/>
        <v>Medium</v>
      </c>
    </row>
    <row r="1298" spans="1:29">
      <c r="A1298" t="s">
        <v>4694</v>
      </c>
      <c r="B1298" s="2">
        <v>45844</v>
      </c>
      <c r="C1298" t="s">
        <v>851</v>
      </c>
      <c r="D1298" t="s">
        <v>1072</v>
      </c>
      <c r="E1298" t="s">
        <v>4695</v>
      </c>
      <c r="F1298" t="s">
        <v>4696</v>
      </c>
      <c r="G1298" t="s">
        <v>179</v>
      </c>
      <c r="H1298" t="s">
        <v>436</v>
      </c>
      <c r="I1298" t="s">
        <v>61</v>
      </c>
      <c r="J1298" t="s">
        <v>99</v>
      </c>
      <c r="K1298" t="s">
        <v>100</v>
      </c>
      <c r="L1298" t="s">
        <v>72</v>
      </c>
      <c r="M1298" t="s">
        <v>90</v>
      </c>
      <c r="N1298" t="s">
        <v>91</v>
      </c>
      <c r="O1298" s="3">
        <v>390000</v>
      </c>
      <c r="P1298" s="4">
        <v>55</v>
      </c>
      <c r="Q1298" s="2">
        <v>45889</v>
      </c>
      <c r="R1298" s="2">
        <v>46235</v>
      </c>
      <c r="S1298" s="2">
        <v>45845</v>
      </c>
      <c r="T1298" s="2"/>
      <c r="U1298" t="str">
        <f t="shared" si="140"/>
        <v>No</v>
      </c>
      <c r="W12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298" t="str">
        <f t="shared" ca="1" si="141"/>
        <v>Due/Open</v>
      </c>
      <c r="Y1298" t="str">
        <f t="shared" si="142"/>
        <v>Open</v>
      </c>
      <c r="Z1298" t="str">
        <f t="shared" si="143"/>
        <v>Jul-2025</v>
      </c>
      <c r="AA1298" t="str">
        <f t="shared" si="144"/>
        <v>Q3 2025</v>
      </c>
      <c r="AB1298" s="4">
        <f t="shared" ca="1" si="145"/>
        <v>355</v>
      </c>
      <c r="AC1298" t="str">
        <f t="shared" si="146"/>
        <v>High</v>
      </c>
    </row>
    <row r="1299" spans="1:29">
      <c r="A1299" t="s">
        <v>4697</v>
      </c>
      <c r="B1299" s="2">
        <v>46138</v>
      </c>
      <c r="C1299" t="s">
        <v>2378</v>
      </c>
      <c r="D1299" t="s">
        <v>428</v>
      </c>
      <c r="E1299" t="s">
        <v>4320</v>
      </c>
      <c r="F1299" t="s">
        <v>4698</v>
      </c>
      <c r="G1299" t="s">
        <v>179</v>
      </c>
      <c r="H1299" t="s">
        <v>318</v>
      </c>
      <c r="I1299" t="s">
        <v>141</v>
      </c>
      <c r="J1299" t="s">
        <v>124</v>
      </c>
      <c r="K1299" t="s">
        <v>71</v>
      </c>
      <c r="L1299" t="s">
        <v>132</v>
      </c>
      <c r="M1299" t="s">
        <v>133</v>
      </c>
      <c r="N1299" t="s">
        <v>134</v>
      </c>
      <c r="O1299" s="3">
        <v>245000</v>
      </c>
      <c r="P1299" s="4">
        <v>0</v>
      </c>
      <c r="Q1299" s="2">
        <v>46180</v>
      </c>
      <c r="R1299" s="2"/>
      <c r="S1299" s="2">
        <v>46160</v>
      </c>
      <c r="T1299" s="2">
        <v>46180</v>
      </c>
      <c r="U1299" t="str">
        <f t="shared" si="140"/>
        <v>No</v>
      </c>
      <c r="V1299" t="s">
        <v>211</v>
      </c>
      <c r="W12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1299" t="str">
        <f t="shared" ca="1" si="141"/>
        <v>Closed</v>
      </c>
      <c r="Y1299" t="str">
        <f t="shared" si="142"/>
        <v>Closed</v>
      </c>
      <c r="Z1299" t="str">
        <f t="shared" si="143"/>
        <v>Apr-2026</v>
      </c>
      <c r="AA1299" t="str">
        <f t="shared" si="144"/>
        <v>Q2 2026</v>
      </c>
      <c r="AB1299" s="4">
        <f t="shared" ca="1" si="145"/>
        <v>61</v>
      </c>
      <c r="AC1299" t="str">
        <f t="shared" si="146"/>
        <v>Medium</v>
      </c>
    </row>
    <row r="1300" spans="1:29">
      <c r="A1300" t="s">
        <v>4699</v>
      </c>
      <c r="B1300" s="2">
        <v>45686</v>
      </c>
      <c r="C1300" t="s">
        <v>1374</v>
      </c>
      <c r="D1300" t="s">
        <v>705</v>
      </c>
      <c r="E1300" t="s">
        <v>4700</v>
      </c>
      <c r="F1300" t="s">
        <v>4701</v>
      </c>
      <c r="G1300" t="s">
        <v>69</v>
      </c>
      <c r="H1300" t="s">
        <v>193</v>
      </c>
      <c r="I1300" t="s">
        <v>61</v>
      </c>
      <c r="J1300" t="s">
        <v>62</v>
      </c>
      <c r="K1300" t="s">
        <v>71</v>
      </c>
      <c r="L1300" t="s">
        <v>239</v>
      </c>
      <c r="M1300" t="s">
        <v>53</v>
      </c>
      <c r="N1300" t="s">
        <v>54</v>
      </c>
      <c r="O1300" s="3">
        <v>415000</v>
      </c>
      <c r="P1300" s="4">
        <v>35</v>
      </c>
      <c r="Q1300" s="2">
        <v>45750</v>
      </c>
      <c r="R1300" s="2">
        <v>46235</v>
      </c>
      <c r="S1300" s="2">
        <v>45695</v>
      </c>
      <c r="T1300" s="2"/>
      <c r="U1300" t="str">
        <f t="shared" si="140"/>
        <v>No</v>
      </c>
      <c r="W13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0" t="str">
        <f t="shared" ca="1" si="141"/>
        <v>Due/Open</v>
      </c>
      <c r="Y1300" t="str">
        <f t="shared" si="142"/>
        <v>Open</v>
      </c>
      <c r="Z1300" t="str">
        <f t="shared" si="143"/>
        <v>Jan-2025</v>
      </c>
      <c r="AA1300" t="str">
        <f t="shared" si="144"/>
        <v>Q1 2025</v>
      </c>
      <c r="AB1300" s="4">
        <f t="shared" ca="1" si="145"/>
        <v>513</v>
      </c>
      <c r="AC1300" t="str">
        <f t="shared" si="146"/>
        <v>High</v>
      </c>
    </row>
    <row r="1301" spans="1:29">
      <c r="A1301" t="s">
        <v>4702</v>
      </c>
      <c r="B1301" s="2">
        <v>45872</v>
      </c>
      <c r="C1301" t="s">
        <v>2183</v>
      </c>
      <c r="D1301" t="s">
        <v>1662</v>
      </c>
      <c r="E1301" t="s">
        <v>4703</v>
      </c>
      <c r="F1301" t="s">
        <v>4704</v>
      </c>
      <c r="G1301" t="s">
        <v>47</v>
      </c>
      <c r="H1301" t="s">
        <v>48</v>
      </c>
      <c r="I1301" t="s">
        <v>61</v>
      </c>
      <c r="J1301" t="s">
        <v>50</v>
      </c>
      <c r="K1301" t="s">
        <v>71</v>
      </c>
      <c r="L1301" t="s">
        <v>115</v>
      </c>
      <c r="M1301" t="s">
        <v>116</v>
      </c>
      <c r="N1301" t="s">
        <v>54</v>
      </c>
      <c r="O1301" s="3">
        <v>190000</v>
      </c>
      <c r="P1301" s="4">
        <v>20</v>
      </c>
      <c r="Q1301" s="2">
        <v>45925</v>
      </c>
      <c r="R1301" s="2">
        <v>46183</v>
      </c>
      <c r="S1301" s="2">
        <v>45902</v>
      </c>
      <c r="T1301" s="2"/>
      <c r="U1301" t="str">
        <f t="shared" si="140"/>
        <v>No</v>
      </c>
      <c r="W13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1" t="str">
        <f t="shared" ca="1" si="141"/>
        <v>Overdue</v>
      </c>
      <c r="Y1301" t="str">
        <f t="shared" si="142"/>
        <v>Open</v>
      </c>
      <c r="Z1301" t="str">
        <f t="shared" si="143"/>
        <v>Aug-2025</v>
      </c>
      <c r="AA1301" t="str">
        <f t="shared" si="144"/>
        <v>Q3 2025</v>
      </c>
      <c r="AB1301" s="4">
        <f t="shared" ca="1" si="145"/>
        <v>327</v>
      </c>
      <c r="AC1301" t="str">
        <f t="shared" si="146"/>
        <v>Medium</v>
      </c>
    </row>
    <row r="1302" spans="1:29">
      <c r="A1302" t="s">
        <v>4705</v>
      </c>
      <c r="B1302" s="2">
        <v>45993</v>
      </c>
      <c r="C1302" t="s">
        <v>1547</v>
      </c>
      <c r="D1302" t="s">
        <v>145</v>
      </c>
      <c r="E1302" t="s">
        <v>4706</v>
      </c>
      <c r="F1302" t="s">
        <v>4707</v>
      </c>
      <c r="G1302" t="s">
        <v>69</v>
      </c>
      <c r="H1302" t="s">
        <v>70</v>
      </c>
      <c r="I1302" t="s">
        <v>36</v>
      </c>
      <c r="J1302" t="s">
        <v>37</v>
      </c>
      <c r="K1302" t="s">
        <v>38</v>
      </c>
      <c r="L1302" t="s">
        <v>63</v>
      </c>
      <c r="M1302" t="s">
        <v>116</v>
      </c>
      <c r="N1302" t="s">
        <v>54</v>
      </c>
      <c r="O1302" s="3">
        <v>75000</v>
      </c>
      <c r="P1302" s="4">
        <v>25</v>
      </c>
      <c r="Q1302" s="2">
        <v>46025</v>
      </c>
      <c r="R1302" s="2">
        <v>46157</v>
      </c>
      <c r="S1302" s="2">
        <v>45996</v>
      </c>
      <c r="T1302" s="2"/>
      <c r="U1302" t="str">
        <f t="shared" si="140"/>
        <v>No</v>
      </c>
      <c r="W13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2" t="str">
        <f t="shared" ca="1" si="141"/>
        <v>Overdue</v>
      </c>
      <c r="Y1302" t="str">
        <f t="shared" si="142"/>
        <v>Open</v>
      </c>
      <c r="Z1302" t="str">
        <f t="shared" si="143"/>
        <v>Dec-2025</v>
      </c>
      <c r="AA1302" t="str">
        <f t="shared" si="144"/>
        <v>Q4 2025</v>
      </c>
      <c r="AB1302" s="4">
        <f t="shared" ca="1" si="145"/>
        <v>206</v>
      </c>
      <c r="AC1302" t="str">
        <f t="shared" si="146"/>
        <v>Low</v>
      </c>
    </row>
    <row r="1303" spans="1:29">
      <c r="A1303" t="s">
        <v>4708</v>
      </c>
      <c r="B1303" s="2">
        <v>45889</v>
      </c>
      <c r="C1303" t="s">
        <v>1190</v>
      </c>
      <c r="D1303" t="s">
        <v>831</v>
      </c>
      <c r="E1303" t="s">
        <v>4709</v>
      </c>
      <c r="F1303" t="s">
        <v>4710</v>
      </c>
      <c r="G1303" t="s">
        <v>34</v>
      </c>
      <c r="H1303" t="s">
        <v>173</v>
      </c>
      <c r="I1303" t="s">
        <v>148</v>
      </c>
      <c r="J1303" t="s">
        <v>62</v>
      </c>
      <c r="K1303" t="s">
        <v>51</v>
      </c>
      <c r="L1303" t="s">
        <v>239</v>
      </c>
      <c r="M1303" t="s">
        <v>53</v>
      </c>
      <c r="N1303" t="s">
        <v>54</v>
      </c>
      <c r="O1303" s="3">
        <v>330000</v>
      </c>
      <c r="P1303" s="4">
        <v>25</v>
      </c>
      <c r="Q1303" s="2">
        <v>45913</v>
      </c>
      <c r="R1303" s="2">
        <v>46224</v>
      </c>
      <c r="S1303" s="2">
        <v>45892</v>
      </c>
      <c r="T1303" s="2"/>
      <c r="U1303" t="str">
        <f t="shared" si="140"/>
        <v>No</v>
      </c>
      <c r="W13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3" t="str">
        <f t="shared" ca="1" si="141"/>
        <v>Due/Open</v>
      </c>
      <c r="Y1303" t="str">
        <f t="shared" si="142"/>
        <v>Open</v>
      </c>
      <c r="Z1303" t="str">
        <f t="shared" si="143"/>
        <v>Aug-2025</v>
      </c>
      <c r="AA1303" t="str">
        <f t="shared" si="144"/>
        <v>Q3 2025</v>
      </c>
      <c r="AB1303" s="4">
        <f t="shared" ca="1" si="145"/>
        <v>310</v>
      </c>
      <c r="AC1303" t="str">
        <f t="shared" si="146"/>
        <v>High</v>
      </c>
    </row>
    <row r="1304" spans="1:29">
      <c r="A1304" t="s">
        <v>4711</v>
      </c>
      <c r="B1304" s="2">
        <v>45679</v>
      </c>
      <c r="C1304" t="s">
        <v>2261</v>
      </c>
      <c r="D1304" t="s">
        <v>1302</v>
      </c>
      <c r="E1304" t="s">
        <v>4712</v>
      </c>
      <c r="F1304" t="s">
        <v>4713</v>
      </c>
      <c r="G1304" t="s">
        <v>47</v>
      </c>
      <c r="H1304" t="s">
        <v>122</v>
      </c>
      <c r="I1304" t="s">
        <v>36</v>
      </c>
      <c r="J1304" t="s">
        <v>62</v>
      </c>
      <c r="K1304" t="s">
        <v>38</v>
      </c>
      <c r="L1304" t="s">
        <v>142</v>
      </c>
      <c r="M1304" t="s">
        <v>210</v>
      </c>
      <c r="N1304" t="s">
        <v>134</v>
      </c>
      <c r="O1304" s="3">
        <v>340000</v>
      </c>
      <c r="P1304" s="4">
        <v>0</v>
      </c>
      <c r="Q1304" s="2">
        <v>45705</v>
      </c>
      <c r="R1304" s="2"/>
      <c r="S1304" s="2">
        <v>45681</v>
      </c>
      <c r="T1304" s="2">
        <v>45705</v>
      </c>
      <c r="U1304" t="str">
        <f t="shared" si="140"/>
        <v>No</v>
      </c>
      <c r="V1304" t="s">
        <v>319</v>
      </c>
      <c r="W130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26</v>
      </c>
      <c r="X1304" t="str">
        <f t="shared" ca="1" si="141"/>
        <v>Closed</v>
      </c>
      <c r="Y1304" t="str">
        <f t="shared" si="142"/>
        <v>Closed</v>
      </c>
      <c r="Z1304" t="str">
        <f t="shared" si="143"/>
        <v>Jan-2025</v>
      </c>
      <c r="AA1304" t="str">
        <f t="shared" si="144"/>
        <v>Q1 2025</v>
      </c>
      <c r="AB1304" s="4">
        <f t="shared" ca="1" si="145"/>
        <v>520</v>
      </c>
      <c r="AC1304" t="str">
        <f t="shared" si="146"/>
        <v>High</v>
      </c>
    </row>
    <row r="1305" spans="1:29">
      <c r="A1305" t="s">
        <v>4714</v>
      </c>
      <c r="B1305" s="2">
        <v>45768</v>
      </c>
      <c r="C1305" t="s">
        <v>370</v>
      </c>
      <c r="D1305" t="s">
        <v>1937</v>
      </c>
      <c r="E1305" t="s">
        <v>4715</v>
      </c>
      <c r="F1305" t="s">
        <v>4716</v>
      </c>
      <c r="G1305" t="s">
        <v>34</v>
      </c>
      <c r="H1305" t="s">
        <v>173</v>
      </c>
      <c r="I1305" t="s">
        <v>49</v>
      </c>
      <c r="J1305" t="s">
        <v>99</v>
      </c>
      <c r="K1305" t="s">
        <v>71</v>
      </c>
      <c r="L1305" t="s">
        <v>125</v>
      </c>
      <c r="M1305" t="s">
        <v>82</v>
      </c>
      <c r="N1305" t="s">
        <v>83</v>
      </c>
      <c r="O1305" s="3">
        <v>480000</v>
      </c>
      <c r="P1305" s="4">
        <v>10</v>
      </c>
      <c r="Q1305" s="2">
        <v>45856</v>
      </c>
      <c r="R1305" s="2">
        <v>46213</v>
      </c>
      <c r="S1305" s="2">
        <v>45771</v>
      </c>
      <c r="T1305" s="2"/>
      <c r="U1305" t="str">
        <f t="shared" si="140"/>
        <v>No</v>
      </c>
      <c r="W13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5" t="str">
        <f t="shared" ca="1" si="141"/>
        <v>Due/Open</v>
      </c>
      <c r="Y1305" t="str">
        <f t="shared" si="142"/>
        <v>Open</v>
      </c>
      <c r="Z1305" t="str">
        <f t="shared" si="143"/>
        <v>Apr-2025</v>
      </c>
      <c r="AA1305" t="str">
        <f t="shared" si="144"/>
        <v>Q2 2025</v>
      </c>
      <c r="AB1305" s="4">
        <f t="shared" ca="1" si="145"/>
        <v>431</v>
      </c>
      <c r="AC1305" t="str">
        <f t="shared" si="146"/>
        <v>High</v>
      </c>
    </row>
    <row r="1306" spans="1:29">
      <c r="A1306" t="s">
        <v>4717</v>
      </c>
      <c r="B1306" s="2">
        <v>45998</v>
      </c>
      <c r="C1306" t="s">
        <v>796</v>
      </c>
      <c r="D1306" t="s">
        <v>1043</v>
      </c>
      <c r="E1306" t="s">
        <v>4718</v>
      </c>
      <c r="F1306" t="s">
        <v>4719</v>
      </c>
      <c r="G1306" t="s">
        <v>47</v>
      </c>
      <c r="H1306" t="s">
        <v>493</v>
      </c>
      <c r="I1306" t="s">
        <v>148</v>
      </c>
      <c r="J1306" t="s">
        <v>37</v>
      </c>
      <c r="K1306" t="s">
        <v>71</v>
      </c>
      <c r="L1306" t="s">
        <v>154</v>
      </c>
      <c r="M1306" t="s">
        <v>90</v>
      </c>
      <c r="N1306" t="s">
        <v>91</v>
      </c>
      <c r="O1306" s="3">
        <v>40000</v>
      </c>
      <c r="P1306" s="4">
        <v>55</v>
      </c>
      <c r="Q1306" s="2">
        <v>46054</v>
      </c>
      <c r="R1306" s="2">
        <v>46197</v>
      </c>
      <c r="S1306" s="2">
        <v>46003</v>
      </c>
      <c r="T1306" s="2"/>
      <c r="U1306" t="str">
        <f t="shared" si="140"/>
        <v>No</v>
      </c>
      <c r="W13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6" t="str">
        <f t="shared" ca="1" si="141"/>
        <v>Overdue</v>
      </c>
      <c r="Y1306" t="str">
        <f t="shared" si="142"/>
        <v>Open</v>
      </c>
      <c r="Z1306" t="str">
        <f t="shared" si="143"/>
        <v>Dec-2025</v>
      </c>
      <c r="AA1306" t="str">
        <f t="shared" si="144"/>
        <v>Q4 2025</v>
      </c>
      <c r="AB1306" s="4">
        <f t="shared" ca="1" si="145"/>
        <v>201</v>
      </c>
      <c r="AC1306" t="str">
        <f t="shared" si="146"/>
        <v>Low</v>
      </c>
    </row>
    <row r="1307" spans="1:29">
      <c r="A1307" t="s">
        <v>4720</v>
      </c>
      <c r="B1307" s="2">
        <v>45807</v>
      </c>
      <c r="C1307" t="s">
        <v>2048</v>
      </c>
      <c r="D1307" t="s">
        <v>1127</v>
      </c>
      <c r="E1307" t="s">
        <v>4721</v>
      </c>
      <c r="F1307" t="s">
        <v>4722</v>
      </c>
      <c r="G1307" t="s">
        <v>79</v>
      </c>
      <c r="H1307" t="s">
        <v>228</v>
      </c>
      <c r="I1307" t="s">
        <v>123</v>
      </c>
      <c r="J1307" t="s">
        <v>99</v>
      </c>
      <c r="K1307" t="s">
        <v>51</v>
      </c>
      <c r="L1307" t="s">
        <v>39</v>
      </c>
      <c r="M1307" t="s">
        <v>90</v>
      </c>
      <c r="N1307" t="s">
        <v>91</v>
      </c>
      <c r="O1307" s="3">
        <v>220000</v>
      </c>
      <c r="P1307" s="4">
        <v>40</v>
      </c>
      <c r="Q1307" s="2">
        <v>45896</v>
      </c>
      <c r="R1307" s="2">
        <v>46231</v>
      </c>
      <c r="S1307" s="2">
        <v>45809</v>
      </c>
      <c r="T1307" s="2"/>
      <c r="U1307" t="str">
        <f t="shared" si="140"/>
        <v>No</v>
      </c>
      <c r="W13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7" t="str">
        <f t="shared" ca="1" si="141"/>
        <v>Due/Open</v>
      </c>
      <c r="Y1307" t="str">
        <f t="shared" si="142"/>
        <v>Open</v>
      </c>
      <c r="Z1307" t="str">
        <f t="shared" si="143"/>
        <v>May-2025</v>
      </c>
      <c r="AA1307" t="str">
        <f t="shared" si="144"/>
        <v>Q2 2025</v>
      </c>
      <c r="AB1307" s="4">
        <f t="shared" ca="1" si="145"/>
        <v>392</v>
      </c>
      <c r="AC1307" t="str">
        <f t="shared" si="146"/>
        <v>Medium</v>
      </c>
    </row>
    <row r="1308" spans="1:29">
      <c r="A1308" t="s">
        <v>4723</v>
      </c>
      <c r="B1308" s="2">
        <v>46046</v>
      </c>
      <c r="C1308" t="s">
        <v>2413</v>
      </c>
      <c r="D1308" t="s">
        <v>697</v>
      </c>
      <c r="E1308" t="s">
        <v>4724</v>
      </c>
      <c r="F1308" t="s">
        <v>4725</v>
      </c>
      <c r="G1308" t="s">
        <v>69</v>
      </c>
      <c r="H1308" t="s">
        <v>200</v>
      </c>
      <c r="I1308" t="s">
        <v>36</v>
      </c>
      <c r="J1308" t="s">
        <v>131</v>
      </c>
      <c r="K1308" t="s">
        <v>71</v>
      </c>
      <c r="L1308" t="s">
        <v>142</v>
      </c>
      <c r="M1308" t="s">
        <v>90</v>
      </c>
      <c r="N1308" t="s">
        <v>91</v>
      </c>
      <c r="O1308" s="3">
        <v>285000</v>
      </c>
      <c r="P1308" s="4">
        <v>40</v>
      </c>
      <c r="Q1308" s="2">
        <v>46074</v>
      </c>
      <c r="R1308" s="2">
        <v>46213</v>
      </c>
      <c r="S1308" s="2">
        <v>46073</v>
      </c>
      <c r="T1308" s="2"/>
      <c r="U1308" t="str">
        <f t="shared" si="140"/>
        <v>No</v>
      </c>
      <c r="W13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08" t="str">
        <f t="shared" ca="1" si="141"/>
        <v>Due/Open</v>
      </c>
      <c r="Y1308" t="str">
        <f t="shared" si="142"/>
        <v>Open</v>
      </c>
      <c r="Z1308" t="str">
        <f t="shared" si="143"/>
        <v>Jan-2026</v>
      </c>
      <c r="AA1308" t="str">
        <f t="shared" si="144"/>
        <v>Q1 2026</v>
      </c>
      <c r="AB1308" s="4">
        <f t="shared" ca="1" si="145"/>
        <v>153</v>
      </c>
      <c r="AC1308" t="str">
        <f t="shared" si="146"/>
        <v>Medium</v>
      </c>
    </row>
    <row r="1309" spans="1:29">
      <c r="A1309" t="s">
        <v>4726</v>
      </c>
      <c r="B1309" s="2">
        <v>45855</v>
      </c>
      <c r="C1309" t="s">
        <v>2289</v>
      </c>
      <c r="D1309" t="s">
        <v>1072</v>
      </c>
      <c r="E1309" t="s">
        <v>4727</v>
      </c>
      <c r="F1309" t="s">
        <v>4728</v>
      </c>
      <c r="G1309" t="s">
        <v>179</v>
      </c>
      <c r="H1309" t="s">
        <v>487</v>
      </c>
      <c r="I1309" t="s">
        <v>36</v>
      </c>
      <c r="J1309" t="s">
        <v>99</v>
      </c>
      <c r="K1309" t="s">
        <v>100</v>
      </c>
      <c r="L1309" t="s">
        <v>115</v>
      </c>
      <c r="M1309" t="s">
        <v>40</v>
      </c>
      <c r="N1309" t="s">
        <v>41</v>
      </c>
      <c r="O1309" s="3">
        <v>575000</v>
      </c>
      <c r="P1309" s="4">
        <v>100</v>
      </c>
      <c r="Q1309" s="2">
        <v>45927</v>
      </c>
      <c r="R1309" s="2"/>
      <c r="S1309" s="2">
        <v>45863</v>
      </c>
      <c r="T1309" s="2">
        <v>45927</v>
      </c>
      <c r="U1309" t="str">
        <f t="shared" si="140"/>
        <v>Yes</v>
      </c>
      <c r="W130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309" t="str">
        <f t="shared" ca="1" si="141"/>
        <v>Closed</v>
      </c>
      <c r="Y1309" t="str">
        <f t="shared" si="142"/>
        <v>Closed</v>
      </c>
      <c r="Z1309" t="str">
        <f t="shared" si="143"/>
        <v>Jul-2025</v>
      </c>
      <c r="AA1309" t="str">
        <f t="shared" si="144"/>
        <v>Q3 2025</v>
      </c>
      <c r="AB1309" s="4">
        <f t="shared" ca="1" si="145"/>
        <v>344</v>
      </c>
      <c r="AC1309" t="str">
        <f t="shared" si="146"/>
        <v>High</v>
      </c>
    </row>
    <row r="1310" spans="1:29">
      <c r="A1310" t="s">
        <v>4729</v>
      </c>
      <c r="B1310" s="2">
        <v>45856</v>
      </c>
      <c r="C1310" t="s">
        <v>606</v>
      </c>
      <c r="D1310" t="s">
        <v>755</v>
      </c>
      <c r="E1310" t="s">
        <v>4730</v>
      </c>
      <c r="F1310" t="s">
        <v>4731</v>
      </c>
      <c r="G1310" t="s">
        <v>47</v>
      </c>
      <c r="H1310" t="s">
        <v>89</v>
      </c>
      <c r="I1310" t="s">
        <v>36</v>
      </c>
      <c r="J1310" t="s">
        <v>50</v>
      </c>
      <c r="K1310" t="s">
        <v>100</v>
      </c>
      <c r="L1310" t="s">
        <v>132</v>
      </c>
      <c r="M1310" t="s">
        <v>116</v>
      </c>
      <c r="N1310" t="s">
        <v>54</v>
      </c>
      <c r="O1310" s="3">
        <v>340000</v>
      </c>
      <c r="P1310" s="4">
        <v>15</v>
      </c>
      <c r="Q1310" s="2">
        <v>45892</v>
      </c>
      <c r="R1310" s="2">
        <v>46212</v>
      </c>
      <c r="S1310" s="2">
        <v>45882</v>
      </c>
      <c r="T1310" s="2"/>
      <c r="U1310" t="str">
        <f t="shared" si="140"/>
        <v>No</v>
      </c>
      <c r="W13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0" t="str">
        <f t="shared" ca="1" si="141"/>
        <v>Due/Open</v>
      </c>
      <c r="Y1310" t="str">
        <f t="shared" si="142"/>
        <v>Open</v>
      </c>
      <c r="Z1310" t="str">
        <f t="shared" si="143"/>
        <v>Jul-2025</v>
      </c>
      <c r="AA1310" t="str">
        <f t="shared" si="144"/>
        <v>Q3 2025</v>
      </c>
      <c r="AB1310" s="4">
        <f t="shared" ca="1" si="145"/>
        <v>343</v>
      </c>
      <c r="AC1310" t="str">
        <f t="shared" si="146"/>
        <v>High</v>
      </c>
    </row>
    <row r="1311" spans="1:29">
      <c r="A1311" t="s">
        <v>4732</v>
      </c>
      <c r="B1311" s="2">
        <v>46009</v>
      </c>
      <c r="C1311" t="s">
        <v>1651</v>
      </c>
      <c r="D1311" t="s">
        <v>407</v>
      </c>
      <c r="E1311" t="s">
        <v>4733</v>
      </c>
      <c r="F1311" t="s">
        <v>4734</v>
      </c>
      <c r="G1311" t="s">
        <v>179</v>
      </c>
      <c r="H1311" t="s">
        <v>318</v>
      </c>
      <c r="I1311" t="s">
        <v>141</v>
      </c>
      <c r="J1311" t="s">
        <v>50</v>
      </c>
      <c r="K1311" t="s">
        <v>71</v>
      </c>
      <c r="L1311" t="s">
        <v>81</v>
      </c>
      <c r="M1311" t="s">
        <v>133</v>
      </c>
      <c r="N1311" t="s">
        <v>134</v>
      </c>
      <c r="O1311" s="3">
        <v>515000</v>
      </c>
      <c r="P1311" s="4">
        <v>0</v>
      </c>
      <c r="Q1311" s="2">
        <v>46056</v>
      </c>
      <c r="R1311" s="2"/>
      <c r="S1311" s="2">
        <v>46027</v>
      </c>
      <c r="T1311" s="2">
        <v>46056</v>
      </c>
      <c r="U1311" t="str">
        <f t="shared" si="140"/>
        <v>No</v>
      </c>
      <c r="V1311" t="s">
        <v>452</v>
      </c>
      <c r="W13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1311" t="str">
        <f t="shared" ca="1" si="141"/>
        <v>Closed</v>
      </c>
      <c r="Y1311" t="str">
        <f t="shared" si="142"/>
        <v>Closed</v>
      </c>
      <c r="Z1311" t="str">
        <f t="shared" si="143"/>
        <v>Dec-2025</v>
      </c>
      <c r="AA1311" t="str">
        <f t="shared" si="144"/>
        <v>Q4 2025</v>
      </c>
      <c r="AB1311" s="4">
        <f t="shared" ca="1" si="145"/>
        <v>190</v>
      </c>
      <c r="AC1311" t="str">
        <f t="shared" si="146"/>
        <v>High</v>
      </c>
    </row>
    <row r="1312" spans="1:29">
      <c r="A1312" t="s">
        <v>4735</v>
      </c>
      <c r="B1312" s="2">
        <v>45716</v>
      </c>
      <c r="C1312" t="s">
        <v>1604</v>
      </c>
      <c r="D1312" t="s">
        <v>342</v>
      </c>
      <c r="E1312" t="s">
        <v>4736</v>
      </c>
      <c r="F1312" t="s">
        <v>4737</v>
      </c>
      <c r="G1312" t="s">
        <v>69</v>
      </c>
      <c r="H1312" t="s">
        <v>200</v>
      </c>
      <c r="I1312" t="s">
        <v>98</v>
      </c>
      <c r="J1312" t="s">
        <v>50</v>
      </c>
      <c r="K1312" t="s">
        <v>71</v>
      </c>
      <c r="L1312" t="s">
        <v>39</v>
      </c>
      <c r="M1312" t="s">
        <v>90</v>
      </c>
      <c r="N1312" t="s">
        <v>91</v>
      </c>
      <c r="O1312" s="3">
        <v>445000</v>
      </c>
      <c r="P1312" s="4">
        <v>40</v>
      </c>
      <c r="Q1312" s="2">
        <v>45810</v>
      </c>
      <c r="R1312" s="2">
        <v>46199</v>
      </c>
      <c r="S1312" s="2">
        <v>45728</v>
      </c>
      <c r="T1312" s="2"/>
      <c r="U1312" t="str">
        <f t="shared" si="140"/>
        <v>No</v>
      </c>
      <c r="W13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2" t="str">
        <f t="shared" ca="1" si="141"/>
        <v>Due/Open</v>
      </c>
      <c r="Y1312" t="str">
        <f t="shared" si="142"/>
        <v>Open</v>
      </c>
      <c r="Z1312" t="str">
        <f t="shared" si="143"/>
        <v>Feb-2025</v>
      </c>
      <c r="AA1312" t="str">
        <f t="shared" si="144"/>
        <v>Q1 2025</v>
      </c>
      <c r="AB1312" s="4">
        <f t="shared" ca="1" si="145"/>
        <v>483</v>
      </c>
      <c r="AC1312" t="str">
        <f t="shared" si="146"/>
        <v>High</v>
      </c>
    </row>
    <row r="1313" spans="1:29">
      <c r="A1313" t="s">
        <v>4738</v>
      </c>
      <c r="B1313" s="2">
        <v>46192</v>
      </c>
      <c r="C1313" t="s">
        <v>4353</v>
      </c>
      <c r="D1313" t="s">
        <v>1315</v>
      </c>
      <c r="E1313" t="s">
        <v>4739</v>
      </c>
      <c r="F1313" t="s">
        <v>4740</v>
      </c>
      <c r="G1313" t="s">
        <v>179</v>
      </c>
      <c r="H1313" t="s">
        <v>296</v>
      </c>
      <c r="I1313" t="s">
        <v>148</v>
      </c>
      <c r="J1313" t="s">
        <v>124</v>
      </c>
      <c r="K1313" t="s">
        <v>71</v>
      </c>
      <c r="L1313" t="s">
        <v>154</v>
      </c>
      <c r="M1313" t="s">
        <v>82</v>
      </c>
      <c r="N1313" t="s">
        <v>83</v>
      </c>
      <c r="O1313" s="3">
        <v>130000</v>
      </c>
      <c r="P1313" s="4">
        <v>10</v>
      </c>
      <c r="Q1313" s="2">
        <v>46240</v>
      </c>
      <c r="R1313" s="2">
        <v>46239</v>
      </c>
      <c r="S1313" s="2">
        <v>46198</v>
      </c>
      <c r="T1313" s="2"/>
      <c r="U1313" t="str">
        <f t="shared" si="140"/>
        <v>No</v>
      </c>
      <c r="W13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3" t="str">
        <f t="shared" ca="1" si="141"/>
        <v>Due/Open</v>
      </c>
      <c r="Y1313" t="str">
        <f t="shared" si="142"/>
        <v>Open</v>
      </c>
      <c r="Z1313" t="str">
        <f t="shared" si="143"/>
        <v>Jun-2026</v>
      </c>
      <c r="AA1313" t="str">
        <f t="shared" si="144"/>
        <v>Q2 2026</v>
      </c>
      <c r="AB1313" s="4">
        <f t="shared" ca="1" si="145"/>
        <v>7</v>
      </c>
      <c r="AC1313" t="str">
        <f t="shared" si="146"/>
        <v>Medium</v>
      </c>
    </row>
    <row r="1314" spans="1:29">
      <c r="A1314" t="s">
        <v>4741</v>
      </c>
      <c r="B1314" s="2">
        <v>46118</v>
      </c>
      <c r="C1314" t="s">
        <v>899</v>
      </c>
      <c r="D1314" t="s">
        <v>701</v>
      </c>
      <c r="E1314" t="s">
        <v>4742</v>
      </c>
      <c r="F1314" t="s">
        <v>4743</v>
      </c>
      <c r="G1314" t="s">
        <v>34</v>
      </c>
      <c r="H1314" t="s">
        <v>238</v>
      </c>
      <c r="I1314" t="s">
        <v>49</v>
      </c>
      <c r="J1314" t="s">
        <v>99</v>
      </c>
      <c r="K1314" t="s">
        <v>100</v>
      </c>
      <c r="L1314" t="s">
        <v>132</v>
      </c>
      <c r="M1314" t="s">
        <v>90</v>
      </c>
      <c r="N1314" t="s">
        <v>91</v>
      </c>
      <c r="O1314" s="3">
        <v>610000</v>
      </c>
      <c r="P1314" s="4">
        <v>40</v>
      </c>
      <c r="Q1314" s="2">
        <v>46157</v>
      </c>
      <c r="R1314" s="2">
        <v>46175</v>
      </c>
      <c r="S1314" s="2">
        <v>46147</v>
      </c>
      <c r="T1314" s="2"/>
      <c r="U1314" t="str">
        <f t="shared" si="140"/>
        <v>No</v>
      </c>
      <c r="W13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4" t="str">
        <f t="shared" ca="1" si="141"/>
        <v>Overdue</v>
      </c>
      <c r="Y1314" t="str">
        <f t="shared" si="142"/>
        <v>Open</v>
      </c>
      <c r="Z1314" t="str">
        <f t="shared" si="143"/>
        <v>Apr-2026</v>
      </c>
      <c r="AA1314" t="str">
        <f t="shared" si="144"/>
        <v>Q2 2026</v>
      </c>
      <c r="AB1314" s="4">
        <f t="shared" ca="1" si="145"/>
        <v>81</v>
      </c>
      <c r="AC1314" t="str">
        <f t="shared" si="146"/>
        <v>High</v>
      </c>
    </row>
    <row r="1315" spans="1:29">
      <c r="A1315" t="s">
        <v>4744</v>
      </c>
      <c r="B1315" s="2">
        <v>45673</v>
      </c>
      <c r="C1315" t="s">
        <v>644</v>
      </c>
      <c r="D1315" t="s">
        <v>586</v>
      </c>
      <c r="E1315" t="s">
        <v>4745</v>
      </c>
      <c r="F1315" t="s">
        <v>4746</v>
      </c>
      <c r="G1315" t="s">
        <v>179</v>
      </c>
      <c r="H1315" t="s">
        <v>487</v>
      </c>
      <c r="I1315" t="s">
        <v>187</v>
      </c>
      <c r="J1315" t="s">
        <v>50</v>
      </c>
      <c r="K1315" t="s">
        <v>71</v>
      </c>
      <c r="L1315" t="s">
        <v>72</v>
      </c>
      <c r="M1315" t="s">
        <v>210</v>
      </c>
      <c r="N1315" t="s">
        <v>134</v>
      </c>
      <c r="O1315" s="3">
        <v>280000</v>
      </c>
      <c r="P1315" s="4">
        <v>0</v>
      </c>
      <c r="Q1315" s="2">
        <v>45690</v>
      </c>
      <c r="R1315" s="2"/>
      <c r="S1315" s="2">
        <v>45693</v>
      </c>
      <c r="T1315" s="2">
        <v>45690</v>
      </c>
      <c r="U1315" t="str">
        <f t="shared" si="140"/>
        <v>No</v>
      </c>
      <c r="V1315" t="s">
        <v>1105</v>
      </c>
      <c r="W131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315" t="str">
        <f t="shared" ca="1" si="141"/>
        <v>Closed</v>
      </c>
      <c r="Y1315" t="str">
        <f t="shared" si="142"/>
        <v>Closed</v>
      </c>
      <c r="Z1315" t="str">
        <f t="shared" si="143"/>
        <v>Jan-2025</v>
      </c>
      <c r="AA1315" t="str">
        <f t="shared" si="144"/>
        <v>Q1 2025</v>
      </c>
      <c r="AB1315" s="4">
        <f t="shared" ca="1" si="145"/>
        <v>526</v>
      </c>
      <c r="AC1315" t="str">
        <f t="shared" si="146"/>
        <v>Medium</v>
      </c>
    </row>
    <row r="1316" spans="1:29">
      <c r="A1316" t="s">
        <v>4747</v>
      </c>
      <c r="B1316" s="2">
        <v>46114</v>
      </c>
      <c r="C1316" t="s">
        <v>3194</v>
      </c>
      <c r="D1316" t="s">
        <v>904</v>
      </c>
      <c r="E1316" t="s">
        <v>4748</v>
      </c>
      <c r="F1316" t="s">
        <v>4749</v>
      </c>
      <c r="G1316" t="s">
        <v>69</v>
      </c>
      <c r="H1316" t="s">
        <v>193</v>
      </c>
      <c r="I1316" t="s">
        <v>141</v>
      </c>
      <c r="J1316" t="s">
        <v>50</v>
      </c>
      <c r="K1316" t="s">
        <v>100</v>
      </c>
      <c r="L1316" t="s">
        <v>107</v>
      </c>
      <c r="M1316" t="s">
        <v>116</v>
      </c>
      <c r="N1316" t="s">
        <v>54</v>
      </c>
      <c r="O1316" s="3">
        <v>405000</v>
      </c>
      <c r="P1316" s="4">
        <v>25</v>
      </c>
      <c r="Q1316" s="2">
        <v>46135</v>
      </c>
      <c r="R1316" s="2">
        <v>46180</v>
      </c>
      <c r="S1316" s="2">
        <v>46133</v>
      </c>
      <c r="T1316" s="2"/>
      <c r="U1316" t="str">
        <f t="shared" si="140"/>
        <v>No</v>
      </c>
      <c r="W13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6" t="str">
        <f t="shared" ca="1" si="141"/>
        <v>Overdue</v>
      </c>
      <c r="Y1316" t="str">
        <f t="shared" si="142"/>
        <v>Open</v>
      </c>
      <c r="Z1316" t="str">
        <f t="shared" si="143"/>
        <v>Apr-2026</v>
      </c>
      <c r="AA1316" t="str">
        <f t="shared" si="144"/>
        <v>Q2 2026</v>
      </c>
      <c r="AB1316" s="4">
        <f t="shared" ca="1" si="145"/>
        <v>85</v>
      </c>
      <c r="AC1316" t="str">
        <f t="shared" si="146"/>
        <v>High</v>
      </c>
    </row>
    <row r="1317" spans="1:29">
      <c r="A1317" t="s">
        <v>4750</v>
      </c>
      <c r="B1317" s="2">
        <v>46134</v>
      </c>
      <c r="C1317" t="s">
        <v>365</v>
      </c>
      <c r="D1317" t="s">
        <v>282</v>
      </c>
      <c r="E1317" t="s">
        <v>4751</v>
      </c>
      <c r="F1317" t="s">
        <v>4752</v>
      </c>
      <c r="G1317" t="s">
        <v>34</v>
      </c>
      <c r="H1317" t="s">
        <v>446</v>
      </c>
      <c r="I1317" t="s">
        <v>49</v>
      </c>
      <c r="J1317" t="s">
        <v>124</v>
      </c>
      <c r="K1317" t="s">
        <v>194</v>
      </c>
      <c r="L1317" t="s">
        <v>142</v>
      </c>
      <c r="M1317" t="s">
        <v>82</v>
      </c>
      <c r="N1317" t="s">
        <v>83</v>
      </c>
      <c r="O1317" s="3">
        <v>160000</v>
      </c>
      <c r="P1317" s="4">
        <v>10</v>
      </c>
      <c r="Q1317" s="2">
        <v>46170</v>
      </c>
      <c r="R1317" s="2">
        <v>46204</v>
      </c>
      <c r="S1317" s="2">
        <v>46141</v>
      </c>
      <c r="T1317" s="2"/>
      <c r="U1317" t="str">
        <f t="shared" si="140"/>
        <v>No</v>
      </c>
      <c r="W13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7" t="str">
        <f t="shared" ca="1" si="141"/>
        <v>Due/Open</v>
      </c>
      <c r="Y1317" t="str">
        <f t="shared" si="142"/>
        <v>Open</v>
      </c>
      <c r="Z1317" t="str">
        <f t="shared" si="143"/>
        <v>Apr-2026</v>
      </c>
      <c r="AA1317" t="str">
        <f t="shared" si="144"/>
        <v>Q2 2026</v>
      </c>
      <c r="AB1317" s="4">
        <f t="shared" ca="1" si="145"/>
        <v>65</v>
      </c>
      <c r="AC1317" t="str">
        <f t="shared" si="146"/>
        <v>Medium</v>
      </c>
    </row>
    <row r="1318" spans="1:29">
      <c r="A1318" t="s">
        <v>4753</v>
      </c>
      <c r="B1318" s="2">
        <v>45815</v>
      </c>
      <c r="C1318" t="s">
        <v>868</v>
      </c>
      <c r="D1318" t="s">
        <v>767</v>
      </c>
      <c r="E1318" t="s">
        <v>4754</v>
      </c>
      <c r="F1318" t="s">
        <v>4755</v>
      </c>
      <c r="G1318" t="s">
        <v>69</v>
      </c>
      <c r="H1318" t="s">
        <v>193</v>
      </c>
      <c r="I1318" t="s">
        <v>36</v>
      </c>
      <c r="J1318" t="s">
        <v>124</v>
      </c>
      <c r="K1318" t="s">
        <v>194</v>
      </c>
      <c r="L1318" t="s">
        <v>63</v>
      </c>
      <c r="M1318" t="s">
        <v>73</v>
      </c>
      <c r="N1318" t="s">
        <v>73</v>
      </c>
      <c r="O1318" s="3">
        <v>265000</v>
      </c>
      <c r="P1318" s="4">
        <v>80</v>
      </c>
      <c r="Q1318" s="2">
        <v>45877</v>
      </c>
      <c r="R1318" s="2">
        <v>46177</v>
      </c>
      <c r="S1318" s="2">
        <v>45818</v>
      </c>
      <c r="T1318" s="2"/>
      <c r="U1318" t="str">
        <f t="shared" si="140"/>
        <v>No</v>
      </c>
      <c r="W13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8" t="str">
        <f t="shared" ca="1" si="141"/>
        <v>Overdue</v>
      </c>
      <c r="Y1318" t="str">
        <f t="shared" si="142"/>
        <v>Open</v>
      </c>
      <c r="Z1318" t="str">
        <f t="shared" si="143"/>
        <v>Jun-2025</v>
      </c>
      <c r="AA1318" t="str">
        <f t="shared" si="144"/>
        <v>Q2 2025</v>
      </c>
      <c r="AB1318" s="4">
        <f t="shared" ca="1" si="145"/>
        <v>384</v>
      </c>
      <c r="AC1318" t="str">
        <f t="shared" si="146"/>
        <v>Medium</v>
      </c>
    </row>
    <row r="1319" spans="1:29">
      <c r="A1319" t="s">
        <v>4756</v>
      </c>
      <c r="B1319" s="2">
        <v>46045</v>
      </c>
      <c r="C1319" t="s">
        <v>2322</v>
      </c>
      <c r="D1319" t="s">
        <v>1178</v>
      </c>
      <c r="E1319" t="s">
        <v>4757</v>
      </c>
      <c r="F1319" t="s">
        <v>4758</v>
      </c>
      <c r="G1319" t="s">
        <v>34</v>
      </c>
      <c r="H1319" t="s">
        <v>35</v>
      </c>
      <c r="I1319" t="s">
        <v>148</v>
      </c>
      <c r="J1319" t="s">
        <v>62</v>
      </c>
      <c r="K1319" t="s">
        <v>71</v>
      </c>
      <c r="L1319" t="s">
        <v>81</v>
      </c>
      <c r="M1319" t="s">
        <v>82</v>
      </c>
      <c r="N1319" t="s">
        <v>83</v>
      </c>
      <c r="O1319" s="3">
        <v>185000</v>
      </c>
      <c r="P1319" s="4">
        <v>10</v>
      </c>
      <c r="Q1319" s="2">
        <v>46093</v>
      </c>
      <c r="R1319" s="2">
        <v>46219</v>
      </c>
      <c r="S1319" s="2">
        <v>46056</v>
      </c>
      <c r="T1319" s="2"/>
      <c r="U1319" t="str">
        <f t="shared" si="140"/>
        <v>No</v>
      </c>
      <c r="W13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19" t="str">
        <f t="shared" ca="1" si="141"/>
        <v>Due/Open</v>
      </c>
      <c r="Y1319" t="str">
        <f t="shared" si="142"/>
        <v>Open</v>
      </c>
      <c r="Z1319" t="str">
        <f t="shared" si="143"/>
        <v>Jan-2026</v>
      </c>
      <c r="AA1319" t="str">
        <f t="shared" si="144"/>
        <v>Q1 2026</v>
      </c>
      <c r="AB1319" s="4">
        <f t="shared" ca="1" si="145"/>
        <v>154</v>
      </c>
      <c r="AC1319" t="str">
        <f t="shared" si="146"/>
        <v>Medium</v>
      </c>
    </row>
    <row r="1320" spans="1:29">
      <c r="A1320" t="s">
        <v>4759</v>
      </c>
      <c r="B1320" s="2">
        <v>46142</v>
      </c>
      <c r="C1320" t="s">
        <v>1415</v>
      </c>
      <c r="D1320" t="s">
        <v>1701</v>
      </c>
      <c r="E1320" t="s">
        <v>4760</v>
      </c>
      <c r="F1320" t="s">
        <v>4761</v>
      </c>
      <c r="G1320" t="s">
        <v>179</v>
      </c>
      <c r="H1320" t="s">
        <v>487</v>
      </c>
      <c r="I1320" t="s">
        <v>36</v>
      </c>
      <c r="J1320" t="s">
        <v>131</v>
      </c>
      <c r="K1320" t="s">
        <v>71</v>
      </c>
      <c r="L1320" t="s">
        <v>52</v>
      </c>
      <c r="M1320" t="s">
        <v>166</v>
      </c>
      <c r="N1320" t="s">
        <v>167</v>
      </c>
      <c r="O1320" s="3">
        <v>210000</v>
      </c>
      <c r="P1320" s="4">
        <v>65</v>
      </c>
      <c r="Q1320" s="2">
        <v>46203</v>
      </c>
      <c r="R1320" s="2">
        <v>46237</v>
      </c>
      <c r="S1320" s="2">
        <v>46167</v>
      </c>
      <c r="T1320" s="2"/>
      <c r="U1320" t="str">
        <f t="shared" si="140"/>
        <v>No</v>
      </c>
      <c r="W13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0" t="str">
        <f t="shared" ca="1" si="141"/>
        <v>Due/Open</v>
      </c>
      <c r="Y1320" t="str">
        <f t="shared" si="142"/>
        <v>Open</v>
      </c>
      <c r="Z1320" t="str">
        <f t="shared" si="143"/>
        <v>Apr-2026</v>
      </c>
      <c r="AA1320" t="str">
        <f t="shared" si="144"/>
        <v>Q2 2026</v>
      </c>
      <c r="AB1320" s="4">
        <f t="shared" ca="1" si="145"/>
        <v>57</v>
      </c>
      <c r="AC1320" t="str">
        <f t="shared" si="146"/>
        <v>Medium</v>
      </c>
    </row>
    <row r="1321" spans="1:29">
      <c r="A1321" t="s">
        <v>4762</v>
      </c>
      <c r="B1321" s="2">
        <v>46032</v>
      </c>
      <c r="C1321" t="s">
        <v>1952</v>
      </c>
      <c r="D1321" t="s">
        <v>887</v>
      </c>
      <c r="E1321" t="s">
        <v>4763</v>
      </c>
      <c r="F1321" t="s">
        <v>4764</v>
      </c>
      <c r="G1321" t="s">
        <v>47</v>
      </c>
      <c r="H1321" t="s">
        <v>48</v>
      </c>
      <c r="I1321" t="s">
        <v>36</v>
      </c>
      <c r="J1321" t="s">
        <v>131</v>
      </c>
      <c r="K1321" t="s">
        <v>100</v>
      </c>
      <c r="L1321" t="s">
        <v>39</v>
      </c>
      <c r="M1321" t="s">
        <v>90</v>
      </c>
      <c r="N1321" t="s">
        <v>91</v>
      </c>
      <c r="O1321" s="3">
        <v>225000</v>
      </c>
      <c r="P1321" s="4">
        <v>40</v>
      </c>
      <c r="Q1321" s="2">
        <v>46106</v>
      </c>
      <c r="R1321" s="2">
        <v>46241</v>
      </c>
      <c r="S1321" s="2">
        <v>46054</v>
      </c>
      <c r="T1321" s="2"/>
      <c r="U1321" t="str">
        <f t="shared" si="140"/>
        <v>No</v>
      </c>
      <c r="W13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1" t="str">
        <f t="shared" ca="1" si="141"/>
        <v>Due/Open</v>
      </c>
      <c r="Y1321" t="str">
        <f t="shared" si="142"/>
        <v>Open</v>
      </c>
      <c r="Z1321" t="str">
        <f t="shared" si="143"/>
        <v>Jan-2026</v>
      </c>
      <c r="AA1321" t="str">
        <f t="shared" si="144"/>
        <v>Q1 2026</v>
      </c>
      <c r="AB1321" s="4">
        <f t="shared" ca="1" si="145"/>
        <v>167</v>
      </c>
      <c r="AC1321" t="str">
        <f t="shared" si="146"/>
        <v>Medium</v>
      </c>
    </row>
    <row r="1322" spans="1:29">
      <c r="A1322" t="s">
        <v>4765</v>
      </c>
      <c r="B1322" s="2">
        <v>45899</v>
      </c>
      <c r="C1322" t="s">
        <v>175</v>
      </c>
      <c r="D1322" t="s">
        <v>176</v>
      </c>
      <c r="E1322" t="s">
        <v>177</v>
      </c>
      <c r="F1322" t="s">
        <v>4766</v>
      </c>
      <c r="G1322" t="s">
        <v>47</v>
      </c>
      <c r="H1322" t="s">
        <v>493</v>
      </c>
      <c r="I1322" t="s">
        <v>141</v>
      </c>
      <c r="J1322" t="s">
        <v>131</v>
      </c>
      <c r="K1322" t="s">
        <v>100</v>
      </c>
      <c r="L1322" t="s">
        <v>142</v>
      </c>
      <c r="M1322" t="s">
        <v>40</v>
      </c>
      <c r="N1322" t="s">
        <v>41</v>
      </c>
      <c r="O1322" s="3">
        <v>375000</v>
      </c>
      <c r="P1322" s="4">
        <v>100</v>
      </c>
      <c r="Q1322" s="2">
        <v>45928</v>
      </c>
      <c r="R1322" s="2"/>
      <c r="S1322" s="2">
        <v>45903</v>
      </c>
      <c r="T1322" s="2">
        <v>45928</v>
      </c>
      <c r="U1322" t="str">
        <f t="shared" si="140"/>
        <v>Yes</v>
      </c>
      <c r="W13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1322" t="str">
        <f t="shared" ca="1" si="141"/>
        <v>Closed</v>
      </c>
      <c r="Y1322" t="str">
        <f t="shared" si="142"/>
        <v>Closed</v>
      </c>
      <c r="Z1322" t="str">
        <f t="shared" si="143"/>
        <v>Aug-2025</v>
      </c>
      <c r="AA1322" t="str">
        <f t="shared" si="144"/>
        <v>Q3 2025</v>
      </c>
      <c r="AB1322" s="4">
        <f t="shared" ca="1" si="145"/>
        <v>300</v>
      </c>
      <c r="AC1322" t="str">
        <f t="shared" si="146"/>
        <v>High</v>
      </c>
    </row>
    <row r="1323" spans="1:29">
      <c r="A1323" t="s">
        <v>4767</v>
      </c>
      <c r="B1323" s="2">
        <v>45721</v>
      </c>
      <c r="C1323" t="s">
        <v>2693</v>
      </c>
      <c r="D1323" t="s">
        <v>1132</v>
      </c>
      <c r="E1323" t="s">
        <v>4768</v>
      </c>
      <c r="F1323" t="s">
        <v>4769</v>
      </c>
      <c r="G1323" t="s">
        <v>69</v>
      </c>
      <c r="H1323" t="s">
        <v>70</v>
      </c>
      <c r="I1323" t="s">
        <v>61</v>
      </c>
      <c r="J1323" t="s">
        <v>62</v>
      </c>
      <c r="K1323" t="s">
        <v>51</v>
      </c>
      <c r="L1323" t="s">
        <v>39</v>
      </c>
      <c r="M1323" t="s">
        <v>82</v>
      </c>
      <c r="N1323" t="s">
        <v>83</v>
      </c>
      <c r="O1323" s="3">
        <v>200000</v>
      </c>
      <c r="P1323" s="4">
        <v>5</v>
      </c>
      <c r="Q1323" s="2">
        <v>45768</v>
      </c>
      <c r="R1323" s="2">
        <v>46179</v>
      </c>
      <c r="S1323" s="2">
        <v>45736</v>
      </c>
      <c r="T1323" s="2"/>
      <c r="U1323" t="str">
        <f t="shared" si="140"/>
        <v>No</v>
      </c>
      <c r="W13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3" t="str">
        <f t="shared" ca="1" si="141"/>
        <v>Overdue</v>
      </c>
      <c r="Y1323" t="str">
        <f t="shared" si="142"/>
        <v>Open</v>
      </c>
      <c r="Z1323" t="str">
        <f t="shared" si="143"/>
        <v>Mar-2025</v>
      </c>
      <c r="AA1323" t="str">
        <f t="shared" si="144"/>
        <v>Q1 2025</v>
      </c>
      <c r="AB1323" s="4">
        <f t="shared" ca="1" si="145"/>
        <v>478</v>
      </c>
      <c r="AC1323" t="str">
        <f t="shared" si="146"/>
        <v>Medium</v>
      </c>
    </row>
    <row r="1324" spans="1:29">
      <c r="A1324" t="s">
        <v>4770</v>
      </c>
      <c r="B1324" s="2">
        <v>46151</v>
      </c>
      <c r="C1324" t="s">
        <v>1658</v>
      </c>
      <c r="D1324" t="s">
        <v>1937</v>
      </c>
      <c r="E1324" t="s">
        <v>4771</v>
      </c>
      <c r="F1324" t="s">
        <v>4772</v>
      </c>
      <c r="G1324" t="s">
        <v>34</v>
      </c>
      <c r="H1324" t="s">
        <v>238</v>
      </c>
      <c r="I1324" t="s">
        <v>141</v>
      </c>
      <c r="J1324" t="s">
        <v>50</v>
      </c>
      <c r="K1324" t="s">
        <v>51</v>
      </c>
      <c r="L1324" t="s">
        <v>115</v>
      </c>
      <c r="M1324" t="s">
        <v>116</v>
      </c>
      <c r="N1324" t="s">
        <v>54</v>
      </c>
      <c r="O1324" s="3">
        <v>210000</v>
      </c>
      <c r="P1324" s="4">
        <v>20</v>
      </c>
      <c r="Q1324" s="2">
        <v>46245</v>
      </c>
      <c r="R1324" s="2">
        <v>46163</v>
      </c>
      <c r="S1324" s="2">
        <v>46170</v>
      </c>
      <c r="T1324" s="2"/>
      <c r="U1324" t="str">
        <f t="shared" si="140"/>
        <v>No</v>
      </c>
      <c r="W13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4" t="str">
        <f t="shared" ca="1" si="141"/>
        <v>Overdue</v>
      </c>
      <c r="Y1324" t="str">
        <f t="shared" si="142"/>
        <v>Open</v>
      </c>
      <c r="Z1324" t="str">
        <f t="shared" si="143"/>
        <v>May-2026</v>
      </c>
      <c r="AA1324" t="str">
        <f t="shared" si="144"/>
        <v>Q2 2026</v>
      </c>
      <c r="AB1324" s="4">
        <f t="shared" ca="1" si="145"/>
        <v>48</v>
      </c>
      <c r="AC1324" t="str">
        <f t="shared" si="146"/>
        <v>Medium</v>
      </c>
    </row>
    <row r="1325" spans="1:29">
      <c r="A1325" t="s">
        <v>4773</v>
      </c>
      <c r="B1325" s="2">
        <v>45964</v>
      </c>
      <c r="C1325" t="s">
        <v>503</v>
      </c>
      <c r="D1325" t="s">
        <v>565</v>
      </c>
      <c r="E1325" t="s">
        <v>4774</v>
      </c>
      <c r="F1325" t="s">
        <v>4775</v>
      </c>
      <c r="G1325" t="s">
        <v>47</v>
      </c>
      <c r="H1325" t="s">
        <v>122</v>
      </c>
      <c r="I1325" t="s">
        <v>141</v>
      </c>
      <c r="J1325" t="s">
        <v>99</v>
      </c>
      <c r="K1325" t="s">
        <v>194</v>
      </c>
      <c r="L1325" t="s">
        <v>107</v>
      </c>
      <c r="M1325" t="s">
        <v>82</v>
      </c>
      <c r="N1325" t="s">
        <v>83</v>
      </c>
      <c r="O1325" s="3">
        <v>560000</v>
      </c>
      <c r="P1325" s="4">
        <v>5</v>
      </c>
      <c r="Q1325" s="2">
        <v>46017</v>
      </c>
      <c r="R1325" s="2">
        <v>46165</v>
      </c>
      <c r="S1325" s="2">
        <v>45973</v>
      </c>
      <c r="T1325" s="2"/>
      <c r="U1325" t="str">
        <f t="shared" si="140"/>
        <v>No</v>
      </c>
      <c r="W13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5" t="str">
        <f t="shared" ca="1" si="141"/>
        <v>Overdue</v>
      </c>
      <c r="Y1325" t="str">
        <f t="shared" si="142"/>
        <v>Open</v>
      </c>
      <c r="Z1325" t="str">
        <f t="shared" si="143"/>
        <v>Nov-2025</v>
      </c>
      <c r="AA1325" t="str">
        <f t="shared" si="144"/>
        <v>Q4 2025</v>
      </c>
      <c r="AB1325" s="4">
        <f t="shared" ca="1" si="145"/>
        <v>235</v>
      </c>
      <c r="AC1325" t="str">
        <f t="shared" si="146"/>
        <v>High</v>
      </c>
    </row>
    <row r="1326" spans="1:29">
      <c r="A1326" t="s">
        <v>4776</v>
      </c>
      <c r="B1326" s="2">
        <v>45940</v>
      </c>
      <c r="C1326" t="s">
        <v>1370</v>
      </c>
      <c r="D1326" t="s">
        <v>322</v>
      </c>
      <c r="E1326" t="s">
        <v>4777</v>
      </c>
      <c r="F1326" t="s">
        <v>4778</v>
      </c>
      <c r="G1326" t="s">
        <v>34</v>
      </c>
      <c r="H1326" t="s">
        <v>160</v>
      </c>
      <c r="I1326" t="s">
        <v>98</v>
      </c>
      <c r="J1326" t="s">
        <v>124</v>
      </c>
      <c r="K1326" t="s">
        <v>38</v>
      </c>
      <c r="L1326" t="s">
        <v>239</v>
      </c>
      <c r="M1326" t="s">
        <v>133</v>
      </c>
      <c r="N1326" t="s">
        <v>134</v>
      </c>
      <c r="O1326" s="3">
        <v>190000</v>
      </c>
      <c r="P1326" s="4">
        <v>0</v>
      </c>
      <c r="Q1326" s="2">
        <v>45949</v>
      </c>
      <c r="R1326" s="2"/>
      <c r="S1326" s="2">
        <v>45959</v>
      </c>
      <c r="T1326" s="2">
        <v>45949</v>
      </c>
      <c r="U1326" t="str">
        <f t="shared" si="140"/>
        <v>No</v>
      </c>
      <c r="V1326" t="s">
        <v>1105</v>
      </c>
      <c r="W132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9</v>
      </c>
      <c r="X1326" t="str">
        <f t="shared" ca="1" si="141"/>
        <v>Closed</v>
      </c>
      <c r="Y1326" t="str">
        <f t="shared" si="142"/>
        <v>Closed</v>
      </c>
      <c r="Z1326" t="str">
        <f t="shared" si="143"/>
        <v>Oct-2025</v>
      </c>
      <c r="AA1326" t="str">
        <f t="shared" si="144"/>
        <v>Q4 2025</v>
      </c>
      <c r="AB1326" s="4">
        <f t="shared" ca="1" si="145"/>
        <v>259</v>
      </c>
      <c r="AC1326" t="str">
        <f t="shared" si="146"/>
        <v>Medium</v>
      </c>
    </row>
    <row r="1327" spans="1:29">
      <c r="A1327" t="s">
        <v>4779</v>
      </c>
      <c r="B1327" s="2">
        <v>45788</v>
      </c>
      <c r="C1327" t="s">
        <v>427</v>
      </c>
      <c r="D1327" t="s">
        <v>1132</v>
      </c>
      <c r="E1327" t="s">
        <v>4780</v>
      </c>
      <c r="F1327" t="s">
        <v>4781</v>
      </c>
      <c r="G1327" t="s">
        <v>179</v>
      </c>
      <c r="H1327" t="s">
        <v>318</v>
      </c>
      <c r="I1327" t="s">
        <v>187</v>
      </c>
      <c r="J1327" t="s">
        <v>131</v>
      </c>
      <c r="K1327" t="s">
        <v>194</v>
      </c>
      <c r="L1327" t="s">
        <v>239</v>
      </c>
      <c r="M1327" t="s">
        <v>90</v>
      </c>
      <c r="N1327" t="s">
        <v>91</v>
      </c>
      <c r="O1327" s="3">
        <v>160000</v>
      </c>
      <c r="P1327" s="4">
        <v>55</v>
      </c>
      <c r="Q1327" s="2">
        <v>45843</v>
      </c>
      <c r="R1327" s="2">
        <v>46230</v>
      </c>
      <c r="S1327" s="2">
        <v>45818</v>
      </c>
      <c r="T1327" s="2"/>
      <c r="U1327" t="str">
        <f t="shared" si="140"/>
        <v>No</v>
      </c>
      <c r="W13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7" t="str">
        <f t="shared" ca="1" si="141"/>
        <v>Due/Open</v>
      </c>
      <c r="Y1327" t="str">
        <f t="shared" si="142"/>
        <v>Open</v>
      </c>
      <c r="Z1327" t="str">
        <f t="shared" si="143"/>
        <v>May-2025</v>
      </c>
      <c r="AA1327" t="str">
        <f t="shared" si="144"/>
        <v>Q2 2025</v>
      </c>
      <c r="AB1327" s="4">
        <f t="shared" ca="1" si="145"/>
        <v>411</v>
      </c>
      <c r="AC1327" t="str">
        <f t="shared" si="146"/>
        <v>Medium</v>
      </c>
    </row>
    <row r="1328" spans="1:29">
      <c r="A1328" t="s">
        <v>4782</v>
      </c>
      <c r="B1328" s="2">
        <v>45880</v>
      </c>
      <c r="C1328" t="s">
        <v>1147</v>
      </c>
      <c r="D1328" t="s">
        <v>909</v>
      </c>
      <c r="E1328" t="s">
        <v>4783</v>
      </c>
      <c r="F1328" t="s">
        <v>4784</v>
      </c>
      <c r="G1328" t="s">
        <v>69</v>
      </c>
      <c r="H1328" t="s">
        <v>285</v>
      </c>
      <c r="I1328" t="s">
        <v>148</v>
      </c>
      <c r="J1328" t="s">
        <v>131</v>
      </c>
      <c r="K1328" t="s">
        <v>194</v>
      </c>
      <c r="L1328" t="s">
        <v>72</v>
      </c>
      <c r="M1328" t="s">
        <v>166</v>
      </c>
      <c r="N1328" t="s">
        <v>167</v>
      </c>
      <c r="O1328" s="3">
        <v>105000</v>
      </c>
      <c r="P1328" s="4">
        <v>70</v>
      </c>
      <c r="Q1328" s="2">
        <v>45913</v>
      </c>
      <c r="R1328" s="2">
        <v>46202</v>
      </c>
      <c r="S1328" s="2">
        <v>45907</v>
      </c>
      <c r="T1328" s="2"/>
      <c r="U1328" t="str">
        <f t="shared" si="140"/>
        <v>No</v>
      </c>
      <c r="W13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8" t="str">
        <f t="shared" ca="1" si="141"/>
        <v>Due/Open</v>
      </c>
      <c r="Y1328" t="str">
        <f t="shared" si="142"/>
        <v>Open</v>
      </c>
      <c r="Z1328" t="str">
        <f t="shared" si="143"/>
        <v>Aug-2025</v>
      </c>
      <c r="AA1328" t="str">
        <f t="shared" si="144"/>
        <v>Q3 2025</v>
      </c>
      <c r="AB1328" s="4">
        <f t="shared" ca="1" si="145"/>
        <v>319</v>
      </c>
      <c r="AC1328" t="str">
        <f t="shared" si="146"/>
        <v>Low</v>
      </c>
    </row>
    <row r="1329" spans="1:29">
      <c r="A1329" t="s">
        <v>4785</v>
      </c>
      <c r="B1329" s="2">
        <v>46097</v>
      </c>
      <c r="C1329" t="s">
        <v>1564</v>
      </c>
      <c r="D1329" t="s">
        <v>1043</v>
      </c>
      <c r="E1329" t="s">
        <v>4786</v>
      </c>
      <c r="F1329" t="s">
        <v>4787</v>
      </c>
      <c r="G1329" t="s">
        <v>69</v>
      </c>
      <c r="H1329" t="s">
        <v>70</v>
      </c>
      <c r="I1329" t="s">
        <v>36</v>
      </c>
      <c r="J1329" t="s">
        <v>37</v>
      </c>
      <c r="K1329" t="s">
        <v>100</v>
      </c>
      <c r="L1329" t="s">
        <v>81</v>
      </c>
      <c r="M1329" t="s">
        <v>90</v>
      </c>
      <c r="N1329" t="s">
        <v>91</v>
      </c>
      <c r="O1329" s="3">
        <v>115000</v>
      </c>
      <c r="P1329" s="4">
        <v>55</v>
      </c>
      <c r="Q1329" s="2">
        <v>46172</v>
      </c>
      <c r="R1329" s="2">
        <v>46202</v>
      </c>
      <c r="S1329" s="2">
        <v>46101</v>
      </c>
      <c r="T1329" s="2"/>
      <c r="U1329" t="str">
        <f t="shared" si="140"/>
        <v>No</v>
      </c>
      <c r="W13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29" t="str">
        <f t="shared" ca="1" si="141"/>
        <v>Due/Open</v>
      </c>
      <c r="Y1329" t="str">
        <f t="shared" si="142"/>
        <v>Open</v>
      </c>
      <c r="Z1329" t="str">
        <f t="shared" si="143"/>
        <v>Mar-2026</v>
      </c>
      <c r="AA1329" t="str">
        <f t="shared" si="144"/>
        <v>Q1 2026</v>
      </c>
      <c r="AB1329" s="4">
        <f t="shared" ca="1" si="145"/>
        <v>102</v>
      </c>
      <c r="AC1329" t="str">
        <f t="shared" si="146"/>
        <v>Low</v>
      </c>
    </row>
    <row r="1330" spans="1:29">
      <c r="A1330" t="s">
        <v>4788</v>
      </c>
      <c r="B1330" s="2">
        <v>46120</v>
      </c>
      <c r="C1330" t="s">
        <v>3236</v>
      </c>
      <c r="D1330" t="s">
        <v>986</v>
      </c>
      <c r="E1330" t="s">
        <v>4789</v>
      </c>
      <c r="F1330" t="s">
        <v>4790</v>
      </c>
      <c r="G1330" t="s">
        <v>179</v>
      </c>
      <c r="H1330" t="s">
        <v>487</v>
      </c>
      <c r="I1330" t="s">
        <v>141</v>
      </c>
      <c r="J1330" t="s">
        <v>37</v>
      </c>
      <c r="K1330" t="s">
        <v>51</v>
      </c>
      <c r="L1330" t="s">
        <v>39</v>
      </c>
      <c r="M1330" t="s">
        <v>82</v>
      </c>
      <c r="N1330" t="s">
        <v>83</v>
      </c>
      <c r="O1330" s="3">
        <v>160000</v>
      </c>
      <c r="P1330" s="4">
        <v>10</v>
      </c>
      <c r="Q1330" s="2">
        <v>46142</v>
      </c>
      <c r="R1330" s="2">
        <v>46232</v>
      </c>
      <c r="S1330" s="2">
        <v>46126</v>
      </c>
      <c r="T1330" s="2"/>
      <c r="U1330" t="str">
        <f t="shared" si="140"/>
        <v>No</v>
      </c>
      <c r="W13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0" t="str">
        <f t="shared" ca="1" si="141"/>
        <v>Due/Open</v>
      </c>
      <c r="Y1330" t="str">
        <f t="shared" si="142"/>
        <v>Open</v>
      </c>
      <c r="Z1330" t="str">
        <f t="shared" si="143"/>
        <v>Apr-2026</v>
      </c>
      <c r="AA1330" t="str">
        <f t="shared" si="144"/>
        <v>Q2 2026</v>
      </c>
      <c r="AB1330" s="4">
        <f t="shared" ca="1" si="145"/>
        <v>79</v>
      </c>
      <c r="AC1330" t="str">
        <f t="shared" si="146"/>
        <v>Medium</v>
      </c>
    </row>
    <row r="1331" spans="1:29">
      <c r="A1331" t="s">
        <v>4791</v>
      </c>
      <c r="B1331" s="2">
        <v>45746</v>
      </c>
      <c r="C1331" t="s">
        <v>303</v>
      </c>
      <c r="D1331" t="s">
        <v>627</v>
      </c>
      <c r="E1331" t="s">
        <v>4792</v>
      </c>
      <c r="F1331" t="s">
        <v>4793</v>
      </c>
      <c r="G1331" t="s">
        <v>179</v>
      </c>
      <c r="H1331" t="s">
        <v>296</v>
      </c>
      <c r="I1331" t="s">
        <v>49</v>
      </c>
      <c r="J1331" t="s">
        <v>50</v>
      </c>
      <c r="K1331" t="s">
        <v>100</v>
      </c>
      <c r="L1331" t="s">
        <v>239</v>
      </c>
      <c r="M1331" t="s">
        <v>82</v>
      </c>
      <c r="N1331" t="s">
        <v>83</v>
      </c>
      <c r="O1331" s="3">
        <v>530000</v>
      </c>
      <c r="P1331" s="4">
        <v>5</v>
      </c>
      <c r="Q1331" s="2">
        <v>45840</v>
      </c>
      <c r="R1331" s="2">
        <v>46170</v>
      </c>
      <c r="S1331" s="2">
        <v>45753</v>
      </c>
      <c r="T1331" s="2"/>
      <c r="U1331" t="str">
        <f t="shared" si="140"/>
        <v>No</v>
      </c>
      <c r="W13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1" t="str">
        <f t="shared" ca="1" si="141"/>
        <v>Overdue</v>
      </c>
      <c r="Y1331" t="str">
        <f t="shared" si="142"/>
        <v>Open</v>
      </c>
      <c r="Z1331" t="str">
        <f t="shared" si="143"/>
        <v>Mar-2025</v>
      </c>
      <c r="AA1331" t="str">
        <f t="shared" si="144"/>
        <v>Q1 2025</v>
      </c>
      <c r="AB1331" s="4">
        <f t="shared" ca="1" si="145"/>
        <v>453</v>
      </c>
      <c r="AC1331" t="str">
        <f t="shared" si="146"/>
        <v>High</v>
      </c>
    </row>
    <row r="1332" spans="1:29">
      <c r="A1332" t="s">
        <v>4794</v>
      </c>
      <c r="B1332" s="2">
        <v>45679</v>
      </c>
      <c r="C1332" t="s">
        <v>1644</v>
      </c>
      <c r="D1332" t="s">
        <v>1081</v>
      </c>
      <c r="E1332" t="s">
        <v>4795</v>
      </c>
      <c r="F1332" t="s">
        <v>4796</v>
      </c>
      <c r="G1332" t="s">
        <v>179</v>
      </c>
      <c r="H1332" t="s">
        <v>436</v>
      </c>
      <c r="I1332" t="s">
        <v>36</v>
      </c>
      <c r="J1332" t="s">
        <v>37</v>
      </c>
      <c r="K1332" t="s">
        <v>100</v>
      </c>
      <c r="L1332" t="s">
        <v>115</v>
      </c>
      <c r="M1332" t="s">
        <v>82</v>
      </c>
      <c r="N1332" t="s">
        <v>83</v>
      </c>
      <c r="O1332" s="3">
        <v>100000</v>
      </c>
      <c r="P1332" s="4">
        <v>10</v>
      </c>
      <c r="Q1332" s="2">
        <v>45770</v>
      </c>
      <c r="R1332" s="2">
        <v>46222</v>
      </c>
      <c r="S1332" s="2">
        <v>45689</v>
      </c>
      <c r="T1332" s="2"/>
      <c r="U1332" t="str">
        <f t="shared" si="140"/>
        <v>No</v>
      </c>
      <c r="W13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2" t="str">
        <f t="shared" ca="1" si="141"/>
        <v>Due/Open</v>
      </c>
      <c r="Y1332" t="str">
        <f t="shared" si="142"/>
        <v>Open</v>
      </c>
      <c r="Z1332" t="str">
        <f t="shared" si="143"/>
        <v>Jan-2025</v>
      </c>
      <c r="AA1332" t="str">
        <f t="shared" si="144"/>
        <v>Q1 2025</v>
      </c>
      <c r="AB1332" s="4">
        <f t="shared" ca="1" si="145"/>
        <v>520</v>
      </c>
      <c r="AC1332" t="str">
        <f t="shared" si="146"/>
        <v>Low</v>
      </c>
    </row>
    <row r="1333" spans="1:29">
      <c r="A1333" t="s">
        <v>4797</v>
      </c>
      <c r="B1333" s="2">
        <v>45682</v>
      </c>
      <c r="C1333" t="s">
        <v>3282</v>
      </c>
      <c r="D1333" t="s">
        <v>1560</v>
      </c>
      <c r="E1333" t="s">
        <v>4798</v>
      </c>
      <c r="F1333" t="s">
        <v>4799</v>
      </c>
      <c r="G1333" t="s">
        <v>47</v>
      </c>
      <c r="H1333" t="s">
        <v>418</v>
      </c>
      <c r="I1333" t="s">
        <v>36</v>
      </c>
      <c r="J1333" t="s">
        <v>99</v>
      </c>
      <c r="K1333" t="s">
        <v>194</v>
      </c>
      <c r="L1333" t="s">
        <v>107</v>
      </c>
      <c r="M1333" t="s">
        <v>82</v>
      </c>
      <c r="N1333" t="s">
        <v>83</v>
      </c>
      <c r="O1333" s="3">
        <v>495000</v>
      </c>
      <c r="P1333" s="4">
        <v>10</v>
      </c>
      <c r="Q1333" s="2">
        <v>45759</v>
      </c>
      <c r="R1333" s="2">
        <v>46243</v>
      </c>
      <c r="S1333" s="2">
        <v>45708</v>
      </c>
      <c r="T1333" s="2"/>
      <c r="U1333" t="str">
        <f t="shared" si="140"/>
        <v>No</v>
      </c>
      <c r="W13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3" t="str">
        <f t="shared" ca="1" si="141"/>
        <v>Due/Open</v>
      </c>
      <c r="Y1333" t="str">
        <f t="shared" si="142"/>
        <v>Open</v>
      </c>
      <c r="Z1333" t="str">
        <f t="shared" si="143"/>
        <v>Jan-2025</v>
      </c>
      <c r="AA1333" t="str">
        <f t="shared" si="144"/>
        <v>Q1 2025</v>
      </c>
      <c r="AB1333" s="4">
        <f t="shared" ca="1" si="145"/>
        <v>517</v>
      </c>
      <c r="AC1333" t="str">
        <f t="shared" si="146"/>
        <v>High</v>
      </c>
    </row>
    <row r="1334" spans="1:29">
      <c r="A1334" t="s">
        <v>4800</v>
      </c>
      <c r="B1334" s="2">
        <v>45716</v>
      </c>
      <c r="C1334" t="s">
        <v>388</v>
      </c>
      <c r="D1334" t="s">
        <v>322</v>
      </c>
      <c r="E1334" t="s">
        <v>4801</v>
      </c>
      <c r="F1334" t="s">
        <v>4802</v>
      </c>
      <c r="G1334" t="s">
        <v>69</v>
      </c>
      <c r="H1334" t="s">
        <v>270</v>
      </c>
      <c r="I1334" t="s">
        <v>98</v>
      </c>
      <c r="J1334" t="s">
        <v>131</v>
      </c>
      <c r="K1334" t="s">
        <v>194</v>
      </c>
      <c r="L1334" t="s">
        <v>107</v>
      </c>
      <c r="M1334" t="s">
        <v>40</v>
      </c>
      <c r="N1334" t="s">
        <v>41</v>
      </c>
      <c r="O1334" s="3">
        <v>225000</v>
      </c>
      <c r="P1334" s="4">
        <v>100</v>
      </c>
      <c r="Q1334" s="2">
        <v>45799</v>
      </c>
      <c r="R1334" s="2"/>
      <c r="S1334" s="2">
        <v>45727</v>
      </c>
      <c r="T1334" s="2">
        <v>45799</v>
      </c>
      <c r="U1334" t="str">
        <f t="shared" si="140"/>
        <v>Yes</v>
      </c>
      <c r="W133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1334" t="str">
        <f t="shared" ca="1" si="141"/>
        <v>Closed</v>
      </c>
      <c r="Y1334" t="str">
        <f t="shared" si="142"/>
        <v>Closed</v>
      </c>
      <c r="Z1334" t="str">
        <f t="shared" si="143"/>
        <v>Feb-2025</v>
      </c>
      <c r="AA1334" t="str">
        <f t="shared" si="144"/>
        <v>Q1 2025</v>
      </c>
      <c r="AB1334" s="4">
        <f t="shared" ca="1" si="145"/>
        <v>483</v>
      </c>
      <c r="AC1334" t="str">
        <f t="shared" si="146"/>
        <v>Medium</v>
      </c>
    </row>
    <row r="1335" spans="1:29">
      <c r="A1335" t="s">
        <v>4803</v>
      </c>
      <c r="B1335" s="2">
        <v>45840</v>
      </c>
      <c r="C1335" t="s">
        <v>1782</v>
      </c>
      <c r="D1335" t="s">
        <v>1683</v>
      </c>
      <c r="E1335" t="s">
        <v>4804</v>
      </c>
      <c r="F1335" t="s">
        <v>4805</v>
      </c>
      <c r="G1335" t="s">
        <v>69</v>
      </c>
      <c r="H1335" t="s">
        <v>70</v>
      </c>
      <c r="I1335" t="s">
        <v>148</v>
      </c>
      <c r="J1335" t="s">
        <v>124</v>
      </c>
      <c r="K1335" t="s">
        <v>71</v>
      </c>
      <c r="L1335" t="s">
        <v>239</v>
      </c>
      <c r="M1335" t="s">
        <v>133</v>
      </c>
      <c r="N1335" t="s">
        <v>134</v>
      </c>
      <c r="O1335" s="3">
        <v>185000</v>
      </c>
      <c r="P1335" s="4">
        <v>0</v>
      </c>
      <c r="Q1335" s="2">
        <v>45913</v>
      </c>
      <c r="R1335" s="2"/>
      <c r="S1335" s="2">
        <v>45848</v>
      </c>
      <c r="T1335" s="2">
        <v>45913</v>
      </c>
      <c r="U1335" t="str">
        <f t="shared" si="140"/>
        <v>No</v>
      </c>
      <c r="V1335" t="s">
        <v>211</v>
      </c>
      <c r="W133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73</v>
      </c>
      <c r="X1335" t="str">
        <f t="shared" ca="1" si="141"/>
        <v>Closed</v>
      </c>
      <c r="Y1335" t="str">
        <f t="shared" si="142"/>
        <v>Closed</v>
      </c>
      <c r="Z1335" t="str">
        <f t="shared" si="143"/>
        <v>Jul-2025</v>
      </c>
      <c r="AA1335" t="str">
        <f t="shared" si="144"/>
        <v>Q3 2025</v>
      </c>
      <c r="AB1335" s="4">
        <f t="shared" ca="1" si="145"/>
        <v>359</v>
      </c>
      <c r="AC1335" t="str">
        <f t="shared" si="146"/>
        <v>Medium</v>
      </c>
    </row>
    <row r="1336" spans="1:29">
      <c r="A1336" t="s">
        <v>4806</v>
      </c>
      <c r="B1336" s="2">
        <v>46104</v>
      </c>
      <c r="C1336" t="s">
        <v>908</v>
      </c>
      <c r="D1336" t="s">
        <v>315</v>
      </c>
      <c r="E1336" t="s">
        <v>4807</v>
      </c>
      <c r="F1336" t="s">
        <v>4808</v>
      </c>
      <c r="G1336" t="s">
        <v>69</v>
      </c>
      <c r="H1336" t="s">
        <v>70</v>
      </c>
      <c r="I1336" t="s">
        <v>141</v>
      </c>
      <c r="J1336" t="s">
        <v>124</v>
      </c>
      <c r="K1336" t="s">
        <v>38</v>
      </c>
      <c r="L1336" t="s">
        <v>142</v>
      </c>
      <c r="M1336" t="s">
        <v>166</v>
      </c>
      <c r="N1336" t="s">
        <v>167</v>
      </c>
      <c r="O1336" s="3">
        <v>160000</v>
      </c>
      <c r="P1336" s="4">
        <v>65</v>
      </c>
      <c r="Q1336" s="2">
        <v>46131</v>
      </c>
      <c r="R1336" s="2">
        <v>46165</v>
      </c>
      <c r="S1336" s="2">
        <v>46112</v>
      </c>
      <c r="T1336" s="2"/>
      <c r="U1336" t="str">
        <f t="shared" si="140"/>
        <v>No</v>
      </c>
      <c r="W13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6" t="str">
        <f t="shared" ca="1" si="141"/>
        <v>Overdue</v>
      </c>
      <c r="Y1336" t="str">
        <f t="shared" si="142"/>
        <v>Open</v>
      </c>
      <c r="Z1336" t="str">
        <f t="shared" si="143"/>
        <v>Mar-2026</v>
      </c>
      <c r="AA1336" t="str">
        <f t="shared" si="144"/>
        <v>Q1 2026</v>
      </c>
      <c r="AB1336" s="4">
        <f t="shared" ca="1" si="145"/>
        <v>95</v>
      </c>
      <c r="AC1336" t="str">
        <f t="shared" si="146"/>
        <v>Medium</v>
      </c>
    </row>
    <row r="1337" spans="1:29">
      <c r="A1337" t="s">
        <v>4809</v>
      </c>
      <c r="B1337" s="2">
        <v>46106</v>
      </c>
      <c r="C1337" t="s">
        <v>1867</v>
      </c>
      <c r="D1337" t="s">
        <v>1269</v>
      </c>
      <c r="E1337" t="s">
        <v>4810</v>
      </c>
      <c r="F1337" t="s">
        <v>4811</v>
      </c>
      <c r="G1337" t="s">
        <v>34</v>
      </c>
      <c r="H1337" t="s">
        <v>173</v>
      </c>
      <c r="I1337" t="s">
        <v>98</v>
      </c>
      <c r="J1337" t="s">
        <v>99</v>
      </c>
      <c r="K1337" t="s">
        <v>51</v>
      </c>
      <c r="L1337" t="s">
        <v>63</v>
      </c>
      <c r="M1337" t="s">
        <v>133</v>
      </c>
      <c r="N1337" t="s">
        <v>134</v>
      </c>
      <c r="O1337" s="3">
        <v>505000</v>
      </c>
      <c r="P1337" s="4">
        <v>0</v>
      </c>
      <c r="Q1337" s="2">
        <v>46125</v>
      </c>
      <c r="R1337" s="2"/>
      <c r="S1337" s="2">
        <v>46135</v>
      </c>
      <c r="T1337" s="2">
        <v>46125</v>
      </c>
      <c r="U1337" t="str">
        <f t="shared" si="140"/>
        <v>No</v>
      </c>
      <c r="V1337" t="s">
        <v>276</v>
      </c>
      <c r="W13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1337" t="str">
        <f t="shared" ca="1" si="141"/>
        <v>Closed</v>
      </c>
      <c r="Y1337" t="str">
        <f t="shared" si="142"/>
        <v>Closed</v>
      </c>
      <c r="Z1337" t="str">
        <f t="shared" si="143"/>
        <v>Mar-2026</v>
      </c>
      <c r="AA1337" t="str">
        <f t="shared" si="144"/>
        <v>Q1 2026</v>
      </c>
      <c r="AB1337" s="4">
        <f t="shared" ca="1" si="145"/>
        <v>93</v>
      </c>
      <c r="AC1337" t="str">
        <f t="shared" si="146"/>
        <v>High</v>
      </c>
    </row>
    <row r="1338" spans="1:29">
      <c r="A1338" t="s">
        <v>4812</v>
      </c>
      <c r="B1338" s="2">
        <v>45899</v>
      </c>
      <c r="C1338" t="s">
        <v>1190</v>
      </c>
      <c r="D1338" t="s">
        <v>784</v>
      </c>
      <c r="E1338" t="s">
        <v>4813</v>
      </c>
      <c r="F1338" t="s">
        <v>4814</v>
      </c>
      <c r="G1338" t="s">
        <v>47</v>
      </c>
      <c r="H1338" t="s">
        <v>48</v>
      </c>
      <c r="I1338" t="s">
        <v>49</v>
      </c>
      <c r="J1338" t="s">
        <v>37</v>
      </c>
      <c r="K1338" t="s">
        <v>194</v>
      </c>
      <c r="L1338" t="s">
        <v>115</v>
      </c>
      <c r="M1338" t="s">
        <v>90</v>
      </c>
      <c r="N1338" t="s">
        <v>91</v>
      </c>
      <c r="O1338" s="3">
        <v>55000</v>
      </c>
      <c r="P1338" s="4">
        <v>55</v>
      </c>
      <c r="Q1338" s="2">
        <v>45976</v>
      </c>
      <c r="R1338" s="2">
        <v>46202</v>
      </c>
      <c r="S1338" s="2">
        <v>45906</v>
      </c>
      <c r="T1338" s="2"/>
      <c r="U1338" t="str">
        <f t="shared" si="140"/>
        <v>No</v>
      </c>
      <c r="W13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8" t="str">
        <f t="shared" ca="1" si="141"/>
        <v>Due/Open</v>
      </c>
      <c r="Y1338" t="str">
        <f t="shared" si="142"/>
        <v>Open</v>
      </c>
      <c r="Z1338" t="str">
        <f t="shared" si="143"/>
        <v>Aug-2025</v>
      </c>
      <c r="AA1338" t="str">
        <f t="shared" si="144"/>
        <v>Q3 2025</v>
      </c>
      <c r="AB1338" s="4">
        <f t="shared" ca="1" si="145"/>
        <v>300</v>
      </c>
      <c r="AC1338" t="str">
        <f t="shared" si="146"/>
        <v>Low</v>
      </c>
    </row>
    <row r="1339" spans="1:29">
      <c r="A1339" t="s">
        <v>4815</v>
      </c>
      <c r="B1339" s="2">
        <v>46131</v>
      </c>
      <c r="C1339" t="s">
        <v>1555</v>
      </c>
      <c r="D1339" t="s">
        <v>697</v>
      </c>
      <c r="E1339" t="s">
        <v>4816</v>
      </c>
      <c r="F1339" t="s">
        <v>4817</v>
      </c>
      <c r="G1339" t="s">
        <v>69</v>
      </c>
      <c r="H1339" t="s">
        <v>200</v>
      </c>
      <c r="I1339" t="s">
        <v>123</v>
      </c>
      <c r="J1339" t="s">
        <v>124</v>
      </c>
      <c r="K1339" t="s">
        <v>114</v>
      </c>
      <c r="L1339" t="s">
        <v>132</v>
      </c>
      <c r="M1339" t="s">
        <v>116</v>
      </c>
      <c r="N1339" t="s">
        <v>54</v>
      </c>
      <c r="O1339" s="3">
        <v>240000</v>
      </c>
      <c r="P1339" s="4">
        <v>20</v>
      </c>
      <c r="Q1339" s="2">
        <v>46169</v>
      </c>
      <c r="R1339" s="2">
        <v>46200</v>
      </c>
      <c r="S1339" s="2">
        <v>46160</v>
      </c>
      <c r="T1339" s="2"/>
      <c r="U1339" t="str">
        <f t="shared" si="140"/>
        <v>No</v>
      </c>
      <c r="W13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39" t="str">
        <f t="shared" ca="1" si="141"/>
        <v>Due/Open</v>
      </c>
      <c r="Y1339" t="str">
        <f t="shared" si="142"/>
        <v>Open</v>
      </c>
      <c r="Z1339" t="str">
        <f t="shared" si="143"/>
        <v>Apr-2026</v>
      </c>
      <c r="AA1339" t="str">
        <f t="shared" si="144"/>
        <v>Q2 2026</v>
      </c>
      <c r="AB1339" s="4">
        <f t="shared" ca="1" si="145"/>
        <v>68</v>
      </c>
      <c r="AC1339" t="str">
        <f t="shared" si="146"/>
        <v>Medium</v>
      </c>
    </row>
    <row r="1340" spans="1:29">
      <c r="A1340" t="s">
        <v>4818</v>
      </c>
      <c r="B1340" s="2">
        <v>45891</v>
      </c>
      <c r="C1340" t="s">
        <v>3933</v>
      </c>
      <c r="D1340" t="s">
        <v>299</v>
      </c>
      <c r="E1340" t="s">
        <v>4819</v>
      </c>
      <c r="F1340" t="s">
        <v>4820</v>
      </c>
      <c r="G1340" t="s">
        <v>47</v>
      </c>
      <c r="H1340" t="s">
        <v>122</v>
      </c>
      <c r="I1340" t="s">
        <v>141</v>
      </c>
      <c r="J1340" t="s">
        <v>99</v>
      </c>
      <c r="K1340" t="s">
        <v>71</v>
      </c>
      <c r="L1340" t="s">
        <v>63</v>
      </c>
      <c r="M1340" t="s">
        <v>53</v>
      </c>
      <c r="N1340" t="s">
        <v>54</v>
      </c>
      <c r="O1340" s="3">
        <v>535000</v>
      </c>
      <c r="P1340" s="4">
        <v>35</v>
      </c>
      <c r="Q1340" s="2">
        <v>45968</v>
      </c>
      <c r="R1340" s="2">
        <v>46243</v>
      </c>
      <c r="S1340" s="2">
        <v>45892</v>
      </c>
      <c r="T1340" s="2"/>
      <c r="U1340" t="str">
        <f t="shared" si="140"/>
        <v>No</v>
      </c>
      <c r="W13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0" t="str">
        <f t="shared" ca="1" si="141"/>
        <v>Due/Open</v>
      </c>
      <c r="Y1340" t="str">
        <f t="shared" si="142"/>
        <v>Open</v>
      </c>
      <c r="Z1340" t="str">
        <f t="shared" si="143"/>
        <v>Aug-2025</v>
      </c>
      <c r="AA1340" t="str">
        <f t="shared" si="144"/>
        <v>Q3 2025</v>
      </c>
      <c r="AB1340" s="4">
        <f t="shared" ca="1" si="145"/>
        <v>308</v>
      </c>
      <c r="AC1340" t="str">
        <f t="shared" si="146"/>
        <v>High</v>
      </c>
    </row>
    <row r="1341" spans="1:29">
      <c r="A1341" t="s">
        <v>4821</v>
      </c>
      <c r="B1341" s="2">
        <v>45709</v>
      </c>
      <c r="C1341" t="s">
        <v>4822</v>
      </c>
      <c r="D1341" t="s">
        <v>490</v>
      </c>
      <c r="E1341" t="s">
        <v>4823</v>
      </c>
      <c r="F1341" t="s">
        <v>4824</v>
      </c>
      <c r="G1341" t="s">
        <v>79</v>
      </c>
      <c r="H1341" t="s">
        <v>228</v>
      </c>
      <c r="I1341" t="s">
        <v>49</v>
      </c>
      <c r="J1341" t="s">
        <v>124</v>
      </c>
      <c r="K1341" t="s">
        <v>194</v>
      </c>
      <c r="L1341" t="s">
        <v>154</v>
      </c>
      <c r="M1341" t="s">
        <v>40</v>
      </c>
      <c r="N1341" t="s">
        <v>41</v>
      </c>
      <c r="O1341" s="3">
        <v>205000</v>
      </c>
      <c r="P1341" s="4">
        <v>100</v>
      </c>
      <c r="Q1341" s="2">
        <v>45753</v>
      </c>
      <c r="R1341" s="2"/>
      <c r="S1341" s="2">
        <v>45713</v>
      </c>
      <c r="T1341" s="2">
        <v>45753</v>
      </c>
      <c r="U1341" t="str">
        <f t="shared" si="140"/>
        <v>Yes</v>
      </c>
      <c r="W13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44</v>
      </c>
      <c r="X1341" t="str">
        <f t="shared" ca="1" si="141"/>
        <v>Closed</v>
      </c>
      <c r="Y1341" t="str">
        <f t="shared" si="142"/>
        <v>Closed</v>
      </c>
      <c r="Z1341" t="str">
        <f t="shared" si="143"/>
        <v>Feb-2025</v>
      </c>
      <c r="AA1341" t="str">
        <f t="shared" si="144"/>
        <v>Q1 2025</v>
      </c>
      <c r="AB1341" s="4">
        <f t="shared" ca="1" si="145"/>
        <v>490</v>
      </c>
      <c r="AC1341" t="str">
        <f t="shared" si="146"/>
        <v>Medium</v>
      </c>
    </row>
    <row r="1342" spans="1:29">
      <c r="A1342" t="s">
        <v>4825</v>
      </c>
      <c r="B1342" s="2">
        <v>45792</v>
      </c>
      <c r="C1342" t="s">
        <v>3347</v>
      </c>
      <c r="D1342" t="s">
        <v>895</v>
      </c>
      <c r="E1342" t="s">
        <v>4826</v>
      </c>
      <c r="F1342" t="s">
        <v>4827</v>
      </c>
      <c r="G1342" t="s">
        <v>179</v>
      </c>
      <c r="H1342" t="s">
        <v>186</v>
      </c>
      <c r="I1342" t="s">
        <v>141</v>
      </c>
      <c r="J1342" t="s">
        <v>131</v>
      </c>
      <c r="K1342" t="s">
        <v>51</v>
      </c>
      <c r="L1342" t="s">
        <v>81</v>
      </c>
      <c r="M1342" t="s">
        <v>116</v>
      </c>
      <c r="N1342" t="s">
        <v>54</v>
      </c>
      <c r="O1342" s="3">
        <v>155000</v>
      </c>
      <c r="P1342" s="4">
        <v>20</v>
      </c>
      <c r="Q1342" s="2">
        <v>45818</v>
      </c>
      <c r="R1342" s="2">
        <v>46153</v>
      </c>
      <c r="S1342" s="2">
        <v>45803</v>
      </c>
      <c r="T1342" s="2"/>
      <c r="U1342" t="str">
        <f t="shared" si="140"/>
        <v>No</v>
      </c>
      <c r="W13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2" t="str">
        <f t="shared" ca="1" si="141"/>
        <v>Overdue</v>
      </c>
      <c r="Y1342" t="str">
        <f t="shared" si="142"/>
        <v>Open</v>
      </c>
      <c r="Z1342" t="str">
        <f t="shared" si="143"/>
        <v>May-2025</v>
      </c>
      <c r="AA1342" t="str">
        <f t="shared" si="144"/>
        <v>Q2 2025</v>
      </c>
      <c r="AB1342" s="4">
        <f t="shared" ca="1" si="145"/>
        <v>407</v>
      </c>
      <c r="AC1342" t="str">
        <f t="shared" si="146"/>
        <v>Medium</v>
      </c>
    </row>
    <row r="1343" spans="1:29">
      <c r="A1343" t="s">
        <v>4828</v>
      </c>
      <c r="B1343" s="2">
        <v>45808</v>
      </c>
      <c r="C1343" t="s">
        <v>847</v>
      </c>
      <c r="D1343" t="s">
        <v>1178</v>
      </c>
      <c r="E1343" t="s">
        <v>4829</v>
      </c>
      <c r="F1343" t="s">
        <v>4830</v>
      </c>
      <c r="G1343" t="s">
        <v>34</v>
      </c>
      <c r="H1343" t="s">
        <v>446</v>
      </c>
      <c r="I1343" t="s">
        <v>187</v>
      </c>
      <c r="J1343" t="s">
        <v>99</v>
      </c>
      <c r="K1343" t="s">
        <v>71</v>
      </c>
      <c r="L1343" t="s">
        <v>72</v>
      </c>
      <c r="M1343" t="s">
        <v>53</v>
      </c>
      <c r="N1343" t="s">
        <v>54</v>
      </c>
      <c r="O1343" s="3">
        <v>415000</v>
      </c>
      <c r="P1343" s="4">
        <v>30</v>
      </c>
      <c r="Q1343" s="2">
        <v>45880</v>
      </c>
      <c r="R1343" s="2">
        <v>46222</v>
      </c>
      <c r="S1343" s="2">
        <v>45829</v>
      </c>
      <c r="T1343" s="2"/>
      <c r="U1343" t="str">
        <f t="shared" si="140"/>
        <v>No</v>
      </c>
      <c r="W13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3" t="str">
        <f t="shared" ca="1" si="141"/>
        <v>Due/Open</v>
      </c>
      <c r="Y1343" t="str">
        <f t="shared" si="142"/>
        <v>Open</v>
      </c>
      <c r="Z1343" t="str">
        <f t="shared" si="143"/>
        <v>May-2025</v>
      </c>
      <c r="AA1343" t="str">
        <f t="shared" si="144"/>
        <v>Q2 2025</v>
      </c>
      <c r="AB1343" s="4">
        <f t="shared" ca="1" si="145"/>
        <v>391</v>
      </c>
      <c r="AC1343" t="str">
        <f t="shared" si="146"/>
        <v>High</v>
      </c>
    </row>
    <row r="1344" spans="1:29">
      <c r="A1344" t="s">
        <v>4831</v>
      </c>
      <c r="B1344" s="2">
        <v>45775</v>
      </c>
      <c r="C1344" t="s">
        <v>1941</v>
      </c>
      <c r="D1344" t="s">
        <v>322</v>
      </c>
      <c r="E1344" t="s">
        <v>4832</v>
      </c>
      <c r="F1344" t="s">
        <v>4833</v>
      </c>
      <c r="G1344" t="s">
        <v>69</v>
      </c>
      <c r="H1344" t="s">
        <v>200</v>
      </c>
      <c r="I1344" t="s">
        <v>36</v>
      </c>
      <c r="J1344" t="s">
        <v>50</v>
      </c>
      <c r="K1344" t="s">
        <v>71</v>
      </c>
      <c r="L1344" t="s">
        <v>154</v>
      </c>
      <c r="M1344" t="s">
        <v>82</v>
      </c>
      <c r="N1344" t="s">
        <v>83</v>
      </c>
      <c r="O1344" s="3">
        <v>220000</v>
      </c>
      <c r="P1344" s="4">
        <v>10</v>
      </c>
      <c r="Q1344" s="2">
        <v>45820</v>
      </c>
      <c r="R1344" s="2">
        <v>46216</v>
      </c>
      <c r="S1344" s="2">
        <v>45802</v>
      </c>
      <c r="T1344" s="2"/>
      <c r="U1344" t="str">
        <f t="shared" si="140"/>
        <v>No</v>
      </c>
      <c r="W13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4" t="str">
        <f t="shared" ca="1" si="141"/>
        <v>Due/Open</v>
      </c>
      <c r="Y1344" t="str">
        <f t="shared" si="142"/>
        <v>Open</v>
      </c>
      <c r="Z1344" t="str">
        <f t="shared" si="143"/>
        <v>Apr-2025</v>
      </c>
      <c r="AA1344" t="str">
        <f t="shared" si="144"/>
        <v>Q2 2025</v>
      </c>
      <c r="AB1344" s="4">
        <f t="shared" ca="1" si="145"/>
        <v>424</v>
      </c>
      <c r="AC1344" t="str">
        <f t="shared" si="146"/>
        <v>Medium</v>
      </c>
    </row>
    <row r="1345" spans="1:29">
      <c r="A1345" t="s">
        <v>4834</v>
      </c>
      <c r="B1345" s="2">
        <v>45720</v>
      </c>
      <c r="C1345" t="s">
        <v>4654</v>
      </c>
      <c r="D1345" t="s">
        <v>2493</v>
      </c>
      <c r="E1345" t="s">
        <v>4835</v>
      </c>
      <c r="F1345" t="s">
        <v>4836</v>
      </c>
      <c r="G1345" t="s">
        <v>179</v>
      </c>
      <c r="H1345" t="s">
        <v>186</v>
      </c>
      <c r="I1345" t="s">
        <v>36</v>
      </c>
      <c r="J1345" t="s">
        <v>37</v>
      </c>
      <c r="K1345" t="s">
        <v>51</v>
      </c>
      <c r="L1345" t="s">
        <v>39</v>
      </c>
      <c r="M1345" t="s">
        <v>53</v>
      </c>
      <c r="N1345" t="s">
        <v>54</v>
      </c>
      <c r="O1345" s="3">
        <v>165000</v>
      </c>
      <c r="P1345" s="4">
        <v>30</v>
      </c>
      <c r="Q1345" s="2">
        <v>45814</v>
      </c>
      <c r="R1345" s="2">
        <v>46206</v>
      </c>
      <c r="S1345" s="2">
        <v>45743</v>
      </c>
      <c r="T1345" s="2"/>
      <c r="U1345" t="str">
        <f t="shared" si="140"/>
        <v>No</v>
      </c>
      <c r="W13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5" t="str">
        <f t="shared" ca="1" si="141"/>
        <v>Due/Open</v>
      </c>
      <c r="Y1345" t="str">
        <f t="shared" si="142"/>
        <v>Open</v>
      </c>
      <c r="Z1345" t="str">
        <f t="shared" si="143"/>
        <v>Mar-2025</v>
      </c>
      <c r="AA1345" t="str">
        <f t="shared" si="144"/>
        <v>Q1 2025</v>
      </c>
      <c r="AB1345" s="4">
        <f t="shared" ca="1" si="145"/>
        <v>479</v>
      </c>
      <c r="AC1345" t="str">
        <f t="shared" si="146"/>
        <v>Medium</v>
      </c>
    </row>
    <row r="1346" spans="1:29">
      <c r="A1346" t="s">
        <v>4837</v>
      </c>
      <c r="B1346" s="2">
        <v>45839</v>
      </c>
      <c r="C1346" t="s">
        <v>4151</v>
      </c>
      <c r="D1346" t="s">
        <v>590</v>
      </c>
      <c r="E1346" t="s">
        <v>4838</v>
      </c>
      <c r="F1346" t="s">
        <v>4839</v>
      </c>
      <c r="G1346" t="s">
        <v>179</v>
      </c>
      <c r="H1346" t="s">
        <v>180</v>
      </c>
      <c r="I1346" t="s">
        <v>98</v>
      </c>
      <c r="J1346" t="s">
        <v>131</v>
      </c>
      <c r="K1346" t="s">
        <v>114</v>
      </c>
      <c r="L1346" t="s">
        <v>72</v>
      </c>
      <c r="M1346" t="s">
        <v>53</v>
      </c>
      <c r="N1346" t="s">
        <v>54</v>
      </c>
      <c r="O1346" s="3">
        <v>95000</v>
      </c>
      <c r="P1346" s="4">
        <v>25</v>
      </c>
      <c r="Q1346" s="2">
        <v>45889</v>
      </c>
      <c r="R1346" s="2">
        <v>46209</v>
      </c>
      <c r="S1346" s="2">
        <v>45848</v>
      </c>
      <c r="T1346" s="2"/>
      <c r="U1346" t="str">
        <f t="shared" ref="U1346:U1409" si="147">IF(M1346="Converted","Yes","No")</f>
        <v>No</v>
      </c>
      <c r="W13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6" t="str">
        <f t="shared" ref="X1346:X1409" ca="1" si="148">IF(OR(M1346="Converted",M1346="Lost",M1346="Not Interested"),"Closed",IF(R1346&lt;TODAY(),"Overdue","Due/Open"))</f>
        <v>Due/Open</v>
      </c>
      <c r="Y1346" t="str">
        <f t="shared" ref="Y1346:Y1409" si="149">IF(OR(M1346="Converted",M1346="Lost",M1346="Not Interested"),"Closed","Open")</f>
        <v>Open</v>
      </c>
      <c r="Z1346" t="str">
        <f t="shared" ref="Z1346:Z1409" si="150">TEXT(B1346,"mmm-yyyy")</f>
        <v>Jul-2025</v>
      </c>
      <c r="AA1346" t="str">
        <f t="shared" ref="AA1346:AA1409" si="151">"Q"&amp;ROUNDUP(MONTH(B1346)/3,0)&amp;" "&amp;YEAR(B1346)</f>
        <v>Q3 2025</v>
      </c>
      <c r="AB1346" s="4">
        <f t="shared" ref="AB1346:AB1409" ca="1" si="152">TODAY()-B1346</f>
        <v>360</v>
      </c>
      <c r="AC1346" t="str">
        <f t="shared" ref="AC1346:AC1409" si="153">IF(O1346&gt;=300000,"High",IF(O1346&gt;=120000,"Medium","Low"))</f>
        <v>Low</v>
      </c>
    </row>
    <row r="1347" spans="1:29">
      <c r="A1347" t="s">
        <v>4840</v>
      </c>
      <c r="B1347" s="2">
        <v>46118</v>
      </c>
      <c r="C1347" t="s">
        <v>1971</v>
      </c>
      <c r="D1347" t="s">
        <v>943</v>
      </c>
      <c r="E1347" t="s">
        <v>4841</v>
      </c>
      <c r="F1347" t="s">
        <v>4842</v>
      </c>
      <c r="G1347" t="s">
        <v>47</v>
      </c>
      <c r="H1347" t="s">
        <v>493</v>
      </c>
      <c r="I1347" t="s">
        <v>98</v>
      </c>
      <c r="J1347" t="s">
        <v>131</v>
      </c>
      <c r="K1347" t="s">
        <v>194</v>
      </c>
      <c r="L1347" t="s">
        <v>63</v>
      </c>
      <c r="M1347" t="s">
        <v>116</v>
      </c>
      <c r="N1347" t="s">
        <v>54</v>
      </c>
      <c r="O1347" s="3">
        <v>265000</v>
      </c>
      <c r="P1347" s="4">
        <v>15</v>
      </c>
      <c r="Q1347" s="2">
        <v>46148</v>
      </c>
      <c r="R1347" s="2">
        <v>46216</v>
      </c>
      <c r="S1347" s="2">
        <v>46119</v>
      </c>
      <c r="T1347" s="2"/>
      <c r="U1347" t="str">
        <f t="shared" si="147"/>
        <v>No</v>
      </c>
      <c r="W13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7" t="str">
        <f t="shared" ca="1" si="148"/>
        <v>Due/Open</v>
      </c>
      <c r="Y1347" t="str">
        <f t="shared" si="149"/>
        <v>Open</v>
      </c>
      <c r="Z1347" t="str">
        <f t="shared" si="150"/>
        <v>Apr-2026</v>
      </c>
      <c r="AA1347" t="str">
        <f t="shared" si="151"/>
        <v>Q2 2026</v>
      </c>
      <c r="AB1347" s="4">
        <f t="shared" ca="1" si="152"/>
        <v>81</v>
      </c>
      <c r="AC1347" t="str">
        <f t="shared" si="153"/>
        <v>Medium</v>
      </c>
    </row>
    <row r="1348" spans="1:29">
      <c r="A1348" t="s">
        <v>4843</v>
      </c>
      <c r="B1348" s="2">
        <v>45659</v>
      </c>
      <c r="C1348" t="s">
        <v>2708</v>
      </c>
      <c r="D1348" t="s">
        <v>471</v>
      </c>
      <c r="E1348" t="s">
        <v>4844</v>
      </c>
      <c r="F1348" t="s">
        <v>4845</v>
      </c>
      <c r="G1348" t="s">
        <v>69</v>
      </c>
      <c r="H1348" t="s">
        <v>270</v>
      </c>
      <c r="I1348" t="s">
        <v>36</v>
      </c>
      <c r="J1348" t="s">
        <v>37</v>
      </c>
      <c r="K1348" t="s">
        <v>194</v>
      </c>
      <c r="L1348" t="s">
        <v>115</v>
      </c>
      <c r="M1348" t="s">
        <v>73</v>
      </c>
      <c r="N1348" t="s">
        <v>73</v>
      </c>
      <c r="O1348" s="3">
        <v>40000</v>
      </c>
      <c r="P1348" s="4">
        <v>80</v>
      </c>
      <c r="Q1348" s="2">
        <v>45729</v>
      </c>
      <c r="R1348" s="2">
        <v>46242</v>
      </c>
      <c r="S1348" s="2">
        <v>45676</v>
      </c>
      <c r="T1348" s="2"/>
      <c r="U1348" t="str">
        <f t="shared" si="147"/>
        <v>No</v>
      </c>
      <c r="W13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8" t="str">
        <f t="shared" ca="1" si="148"/>
        <v>Due/Open</v>
      </c>
      <c r="Y1348" t="str">
        <f t="shared" si="149"/>
        <v>Open</v>
      </c>
      <c r="Z1348" t="str">
        <f t="shared" si="150"/>
        <v>Jan-2025</v>
      </c>
      <c r="AA1348" t="str">
        <f t="shared" si="151"/>
        <v>Q1 2025</v>
      </c>
      <c r="AB1348" s="4">
        <f t="shared" ca="1" si="152"/>
        <v>540</v>
      </c>
      <c r="AC1348" t="str">
        <f t="shared" si="153"/>
        <v>Low</v>
      </c>
    </row>
    <row r="1349" spans="1:29">
      <c r="A1349" t="s">
        <v>4846</v>
      </c>
      <c r="B1349" s="2">
        <v>45853</v>
      </c>
      <c r="C1349" t="s">
        <v>427</v>
      </c>
      <c r="D1349" t="s">
        <v>2493</v>
      </c>
      <c r="E1349" t="s">
        <v>4847</v>
      </c>
      <c r="F1349" t="s">
        <v>4848</v>
      </c>
      <c r="G1349" t="s">
        <v>79</v>
      </c>
      <c r="H1349" t="s">
        <v>106</v>
      </c>
      <c r="I1349" t="s">
        <v>36</v>
      </c>
      <c r="J1349" t="s">
        <v>131</v>
      </c>
      <c r="K1349" t="s">
        <v>38</v>
      </c>
      <c r="L1349" t="s">
        <v>115</v>
      </c>
      <c r="M1349" t="s">
        <v>90</v>
      </c>
      <c r="N1349" t="s">
        <v>91</v>
      </c>
      <c r="O1349" s="3">
        <v>305000</v>
      </c>
      <c r="P1349" s="4">
        <v>40</v>
      </c>
      <c r="Q1349" s="2">
        <v>45927</v>
      </c>
      <c r="R1349" s="2">
        <v>46201</v>
      </c>
      <c r="S1349" s="2">
        <v>45859</v>
      </c>
      <c r="T1349" s="2"/>
      <c r="U1349" t="str">
        <f t="shared" si="147"/>
        <v>No</v>
      </c>
      <c r="W13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49" t="str">
        <f t="shared" ca="1" si="148"/>
        <v>Due/Open</v>
      </c>
      <c r="Y1349" t="str">
        <f t="shared" si="149"/>
        <v>Open</v>
      </c>
      <c r="Z1349" t="str">
        <f t="shared" si="150"/>
        <v>Jul-2025</v>
      </c>
      <c r="AA1349" t="str">
        <f t="shared" si="151"/>
        <v>Q3 2025</v>
      </c>
      <c r="AB1349" s="4">
        <f t="shared" ca="1" si="152"/>
        <v>346</v>
      </c>
      <c r="AC1349" t="str">
        <f t="shared" si="153"/>
        <v>High</v>
      </c>
    </row>
    <row r="1350" spans="1:29">
      <c r="A1350" t="s">
        <v>4849</v>
      </c>
      <c r="B1350" s="2">
        <v>45702</v>
      </c>
      <c r="C1350" t="s">
        <v>3845</v>
      </c>
      <c r="D1350" t="s">
        <v>552</v>
      </c>
      <c r="E1350" t="s">
        <v>4850</v>
      </c>
      <c r="F1350" t="s">
        <v>4851</v>
      </c>
      <c r="G1350" t="s">
        <v>79</v>
      </c>
      <c r="H1350" t="s">
        <v>228</v>
      </c>
      <c r="I1350" t="s">
        <v>141</v>
      </c>
      <c r="J1350" t="s">
        <v>50</v>
      </c>
      <c r="K1350" t="s">
        <v>100</v>
      </c>
      <c r="L1350" t="s">
        <v>115</v>
      </c>
      <c r="M1350" t="s">
        <v>40</v>
      </c>
      <c r="N1350" t="s">
        <v>41</v>
      </c>
      <c r="O1350" s="3">
        <v>140000</v>
      </c>
      <c r="P1350" s="4">
        <v>100</v>
      </c>
      <c r="Q1350" s="2">
        <v>45778</v>
      </c>
      <c r="R1350" s="2"/>
      <c r="S1350" s="2">
        <v>45724</v>
      </c>
      <c r="T1350" s="2">
        <v>45778</v>
      </c>
      <c r="U1350" t="str">
        <f t="shared" si="147"/>
        <v>Yes</v>
      </c>
      <c r="W135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76</v>
      </c>
      <c r="X1350" t="str">
        <f t="shared" ca="1" si="148"/>
        <v>Closed</v>
      </c>
      <c r="Y1350" t="str">
        <f t="shared" si="149"/>
        <v>Closed</v>
      </c>
      <c r="Z1350" t="str">
        <f t="shared" si="150"/>
        <v>Feb-2025</v>
      </c>
      <c r="AA1350" t="str">
        <f t="shared" si="151"/>
        <v>Q1 2025</v>
      </c>
      <c r="AB1350" s="4">
        <f t="shared" ca="1" si="152"/>
        <v>497</v>
      </c>
      <c r="AC1350" t="str">
        <f t="shared" si="153"/>
        <v>Medium</v>
      </c>
    </row>
    <row r="1351" spans="1:29">
      <c r="A1351" t="s">
        <v>4852</v>
      </c>
      <c r="B1351" s="2">
        <v>46100</v>
      </c>
      <c r="C1351" t="s">
        <v>1424</v>
      </c>
      <c r="D1351" t="s">
        <v>57</v>
      </c>
      <c r="E1351" t="s">
        <v>4853</v>
      </c>
      <c r="F1351" t="s">
        <v>4854</v>
      </c>
      <c r="G1351" t="s">
        <v>79</v>
      </c>
      <c r="H1351" t="s">
        <v>217</v>
      </c>
      <c r="I1351" t="s">
        <v>49</v>
      </c>
      <c r="J1351" t="s">
        <v>131</v>
      </c>
      <c r="K1351" t="s">
        <v>194</v>
      </c>
      <c r="L1351" t="s">
        <v>52</v>
      </c>
      <c r="M1351" t="s">
        <v>210</v>
      </c>
      <c r="N1351" t="s">
        <v>134</v>
      </c>
      <c r="O1351" s="3">
        <v>225000</v>
      </c>
      <c r="P1351" s="4">
        <v>0</v>
      </c>
      <c r="Q1351" s="2">
        <v>46117</v>
      </c>
      <c r="R1351" s="2"/>
      <c r="S1351" s="2">
        <v>46119</v>
      </c>
      <c r="T1351" s="2">
        <v>46117</v>
      </c>
      <c r="U1351" t="str">
        <f t="shared" si="147"/>
        <v>No</v>
      </c>
      <c r="V1351" t="s">
        <v>276</v>
      </c>
      <c r="W135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351" t="str">
        <f t="shared" ca="1" si="148"/>
        <v>Closed</v>
      </c>
      <c r="Y1351" t="str">
        <f t="shared" si="149"/>
        <v>Closed</v>
      </c>
      <c r="Z1351" t="str">
        <f t="shared" si="150"/>
        <v>Mar-2026</v>
      </c>
      <c r="AA1351" t="str">
        <f t="shared" si="151"/>
        <v>Q1 2026</v>
      </c>
      <c r="AB1351" s="4">
        <f t="shared" ca="1" si="152"/>
        <v>99</v>
      </c>
      <c r="AC1351" t="str">
        <f t="shared" si="153"/>
        <v>Medium</v>
      </c>
    </row>
    <row r="1352" spans="1:29">
      <c r="A1352" t="s">
        <v>4855</v>
      </c>
      <c r="B1352" s="2">
        <v>46035</v>
      </c>
      <c r="C1352" t="s">
        <v>2246</v>
      </c>
      <c r="D1352" t="s">
        <v>797</v>
      </c>
      <c r="E1352" t="s">
        <v>4856</v>
      </c>
      <c r="F1352" t="s">
        <v>4857</v>
      </c>
      <c r="G1352" t="s">
        <v>34</v>
      </c>
      <c r="H1352" t="s">
        <v>35</v>
      </c>
      <c r="I1352" t="s">
        <v>141</v>
      </c>
      <c r="J1352" t="s">
        <v>50</v>
      </c>
      <c r="K1352" t="s">
        <v>114</v>
      </c>
      <c r="L1352" t="s">
        <v>154</v>
      </c>
      <c r="M1352" t="s">
        <v>90</v>
      </c>
      <c r="N1352" t="s">
        <v>91</v>
      </c>
      <c r="O1352" s="3">
        <v>120000</v>
      </c>
      <c r="P1352" s="4">
        <v>55</v>
      </c>
      <c r="Q1352" s="2">
        <v>46081</v>
      </c>
      <c r="R1352" s="2">
        <v>46184</v>
      </c>
      <c r="S1352" s="2">
        <v>46044</v>
      </c>
      <c r="T1352" s="2"/>
      <c r="U1352" t="str">
        <f t="shared" si="147"/>
        <v>No</v>
      </c>
      <c r="W13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2" t="str">
        <f t="shared" ca="1" si="148"/>
        <v>Overdue</v>
      </c>
      <c r="Y1352" t="str">
        <f t="shared" si="149"/>
        <v>Open</v>
      </c>
      <c r="Z1352" t="str">
        <f t="shared" si="150"/>
        <v>Jan-2026</v>
      </c>
      <c r="AA1352" t="str">
        <f t="shared" si="151"/>
        <v>Q1 2026</v>
      </c>
      <c r="AB1352" s="4">
        <f t="shared" ca="1" si="152"/>
        <v>164</v>
      </c>
      <c r="AC1352" t="str">
        <f t="shared" si="153"/>
        <v>Medium</v>
      </c>
    </row>
    <row r="1353" spans="1:29">
      <c r="A1353" t="s">
        <v>4858</v>
      </c>
      <c r="B1353" s="2">
        <v>45664</v>
      </c>
      <c r="C1353" t="s">
        <v>2230</v>
      </c>
      <c r="D1353" t="s">
        <v>247</v>
      </c>
      <c r="E1353" t="s">
        <v>4859</v>
      </c>
      <c r="F1353" t="s">
        <v>4860</v>
      </c>
      <c r="G1353" t="s">
        <v>47</v>
      </c>
      <c r="H1353" t="s">
        <v>493</v>
      </c>
      <c r="I1353" t="s">
        <v>49</v>
      </c>
      <c r="J1353" t="s">
        <v>62</v>
      </c>
      <c r="K1353" t="s">
        <v>194</v>
      </c>
      <c r="L1353" t="s">
        <v>154</v>
      </c>
      <c r="M1353" t="s">
        <v>166</v>
      </c>
      <c r="N1353" t="s">
        <v>167</v>
      </c>
      <c r="O1353" s="3">
        <v>390000</v>
      </c>
      <c r="P1353" s="4">
        <v>60</v>
      </c>
      <c r="Q1353" s="2">
        <v>45758</v>
      </c>
      <c r="R1353" s="2">
        <v>46211</v>
      </c>
      <c r="S1353" s="2">
        <v>45682</v>
      </c>
      <c r="T1353" s="2"/>
      <c r="U1353" t="str">
        <f t="shared" si="147"/>
        <v>No</v>
      </c>
      <c r="W13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3" t="str">
        <f t="shared" ca="1" si="148"/>
        <v>Due/Open</v>
      </c>
      <c r="Y1353" t="str">
        <f t="shared" si="149"/>
        <v>Open</v>
      </c>
      <c r="Z1353" t="str">
        <f t="shared" si="150"/>
        <v>Jan-2025</v>
      </c>
      <c r="AA1353" t="str">
        <f t="shared" si="151"/>
        <v>Q1 2025</v>
      </c>
      <c r="AB1353" s="4">
        <f t="shared" ca="1" si="152"/>
        <v>535</v>
      </c>
      <c r="AC1353" t="str">
        <f t="shared" si="153"/>
        <v>High</v>
      </c>
    </row>
    <row r="1354" spans="1:29">
      <c r="A1354" t="s">
        <v>4861</v>
      </c>
      <c r="B1354" s="2">
        <v>46028</v>
      </c>
      <c r="C1354" t="s">
        <v>1190</v>
      </c>
      <c r="D1354" t="s">
        <v>1021</v>
      </c>
      <c r="E1354" t="s">
        <v>4862</v>
      </c>
      <c r="F1354" t="s">
        <v>4863</v>
      </c>
      <c r="G1354" t="s">
        <v>179</v>
      </c>
      <c r="H1354" t="s">
        <v>436</v>
      </c>
      <c r="I1354" t="s">
        <v>141</v>
      </c>
      <c r="J1354" t="s">
        <v>99</v>
      </c>
      <c r="K1354" t="s">
        <v>114</v>
      </c>
      <c r="L1354" t="s">
        <v>125</v>
      </c>
      <c r="M1354" t="s">
        <v>53</v>
      </c>
      <c r="N1354" t="s">
        <v>54</v>
      </c>
      <c r="O1354" s="3">
        <v>270000</v>
      </c>
      <c r="P1354" s="4">
        <v>35</v>
      </c>
      <c r="Q1354" s="2">
        <v>46085</v>
      </c>
      <c r="R1354" s="2">
        <v>46213</v>
      </c>
      <c r="S1354" s="2">
        <v>46032</v>
      </c>
      <c r="T1354" s="2"/>
      <c r="U1354" t="str">
        <f t="shared" si="147"/>
        <v>No</v>
      </c>
      <c r="W13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4" t="str">
        <f t="shared" ca="1" si="148"/>
        <v>Due/Open</v>
      </c>
      <c r="Y1354" t="str">
        <f t="shared" si="149"/>
        <v>Open</v>
      </c>
      <c r="Z1354" t="str">
        <f t="shared" si="150"/>
        <v>Jan-2026</v>
      </c>
      <c r="AA1354" t="str">
        <f t="shared" si="151"/>
        <v>Q1 2026</v>
      </c>
      <c r="AB1354" s="4">
        <f t="shared" ca="1" si="152"/>
        <v>171</v>
      </c>
      <c r="AC1354" t="str">
        <f t="shared" si="153"/>
        <v>Medium</v>
      </c>
    </row>
    <row r="1355" spans="1:29">
      <c r="A1355" t="s">
        <v>4864</v>
      </c>
      <c r="B1355" s="2">
        <v>45898</v>
      </c>
      <c r="C1355" t="s">
        <v>3576</v>
      </c>
      <c r="D1355" t="s">
        <v>449</v>
      </c>
      <c r="E1355" t="s">
        <v>4865</v>
      </c>
      <c r="F1355" t="s">
        <v>4866</v>
      </c>
      <c r="G1355" t="s">
        <v>69</v>
      </c>
      <c r="H1355" t="s">
        <v>70</v>
      </c>
      <c r="I1355" t="s">
        <v>36</v>
      </c>
      <c r="J1355" t="s">
        <v>131</v>
      </c>
      <c r="K1355" t="s">
        <v>114</v>
      </c>
      <c r="L1355" t="s">
        <v>39</v>
      </c>
      <c r="M1355" t="s">
        <v>90</v>
      </c>
      <c r="N1355" t="s">
        <v>91</v>
      </c>
      <c r="O1355" s="3">
        <v>375000</v>
      </c>
      <c r="P1355" s="4">
        <v>55</v>
      </c>
      <c r="Q1355" s="2">
        <v>45991</v>
      </c>
      <c r="R1355" s="2">
        <v>46209</v>
      </c>
      <c r="S1355" s="2">
        <v>45912</v>
      </c>
      <c r="T1355" s="2"/>
      <c r="U1355" t="str">
        <f t="shared" si="147"/>
        <v>No</v>
      </c>
      <c r="W13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5" t="str">
        <f t="shared" ca="1" si="148"/>
        <v>Due/Open</v>
      </c>
      <c r="Y1355" t="str">
        <f t="shared" si="149"/>
        <v>Open</v>
      </c>
      <c r="Z1355" t="str">
        <f t="shared" si="150"/>
        <v>Aug-2025</v>
      </c>
      <c r="AA1355" t="str">
        <f t="shared" si="151"/>
        <v>Q3 2025</v>
      </c>
      <c r="AB1355" s="4">
        <f t="shared" ca="1" si="152"/>
        <v>301</v>
      </c>
      <c r="AC1355" t="str">
        <f t="shared" si="153"/>
        <v>High</v>
      </c>
    </row>
    <row r="1356" spans="1:29">
      <c r="A1356" t="s">
        <v>4867</v>
      </c>
      <c r="B1356" s="2">
        <v>46186</v>
      </c>
      <c r="C1356" t="s">
        <v>4868</v>
      </c>
      <c r="D1356" t="s">
        <v>573</v>
      </c>
      <c r="E1356" t="s">
        <v>4869</v>
      </c>
      <c r="F1356" t="s">
        <v>4870</v>
      </c>
      <c r="G1356" t="s">
        <v>179</v>
      </c>
      <c r="H1356" t="s">
        <v>296</v>
      </c>
      <c r="I1356" t="s">
        <v>61</v>
      </c>
      <c r="J1356" t="s">
        <v>37</v>
      </c>
      <c r="K1356" t="s">
        <v>38</v>
      </c>
      <c r="L1356" t="s">
        <v>81</v>
      </c>
      <c r="M1356" t="s">
        <v>116</v>
      </c>
      <c r="N1356" t="s">
        <v>54</v>
      </c>
      <c r="O1356" s="3">
        <v>70000</v>
      </c>
      <c r="P1356" s="4">
        <v>20</v>
      </c>
      <c r="Q1356" s="2">
        <v>46247</v>
      </c>
      <c r="R1356" s="2">
        <v>46195</v>
      </c>
      <c r="S1356" s="2">
        <v>46187</v>
      </c>
      <c r="T1356" s="2"/>
      <c r="U1356" t="str">
        <f t="shared" si="147"/>
        <v>No</v>
      </c>
      <c r="W13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6" t="str">
        <f t="shared" ca="1" si="148"/>
        <v>Overdue</v>
      </c>
      <c r="Y1356" t="str">
        <f t="shared" si="149"/>
        <v>Open</v>
      </c>
      <c r="Z1356" t="str">
        <f t="shared" si="150"/>
        <v>Jun-2026</v>
      </c>
      <c r="AA1356" t="str">
        <f t="shared" si="151"/>
        <v>Q2 2026</v>
      </c>
      <c r="AB1356" s="4">
        <f t="shared" ca="1" si="152"/>
        <v>13</v>
      </c>
      <c r="AC1356" t="str">
        <f t="shared" si="153"/>
        <v>Low</v>
      </c>
    </row>
    <row r="1357" spans="1:29">
      <c r="A1357" t="s">
        <v>4871</v>
      </c>
      <c r="B1357" s="2">
        <v>45796</v>
      </c>
      <c r="C1357" t="s">
        <v>3236</v>
      </c>
      <c r="D1357" t="s">
        <v>2143</v>
      </c>
      <c r="E1357" t="s">
        <v>4872</v>
      </c>
      <c r="F1357" t="s">
        <v>4873</v>
      </c>
      <c r="G1357" t="s">
        <v>69</v>
      </c>
      <c r="H1357" t="s">
        <v>312</v>
      </c>
      <c r="I1357" t="s">
        <v>49</v>
      </c>
      <c r="J1357" t="s">
        <v>50</v>
      </c>
      <c r="K1357" t="s">
        <v>71</v>
      </c>
      <c r="L1357" t="s">
        <v>72</v>
      </c>
      <c r="M1357" t="s">
        <v>82</v>
      </c>
      <c r="N1357" t="s">
        <v>83</v>
      </c>
      <c r="O1357" s="3">
        <v>525000</v>
      </c>
      <c r="P1357" s="4">
        <v>5</v>
      </c>
      <c r="Q1357" s="2">
        <v>45850</v>
      </c>
      <c r="R1357" s="2">
        <v>46174</v>
      </c>
      <c r="S1357" s="2">
        <v>45798</v>
      </c>
      <c r="T1357" s="2"/>
      <c r="U1357" t="str">
        <f t="shared" si="147"/>
        <v>No</v>
      </c>
      <c r="W13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7" t="str">
        <f t="shared" ca="1" si="148"/>
        <v>Overdue</v>
      </c>
      <c r="Y1357" t="str">
        <f t="shared" si="149"/>
        <v>Open</v>
      </c>
      <c r="Z1357" t="str">
        <f t="shared" si="150"/>
        <v>May-2025</v>
      </c>
      <c r="AA1357" t="str">
        <f t="shared" si="151"/>
        <v>Q2 2025</v>
      </c>
      <c r="AB1357" s="4">
        <f t="shared" ca="1" si="152"/>
        <v>403</v>
      </c>
      <c r="AC1357" t="str">
        <f t="shared" si="153"/>
        <v>High</v>
      </c>
    </row>
    <row r="1358" spans="1:29">
      <c r="A1358" t="s">
        <v>4874</v>
      </c>
      <c r="B1358" s="2">
        <v>46089</v>
      </c>
      <c r="C1358" t="s">
        <v>4191</v>
      </c>
      <c r="D1358" t="s">
        <v>775</v>
      </c>
      <c r="E1358" t="s">
        <v>4875</v>
      </c>
      <c r="F1358" t="s">
        <v>4876</v>
      </c>
      <c r="G1358" t="s">
        <v>69</v>
      </c>
      <c r="H1358" t="s">
        <v>312</v>
      </c>
      <c r="I1358" t="s">
        <v>148</v>
      </c>
      <c r="J1358" t="s">
        <v>131</v>
      </c>
      <c r="K1358" t="s">
        <v>194</v>
      </c>
      <c r="L1358" t="s">
        <v>72</v>
      </c>
      <c r="M1358" t="s">
        <v>116</v>
      </c>
      <c r="N1358" t="s">
        <v>54</v>
      </c>
      <c r="O1358" s="3">
        <v>215000</v>
      </c>
      <c r="P1358" s="4">
        <v>25</v>
      </c>
      <c r="Q1358" s="2">
        <v>46176</v>
      </c>
      <c r="R1358" s="2">
        <v>46242</v>
      </c>
      <c r="S1358" s="2">
        <v>46118</v>
      </c>
      <c r="T1358" s="2"/>
      <c r="U1358" t="str">
        <f t="shared" si="147"/>
        <v>No</v>
      </c>
      <c r="W13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58" t="str">
        <f t="shared" ca="1" si="148"/>
        <v>Due/Open</v>
      </c>
      <c r="Y1358" t="str">
        <f t="shared" si="149"/>
        <v>Open</v>
      </c>
      <c r="Z1358" t="str">
        <f t="shared" si="150"/>
        <v>Mar-2026</v>
      </c>
      <c r="AA1358" t="str">
        <f t="shared" si="151"/>
        <v>Q1 2026</v>
      </c>
      <c r="AB1358" s="4">
        <f t="shared" ca="1" si="152"/>
        <v>110</v>
      </c>
      <c r="AC1358" t="str">
        <f t="shared" si="153"/>
        <v>Medium</v>
      </c>
    </row>
    <row r="1359" spans="1:29">
      <c r="A1359" t="s">
        <v>4877</v>
      </c>
      <c r="B1359" s="2">
        <v>46068</v>
      </c>
      <c r="C1359" t="s">
        <v>4346</v>
      </c>
      <c r="D1359" t="s">
        <v>742</v>
      </c>
      <c r="E1359" t="s">
        <v>4878</v>
      </c>
      <c r="F1359" t="s">
        <v>4879</v>
      </c>
      <c r="G1359" t="s">
        <v>179</v>
      </c>
      <c r="H1359" t="s">
        <v>180</v>
      </c>
      <c r="I1359" t="s">
        <v>49</v>
      </c>
      <c r="J1359" t="s">
        <v>50</v>
      </c>
      <c r="K1359" t="s">
        <v>194</v>
      </c>
      <c r="L1359" t="s">
        <v>125</v>
      </c>
      <c r="M1359" t="s">
        <v>133</v>
      </c>
      <c r="N1359" t="s">
        <v>134</v>
      </c>
      <c r="O1359" s="3">
        <v>455000</v>
      </c>
      <c r="P1359" s="4">
        <v>0</v>
      </c>
      <c r="Q1359" s="2">
        <v>46108</v>
      </c>
      <c r="R1359" s="2"/>
      <c r="S1359" s="2">
        <v>46087</v>
      </c>
      <c r="T1359" s="2">
        <v>46108</v>
      </c>
      <c r="U1359" t="str">
        <f t="shared" si="147"/>
        <v>No</v>
      </c>
      <c r="V1359" t="s">
        <v>135</v>
      </c>
      <c r="W13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1359" t="str">
        <f t="shared" ca="1" si="148"/>
        <v>Closed</v>
      </c>
      <c r="Y1359" t="str">
        <f t="shared" si="149"/>
        <v>Closed</v>
      </c>
      <c r="Z1359" t="str">
        <f t="shared" si="150"/>
        <v>Feb-2026</v>
      </c>
      <c r="AA1359" t="str">
        <f t="shared" si="151"/>
        <v>Q1 2026</v>
      </c>
      <c r="AB1359" s="4">
        <f t="shared" ca="1" si="152"/>
        <v>131</v>
      </c>
      <c r="AC1359" t="str">
        <f t="shared" si="153"/>
        <v>High</v>
      </c>
    </row>
    <row r="1360" spans="1:29">
      <c r="A1360" t="s">
        <v>4880</v>
      </c>
      <c r="B1360" s="2">
        <v>45740</v>
      </c>
      <c r="C1360" t="s">
        <v>4070</v>
      </c>
      <c r="D1360" t="s">
        <v>1183</v>
      </c>
      <c r="E1360" t="s">
        <v>4881</v>
      </c>
      <c r="F1360" t="s">
        <v>4882</v>
      </c>
      <c r="G1360" t="s">
        <v>79</v>
      </c>
      <c r="H1360" t="s">
        <v>217</v>
      </c>
      <c r="I1360" t="s">
        <v>36</v>
      </c>
      <c r="J1360" t="s">
        <v>50</v>
      </c>
      <c r="K1360" t="s">
        <v>51</v>
      </c>
      <c r="L1360" t="s">
        <v>142</v>
      </c>
      <c r="M1360" t="s">
        <v>166</v>
      </c>
      <c r="N1360" t="s">
        <v>167</v>
      </c>
      <c r="O1360" s="3">
        <v>230000</v>
      </c>
      <c r="P1360" s="4">
        <v>70</v>
      </c>
      <c r="Q1360" s="2">
        <v>45790</v>
      </c>
      <c r="R1360" s="2">
        <v>46228</v>
      </c>
      <c r="S1360" s="2">
        <v>45768</v>
      </c>
      <c r="T1360" s="2"/>
      <c r="U1360" t="str">
        <f t="shared" si="147"/>
        <v>No</v>
      </c>
      <c r="W13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0" t="str">
        <f t="shared" ca="1" si="148"/>
        <v>Due/Open</v>
      </c>
      <c r="Y1360" t="str">
        <f t="shared" si="149"/>
        <v>Open</v>
      </c>
      <c r="Z1360" t="str">
        <f t="shared" si="150"/>
        <v>Mar-2025</v>
      </c>
      <c r="AA1360" t="str">
        <f t="shared" si="151"/>
        <v>Q1 2025</v>
      </c>
      <c r="AB1360" s="4">
        <f t="shared" ca="1" si="152"/>
        <v>459</v>
      </c>
      <c r="AC1360" t="str">
        <f t="shared" si="153"/>
        <v>Medium</v>
      </c>
    </row>
    <row r="1361" spans="1:29">
      <c r="A1361" t="s">
        <v>4883</v>
      </c>
      <c r="B1361" s="2">
        <v>46050</v>
      </c>
      <c r="C1361" t="s">
        <v>4884</v>
      </c>
      <c r="D1361" t="s">
        <v>1366</v>
      </c>
      <c r="E1361" t="s">
        <v>4885</v>
      </c>
      <c r="F1361" t="s">
        <v>4886</v>
      </c>
      <c r="G1361" t="s">
        <v>34</v>
      </c>
      <c r="H1361" t="s">
        <v>238</v>
      </c>
      <c r="I1361" t="s">
        <v>141</v>
      </c>
      <c r="J1361" t="s">
        <v>50</v>
      </c>
      <c r="K1361" t="s">
        <v>194</v>
      </c>
      <c r="L1361" t="s">
        <v>154</v>
      </c>
      <c r="M1361" t="s">
        <v>90</v>
      </c>
      <c r="N1361" t="s">
        <v>91</v>
      </c>
      <c r="O1361" s="3">
        <v>345000</v>
      </c>
      <c r="P1361" s="4">
        <v>55</v>
      </c>
      <c r="Q1361" s="2">
        <v>46106</v>
      </c>
      <c r="R1361" s="2">
        <v>46203</v>
      </c>
      <c r="S1361" s="2">
        <v>46055</v>
      </c>
      <c r="T1361" s="2"/>
      <c r="U1361" t="str">
        <f t="shared" si="147"/>
        <v>No</v>
      </c>
      <c r="W13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1" t="str">
        <f t="shared" ca="1" si="148"/>
        <v>Due/Open</v>
      </c>
      <c r="Y1361" t="str">
        <f t="shared" si="149"/>
        <v>Open</v>
      </c>
      <c r="Z1361" t="str">
        <f t="shared" si="150"/>
        <v>Jan-2026</v>
      </c>
      <c r="AA1361" t="str">
        <f t="shared" si="151"/>
        <v>Q1 2026</v>
      </c>
      <c r="AB1361" s="4">
        <f t="shared" ca="1" si="152"/>
        <v>149</v>
      </c>
      <c r="AC1361" t="str">
        <f t="shared" si="153"/>
        <v>High</v>
      </c>
    </row>
    <row r="1362" spans="1:29">
      <c r="A1362" t="s">
        <v>4887</v>
      </c>
      <c r="B1362" s="2">
        <v>46004</v>
      </c>
      <c r="C1362" t="s">
        <v>1825</v>
      </c>
      <c r="D1362" t="s">
        <v>2897</v>
      </c>
      <c r="E1362" t="s">
        <v>4888</v>
      </c>
      <c r="F1362" t="s">
        <v>4889</v>
      </c>
      <c r="G1362" t="s">
        <v>47</v>
      </c>
      <c r="H1362" t="s">
        <v>113</v>
      </c>
      <c r="I1362" t="s">
        <v>36</v>
      </c>
      <c r="J1362" t="s">
        <v>124</v>
      </c>
      <c r="K1362" t="s">
        <v>100</v>
      </c>
      <c r="L1362" t="s">
        <v>63</v>
      </c>
      <c r="M1362" t="s">
        <v>53</v>
      </c>
      <c r="N1362" t="s">
        <v>54</v>
      </c>
      <c r="O1362" s="3">
        <v>215000</v>
      </c>
      <c r="P1362" s="4">
        <v>25</v>
      </c>
      <c r="Q1362" s="2">
        <v>46037</v>
      </c>
      <c r="R1362" s="2">
        <v>46221</v>
      </c>
      <c r="S1362" s="2">
        <v>46033</v>
      </c>
      <c r="T1362" s="2"/>
      <c r="U1362" t="str">
        <f t="shared" si="147"/>
        <v>No</v>
      </c>
      <c r="W13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2" t="str">
        <f t="shared" ca="1" si="148"/>
        <v>Due/Open</v>
      </c>
      <c r="Y1362" t="str">
        <f t="shared" si="149"/>
        <v>Open</v>
      </c>
      <c r="Z1362" t="str">
        <f t="shared" si="150"/>
        <v>Dec-2025</v>
      </c>
      <c r="AA1362" t="str">
        <f t="shared" si="151"/>
        <v>Q4 2025</v>
      </c>
      <c r="AB1362" s="4">
        <f t="shared" ca="1" si="152"/>
        <v>195</v>
      </c>
      <c r="AC1362" t="str">
        <f t="shared" si="153"/>
        <v>Medium</v>
      </c>
    </row>
    <row r="1363" spans="1:29">
      <c r="A1363" t="s">
        <v>4890</v>
      </c>
      <c r="B1363" s="2">
        <v>45859</v>
      </c>
      <c r="C1363" t="s">
        <v>1330</v>
      </c>
      <c r="D1363" t="s">
        <v>1012</v>
      </c>
      <c r="E1363" t="s">
        <v>4891</v>
      </c>
      <c r="F1363" t="s">
        <v>4892</v>
      </c>
      <c r="G1363" t="s">
        <v>69</v>
      </c>
      <c r="H1363" t="s">
        <v>200</v>
      </c>
      <c r="I1363" t="s">
        <v>98</v>
      </c>
      <c r="J1363" t="s">
        <v>50</v>
      </c>
      <c r="K1363" t="s">
        <v>114</v>
      </c>
      <c r="L1363" t="s">
        <v>125</v>
      </c>
      <c r="M1363" t="s">
        <v>166</v>
      </c>
      <c r="N1363" t="s">
        <v>167</v>
      </c>
      <c r="O1363" s="3">
        <v>275000</v>
      </c>
      <c r="P1363" s="4">
        <v>65</v>
      </c>
      <c r="Q1363" s="2">
        <v>45895</v>
      </c>
      <c r="R1363" s="2">
        <v>46223</v>
      </c>
      <c r="S1363" s="2">
        <v>45889</v>
      </c>
      <c r="T1363" s="2"/>
      <c r="U1363" t="str">
        <f t="shared" si="147"/>
        <v>No</v>
      </c>
      <c r="W13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3" t="str">
        <f t="shared" ca="1" si="148"/>
        <v>Due/Open</v>
      </c>
      <c r="Y1363" t="str">
        <f t="shared" si="149"/>
        <v>Open</v>
      </c>
      <c r="Z1363" t="str">
        <f t="shared" si="150"/>
        <v>Jul-2025</v>
      </c>
      <c r="AA1363" t="str">
        <f t="shared" si="151"/>
        <v>Q3 2025</v>
      </c>
      <c r="AB1363" s="4">
        <f t="shared" ca="1" si="152"/>
        <v>340</v>
      </c>
      <c r="AC1363" t="str">
        <f t="shared" si="153"/>
        <v>Medium</v>
      </c>
    </row>
    <row r="1364" spans="1:29">
      <c r="A1364" t="s">
        <v>4893</v>
      </c>
      <c r="B1364" s="2">
        <v>46123</v>
      </c>
      <c r="C1364" t="s">
        <v>3256</v>
      </c>
      <c r="D1364" t="s">
        <v>288</v>
      </c>
      <c r="E1364" t="s">
        <v>4894</v>
      </c>
      <c r="F1364" t="s">
        <v>4895</v>
      </c>
      <c r="G1364" t="s">
        <v>179</v>
      </c>
      <c r="H1364" t="s">
        <v>186</v>
      </c>
      <c r="I1364" t="s">
        <v>148</v>
      </c>
      <c r="J1364" t="s">
        <v>131</v>
      </c>
      <c r="K1364" t="s">
        <v>114</v>
      </c>
      <c r="L1364" t="s">
        <v>39</v>
      </c>
      <c r="M1364" t="s">
        <v>166</v>
      </c>
      <c r="N1364" t="s">
        <v>167</v>
      </c>
      <c r="O1364" s="3">
        <v>145000</v>
      </c>
      <c r="P1364" s="4">
        <v>70</v>
      </c>
      <c r="Q1364" s="2">
        <v>46161</v>
      </c>
      <c r="R1364" s="2">
        <v>46216</v>
      </c>
      <c r="S1364" s="2">
        <v>46149</v>
      </c>
      <c r="T1364" s="2"/>
      <c r="U1364" t="str">
        <f t="shared" si="147"/>
        <v>No</v>
      </c>
      <c r="W13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4" t="str">
        <f t="shared" ca="1" si="148"/>
        <v>Due/Open</v>
      </c>
      <c r="Y1364" t="str">
        <f t="shared" si="149"/>
        <v>Open</v>
      </c>
      <c r="Z1364" t="str">
        <f t="shared" si="150"/>
        <v>Apr-2026</v>
      </c>
      <c r="AA1364" t="str">
        <f t="shared" si="151"/>
        <v>Q2 2026</v>
      </c>
      <c r="AB1364" s="4">
        <f t="shared" ca="1" si="152"/>
        <v>76</v>
      </c>
      <c r="AC1364" t="str">
        <f t="shared" si="153"/>
        <v>Medium</v>
      </c>
    </row>
    <row r="1365" spans="1:29">
      <c r="A1365" t="s">
        <v>4896</v>
      </c>
      <c r="B1365" s="2">
        <v>45902</v>
      </c>
      <c r="C1365" t="s">
        <v>3194</v>
      </c>
      <c r="D1365" t="s">
        <v>1404</v>
      </c>
      <c r="E1365" t="s">
        <v>4897</v>
      </c>
      <c r="F1365" t="s">
        <v>4898</v>
      </c>
      <c r="G1365" t="s">
        <v>79</v>
      </c>
      <c r="H1365" t="s">
        <v>80</v>
      </c>
      <c r="I1365" t="s">
        <v>187</v>
      </c>
      <c r="J1365" t="s">
        <v>99</v>
      </c>
      <c r="K1365" t="s">
        <v>100</v>
      </c>
      <c r="L1365" t="s">
        <v>125</v>
      </c>
      <c r="M1365" t="s">
        <v>133</v>
      </c>
      <c r="N1365" t="s">
        <v>134</v>
      </c>
      <c r="O1365" s="3">
        <v>480000</v>
      </c>
      <c r="P1365" s="4">
        <v>0</v>
      </c>
      <c r="Q1365" s="2">
        <v>45976</v>
      </c>
      <c r="R1365" s="2"/>
      <c r="S1365" s="2">
        <v>45915</v>
      </c>
      <c r="T1365" s="2">
        <v>45976</v>
      </c>
      <c r="U1365" t="str">
        <f t="shared" si="147"/>
        <v>No</v>
      </c>
      <c r="V1365" t="s">
        <v>319</v>
      </c>
      <c r="W136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74</v>
      </c>
      <c r="X1365" t="str">
        <f t="shared" ca="1" si="148"/>
        <v>Closed</v>
      </c>
      <c r="Y1365" t="str">
        <f t="shared" si="149"/>
        <v>Closed</v>
      </c>
      <c r="Z1365" t="str">
        <f t="shared" si="150"/>
        <v>Sep-2025</v>
      </c>
      <c r="AA1365" t="str">
        <f t="shared" si="151"/>
        <v>Q3 2025</v>
      </c>
      <c r="AB1365" s="4">
        <f t="shared" ca="1" si="152"/>
        <v>297</v>
      </c>
      <c r="AC1365" t="str">
        <f t="shared" si="153"/>
        <v>High</v>
      </c>
    </row>
    <row r="1366" spans="1:29">
      <c r="A1366" t="s">
        <v>4899</v>
      </c>
      <c r="B1366" s="2">
        <v>45759</v>
      </c>
      <c r="C1366" t="s">
        <v>3134</v>
      </c>
      <c r="D1366" t="s">
        <v>895</v>
      </c>
      <c r="E1366" t="s">
        <v>4900</v>
      </c>
      <c r="F1366" t="s">
        <v>4901</v>
      </c>
      <c r="G1366" t="s">
        <v>47</v>
      </c>
      <c r="H1366" t="s">
        <v>418</v>
      </c>
      <c r="I1366" t="s">
        <v>49</v>
      </c>
      <c r="J1366" t="s">
        <v>50</v>
      </c>
      <c r="K1366" t="s">
        <v>38</v>
      </c>
      <c r="L1366" t="s">
        <v>81</v>
      </c>
      <c r="M1366" t="s">
        <v>82</v>
      </c>
      <c r="N1366" t="s">
        <v>83</v>
      </c>
      <c r="O1366" s="3">
        <v>410000</v>
      </c>
      <c r="P1366" s="4">
        <v>10</v>
      </c>
      <c r="Q1366" s="2">
        <v>45846</v>
      </c>
      <c r="R1366" s="2">
        <v>46162</v>
      </c>
      <c r="S1366" s="2">
        <v>45789</v>
      </c>
      <c r="T1366" s="2"/>
      <c r="U1366" t="str">
        <f t="shared" si="147"/>
        <v>No</v>
      </c>
      <c r="W13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6" t="str">
        <f t="shared" ca="1" si="148"/>
        <v>Overdue</v>
      </c>
      <c r="Y1366" t="str">
        <f t="shared" si="149"/>
        <v>Open</v>
      </c>
      <c r="Z1366" t="str">
        <f t="shared" si="150"/>
        <v>Apr-2025</v>
      </c>
      <c r="AA1366" t="str">
        <f t="shared" si="151"/>
        <v>Q2 2025</v>
      </c>
      <c r="AB1366" s="4">
        <f t="shared" ca="1" si="152"/>
        <v>440</v>
      </c>
      <c r="AC1366" t="str">
        <f t="shared" si="153"/>
        <v>High</v>
      </c>
    </row>
    <row r="1367" spans="1:29">
      <c r="A1367" t="s">
        <v>4902</v>
      </c>
      <c r="B1367" s="2">
        <v>46039</v>
      </c>
      <c r="C1367" t="s">
        <v>30</v>
      </c>
      <c r="D1367" t="s">
        <v>1269</v>
      </c>
      <c r="E1367" t="s">
        <v>4903</v>
      </c>
      <c r="F1367" t="s">
        <v>4904</v>
      </c>
      <c r="G1367" t="s">
        <v>34</v>
      </c>
      <c r="H1367" t="s">
        <v>173</v>
      </c>
      <c r="I1367" t="s">
        <v>61</v>
      </c>
      <c r="J1367" t="s">
        <v>131</v>
      </c>
      <c r="K1367" t="s">
        <v>100</v>
      </c>
      <c r="L1367" t="s">
        <v>142</v>
      </c>
      <c r="M1367" t="s">
        <v>116</v>
      </c>
      <c r="N1367" t="s">
        <v>54</v>
      </c>
      <c r="O1367" s="3">
        <v>350000</v>
      </c>
      <c r="P1367" s="4">
        <v>15</v>
      </c>
      <c r="Q1367" s="2">
        <v>46068</v>
      </c>
      <c r="R1367" s="2">
        <v>46205</v>
      </c>
      <c r="S1367" s="2">
        <v>46061</v>
      </c>
      <c r="T1367" s="2"/>
      <c r="U1367" t="str">
        <f t="shared" si="147"/>
        <v>No</v>
      </c>
      <c r="W13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7" t="str">
        <f t="shared" ca="1" si="148"/>
        <v>Due/Open</v>
      </c>
      <c r="Y1367" t="str">
        <f t="shared" si="149"/>
        <v>Open</v>
      </c>
      <c r="Z1367" t="str">
        <f t="shared" si="150"/>
        <v>Jan-2026</v>
      </c>
      <c r="AA1367" t="str">
        <f t="shared" si="151"/>
        <v>Q1 2026</v>
      </c>
      <c r="AB1367" s="4">
        <f t="shared" ca="1" si="152"/>
        <v>160</v>
      </c>
      <c r="AC1367" t="str">
        <f t="shared" si="153"/>
        <v>High</v>
      </c>
    </row>
    <row r="1368" spans="1:29">
      <c r="A1368" t="s">
        <v>4905</v>
      </c>
      <c r="B1368" s="2">
        <v>45871</v>
      </c>
      <c r="C1368" t="s">
        <v>754</v>
      </c>
      <c r="D1368" t="s">
        <v>220</v>
      </c>
      <c r="E1368" t="s">
        <v>4906</v>
      </c>
      <c r="F1368" t="s">
        <v>4907</v>
      </c>
      <c r="G1368" t="s">
        <v>79</v>
      </c>
      <c r="H1368" t="s">
        <v>260</v>
      </c>
      <c r="I1368" t="s">
        <v>49</v>
      </c>
      <c r="J1368" t="s">
        <v>99</v>
      </c>
      <c r="K1368" t="s">
        <v>194</v>
      </c>
      <c r="L1368" t="s">
        <v>154</v>
      </c>
      <c r="M1368" t="s">
        <v>82</v>
      </c>
      <c r="N1368" t="s">
        <v>83</v>
      </c>
      <c r="O1368" s="3">
        <v>330000</v>
      </c>
      <c r="P1368" s="4">
        <v>10</v>
      </c>
      <c r="Q1368" s="2">
        <v>45937</v>
      </c>
      <c r="R1368" s="2">
        <v>46236</v>
      </c>
      <c r="S1368" s="2">
        <v>45881</v>
      </c>
      <c r="T1368" s="2"/>
      <c r="U1368" t="str">
        <f t="shared" si="147"/>
        <v>No</v>
      </c>
      <c r="W13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8" t="str">
        <f t="shared" ca="1" si="148"/>
        <v>Due/Open</v>
      </c>
      <c r="Y1368" t="str">
        <f t="shared" si="149"/>
        <v>Open</v>
      </c>
      <c r="Z1368" t="str">
        <f t="shared" si="150"/>
        <v>Aug-2025</v>
      </c>
      <c r="AA1368" t="str">
        <f t="shared" si="151"/>
        <v>Q3 2025</v>
      </c>
      <c r="AB1368" s="4">
        <f t="shared" ca="1" si="152"/>
        <v>328</v>
      </c>
      <c r="AC1368" t="str">
        <f t="shared" si="153"/>
        <v>High</v>
      </c>
    </row>
    <row r="1369" spans="1:29">
      <c r="A1369" t="s">
        <v>4908</v>
      </c>
      <c r="B1369" s="2">
        <v>45894</v>
      </c>
      <c r="C1369" t="s">
        <v>1592</v>
      </c>
      <c r="D1369" t="s">
        <v>1876</v>
      </c>
      <c r="E1369" t="s">
        <v>4909</v>
      </c>
      <c r="F1369" t="s">
        <v>4910</v>
      </c>
      <c r="G1369" t="s">
        <v>47</v>
      </c>
      <c r="H1369" t="s">
        <v>418</v>
      </c>
      <c r="I1369" t="s">
        <v>187</v>
      </c>
      <c r="J1369" t="s">
        <v>131</v>
      </c>
      <c r="K1369" t="s">
        <v>114</v>
      </c>
      <c r="L1369" t="s">
        <v>52</v>
      </c>
      <c r="M1369" t="s">
        <v>53</v>
      </c>
      <c r="N1369" t="s">
        <v>54</v>
      </c>
      <c r="O1369" s="3">
        <v>290000</v>
      </c>
      <c r="P1369" s="4">
        <v>35</v>
      </c>
      <c r="Q1369" s="2">
        <v>45974</v>
      </c>
      <c r="R1369" s="2">
        <v>46165</v>
      </c>
      <c r="S1369" s="2">
        <v>45914</v>
      </c>
      <c r="T1369" s="2"/>
      <c r="U1369" t="str">
        <f t="shared" si="147"/>
        <v>No</v>
      </c>
      <c r="W13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69" t="str">
        <f t="shared" ca="1" si="148"/>
        <v>Overdue</v>
      </c>
      <c r="Y1369" t="str">
        <f t="shared" si="149"/>
        <v>Open</v>
      </c>
      <c r="Z1369" t="str">
        <f t="shared" si="150"/>
        <v>Aug-2025</v>
      </c>
      <c r="AA1369" t="str">
        <f t="shared" si="151"/>
        <v>Q3 2025</v>
      </c>
      <c r="AB1369" s="4">
        <f t="shared" ca="1" si="152"/>
        <v>305</v>
      </c>
      <c r="AC1369" t="str">
        <f t="shared" si="153"/>
        <v>Medium</v>
      </c>
    </row>
    <row r="1370" spans="1:29">
      <c r="A1370" t="s">
        <v>4911</v>
      </c>
      <c r="B1370" s="2">
        <v>45731</v>
      </c>
      <c r="C1370" t="s">
        <v>1619</v>
      </c>
      <c r="D1370" t="s">
        <v>1343</v>
      </c>
      <c r="E1370" t="s">
        <v>4912</v>
      </c>
      <c r="F1370" t="s">
        <v>4913</v>
      </c>
      <c r="G1370" t="s">
        <v>179</v>
      </c>
      <c r="H1370" t="s">
        <v>180</v>
      </c>
      <c r="I1370" t="s">
        <v>123</v>
      </c>
      <c r="J1370" t="s">
        <v>124</v>
      </c>
      <c r="K1370" t="s">
        <v>100</v>
      </c>
      <c r="L1370" t="s">
        <v>107</v>
      </c>
      <c r="M1370" t="s">
        <v>40</v>
      </c>
      <c r="N1370" t="s">
        <v>41</v>
      </c>
      <c r="O1370" s="3">
        <v>160000</v>
      </c>
      <c r="P1370" s="4">
        <v>100</v>
      </c>
      <c r="Q1370" s="2">
        <v>45754</v>
      </c>
      <c r="R1370" s="2"/>
      <c r="S1370" s="2">
        <v>45757</v>
      </c>
      <c r="T1370" s="2">
        <v>45754</v>
      </c>
      <c r="U1370" t="str">
        <f t="shared" si="147"/>
        <v>Yes</v>
      </c>
      <c r="W137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23</v>
      </c>
      <c r="X1370" t="str">
        <f t="shared" ca="1" si="148"/>
        <v>Closed</v>
      </c>
      <c r="Y1370" t="str">
        <f t="shared" si="149"/>
        <v>Closed</v>
      </c>
      <c r="Z1370" t="str">
        <f t="shared" si="150"/>
        <v>Mar-2025</v>
      </c>
      <c r="AA1370" t="str">
        <f t="shared" si="151"/>
        <v>Q1 2025</v>
      </c>
      <c r="AB1370" s="4">
        <f t="shared" ca="1" si="152"/>
        <v>468</v>
      </c>
      <c r="AC1370" t="str">
        <f t="shared" si="153"/>
        <v>Medium</v>
      </c>
    </row>
    <row r="1371" spans="1:29">
      <c r="A1371" t="s">
        <v>4914</v>
      </c>
      <c r="B1371" s="2">
        <v>45710</v>
      </c>
      <c r="C1371" t="s">
        <v>1107</v>
      </c>
      <c r="D1371" t="s">
        <v>1722</v>
      </c>
      <c r="E1371" t="s">
        <v>4915</v>
      </c>
      <c r="F1371" t="s">
        <v>4916</v>
      </c>
      <c r="G1371" t="s">
        <v>179</v>
      </c>
      <c r="H1371" t="s">
        <v>180</v>
      </c>
      <c r="I1371" t="s">
        <v>141</v>
      </c>
      <c r="J1371" t="s">
        <v>124</v>
      </c>
      <c r="K1371" t="s">
        <v>71</v>
      </c>
      <c r="L1371" t="s">
        <v>107</v>
      </c>
      <c r="M1371" t="s">
        <v>90</v>
      </c>
      <c r="N1371" t="s">
        <v>91</v>
      </c>
      <c r="O1371" s="3">
        <v>210000</v>
      </c>
      <c r="P1371" s="4">
        <v>50</v>
      </c>
      <c r="Q1371" s="2">
        <v>45760</v>
      </c>
      <c r="R1371" s="2">
        <v>46189</v>
      </c>
      <c r="S1371" s="2">
        <v>45731</v>
      </c>
      <c r="T1371" s="2"/>
      <c r="U1371" t="str">
        <f t="shared" si="147"/>
        <v>No</v>
      </c>
      <c r="W13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1" t="str">
        <f t="shared" ca="1" si="148"/>
        <v>Overdue</v>
      </c>
      <c r="Y1371" t="str">
        <f t="shared" si="149"/>
        <v>Open</v>
      </c>
      <c r="Z1371" t="str">
        <f t="shared" si="150"/>
        <v>Feb-2025</v>
      </c>
      <c r="AA1371" t="str">
        <f t="shared" si="151"/>
        <v>Q1 2025</v>
      </c>
      <c r="AB1371" s="4">
        <f t="shared" ca="1" si="152"/>
        <v>489</v>
      </c>
      <c r="AC1371" t="str">
        <f t="shared" si="153"/>
        <v>Medium</v>
      </c>
    </row>
    <row r="1372" spans="1:29">
      <c r="A1372" t="s">
        <v>4917</v>
      </c>
      <c r="B1372" s="2">
        <v>45852</v>
      </c>
      <c r="C1372" t="s">
        <v>4918</v>
      </c>
      <c r="D1372" t="s">
        <v>684</v>
      </c>
      <c r="E1372" t="s">
        <v>4919</v>
      </c>
      <c r="F1372" t="s">
        <v>4920</v>
      </c>
      <c r="G1372" t="s">
        <v>47</v>
      </c>
      <c r="H1372" t="s">
        <v>418</v>
      </c>
      <c r="I1372" t="s">
        <v>61</v>
      </c>
      <c r="J1372" t="s">
        <v>50</v>
      </c>
      <c r="K1372" t="s">
        <v>38</v>
      </c>
      <c r="L1372" t="s">
        <v>63</v>
      </c>
      <c r="M1372" t="s">
        <v>82</v>
      </c>
      <c r="N1372" t="s">
        <v>83</v>
      </c>
      <c r="O1372" s="3">
        <v>190000</v>
      </c>
      <c r="P1372" s="4">
        <v>5</v>
      </c>
      <c r="Q1372" s="2">
        <v>45921</v>
      </c>
      <c r="R1372" s="2">
        <v>46233</v>
      </c>
      <c r="S1372" s="2">
        <v>45870</v>
      </c>
      <c r="T1372" s="2"/>
      <c r="U1372" t="str">
        <f t="shared" si="147"/>
        <v>No</v>
      </c>
      <c r="W13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2" t="str">
        <f t="shared" ca="1" si="148"/>
        <v>Due/Open</v>
      </c>
      <c r="Y1372" t="str">
        <f t="shared" si="149"/>
        <v>Open</v>
      </c>
      <c r="Z1372" t="str">
        <f t="shared" si="150"/>
        <v>Jul-2025</v>
      </c>
      <c r="AA1372" t="str">
        <f t="shared" si="151"/>
        <v>Q3 2025</v>
      </c>
      <c r="AB1372" s="4">
        <f t="shared" ca="1" si="152"/>
        <v>347</v>
      </c>
      <c r="AC1372" t="str">
        <f t="shared" si="153"/>
        <v>Medium</v>
      </c>
    </row>
    <row r="1373" spans="1:29">
      <c r="A1373" t="s">
        <v>4921</v>
      </c>
      <c r="B1373" s="2">
        <v>46181</v>
      </c>
      <c r="C1373" t="s">
        <v>1415</v>
      </c>
      <c r="D1373" t="s">
        <v>1183</v>
      </c>
      <c r="E1373" t="s">
        <v>4922</v>
      </c>
      <c r="F1373" t="s">
        <v>4923</v>
      </c>
      <c r="G1373" t="s">
        <v>47</v>
      </c>
      <c r="H1373" t="s">
        <v>493</v>
      </c>
      <c r="I1373" t="s">
        <v>98</v>
      </c>
      <c r="J1373" t="s">
        <v>62</v>
      </c>
      <c r="K1373" t="s">
        <v>38</v>
      </c>
      <c r="L1373" t="s">
        <v>52</v>
      </c>
      <c r="M1373" t="s">
        <v>73</v>
      </c>
      <c r="N1373" t="s">
        <v>73</v>
      </c>
      <c r="O1373" s="3">
        <v>210000</v>
      </c>
      <c r="P1373" s="4">
        <v>75</v>
      </c>
      <c r="Q1373" s="2">
        <v>46244</v>
      </c>
      <c r="R1373" s="2">
        <v>46165</v>
      </c>
      <c r="S1373" s="2">
        <v>46182</v>
      </c>
      <c r="T1373" s="2"/>
      <c r="U1373" t="str">
        <f t="shared" si="147"/>
        <v>No</v>
      </c>
      <c r="W13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3" t="str">
        <f t="shared" ca="1" si="148"/>
        <v>Overdue</v>
      </c>
      <c r="Y1373" t="str">
        <f t="shared" si="149"/>
        <v>Open</v>
      </c>
      <c r="Z1373" t="str">
        <f t="shared" si="150"/>
        <v>Jun-2026</v>
      </c>
      <c r="AA1373" t="str">
        <f t="shared" si="151"/>
        <v>Q2 2026</v>
      </c>
      <c r="AB1373" s="4">
        <f t="shared" ca="1" si="152"/>
        <v>18</v>
      </c>
      <c r="AC1373" t="str">
        <f t="shared" si="153"/>
        <v>Medium</v>
      </c>
    </row>
    <row r="1374" spans="1:29">
      <c r="A1374" t="s">
        <v>4924</v>
      </c>
      <c r="B1374" s="2">
        <v>45863</v>
      </c>
      <c r="C1374" t="s">
        <v>3311</v>
      </c>
      <c r="D1374" t="s">
        <v>1093</v>
      </c>
      <c r="E1374" t="s">
        <v>4925</v>
      </c>
      <c r="F1374" t="s">
        <v>4926</v>
      </c>
      <c r="G1374" t="s">
        <v>34</v>
      </c>
      <c r="H1374" t="s">
        <v>446</v>
      </c>
      <c r="I1374" t="s">
        <v>148</v>
      </c>
      <c r="J1374" t="s">
        <v>124</v>
      </c>
      <c r="K1374" t="s">
        <v>114</v>
      </c>
      <c r="L1374" t="s">
        <v>63</v>
      </c>
      <c r="M1374" t="s">
        <v>90</v>
      </c>
      <c r="N1374" t="s">
        <v>91</v>
      </c>
      <c r="O1374" s="3">
        <v>185000</v>
      </c>
      <c r="P1374" s="4">
        <v>40</v>
      </c>
      <c r="Q1374" s="2">
        <v>45903</v>
      </c>
      <c r="R1374" s="2">
        <v>46206</v>
      </c>
      <c r="S1374" s="2">
        <v>45885</v>
      </c>
      <c r="T1374" s="2"/>
      <c r="U1374" t="str">
        <f t="shared" si="147"/>
        <v>No</v>
      </c>
      <c r="W13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4" t="str">
        <f t="shared" ca="1" si="148"/>
        <v>Due/Open</v>
      </c>
      <c r="Y1374" t="str">
        <f t="shared" si="149"/>
        <v>Open</v>
      </c>
      <c r="Z1374" t="str">
        <f t="shared" si="150"/>
        <v>Jul-2025</v>
      </c>
      <c r="AA1374" t="str">
        <f t="shared" si="151"/>
        <v>Q3 2025</v>
      </c>
      <c r="AB1374" s="4">
        <f t="shared" ca="1" si="152"/>
        <v>336</v>
      </c>
      <c r="AC1374" t="str">
        <f t="shared" si="153"/>
        <v>Medium</v>
      </c>
    </row>
    <row r="1375" spans="1:29">
      <c r="A1375" t="s">
        <v>4927</v>
      </c>
      <c r="B1375" s="2">
        <v>46155</v>
      </c>
      <c r="C1375" t="s">
        <v>1060</v>
      </c>
      <c r="D1375" t="s">
        <v>640</v>
      </c>
      <c r="E1375" t="s">
        <v>4928</v>
      </c>
      <c r="F1375" t="s">
        <v>4929</v>
      </c>
      <c r="G1375" t="s">
        <v>34</v>
      </c>
      <c r="H1375" t="s">
        <v>160</v>
      </c>
      <c r="I1375" t="s">
        <v>49</v>
      </c>
      <c r="J1375" t="s">
        <v>99</v>
      </c>
      <c r="K1375" t="s">
        <v>100</v>
      </c>
      <c r="L1375" t="s">
        <v>132</v>
      </c>
      <c r="M1375" t="s">
        <v>40</v>
      </c>
      <c r="N1375" t="s">
        <v>41</v>
      </c>
      <c r="O1375" s="3">
        <v>445000</v>
      </c>
      <c r="P1375" s="4">
        <v>100</v>
      </c>
      <c r="Q1375" s="2">
        <v>46193</v>
      </c>
      <c r="R1375" s="2"/>
      <c r="S1375" s="2">
        <v>46167</v>
      </c>
      <c r="T1375" s="2">
        <v>46193</v>
      </c>
      <c r="U1375" t="str">
        <f t="shared" si="147"/>
        <v>Yes</v>
      </c>
      <c r="W137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1375" t="str">
        <f t="shared" ca="1" si="148"/>
        <v>Closed</v>
      </c>
      <c r="Y1375" t="str">
        <f t="shared" si="149"/>
        <v>Closed</v>
      </c>
      <c r="Z1375" t="str">
        <f t="shared" si="150"/>
        <v>May-2026</v>
      </c>
      <c r="AA1375" t="str">
        <f t="shared" si="151"/>
        <v>Q2 2026</v>
      </c>
      <c r="AB1375" s="4">
        <f t="shared" ca="1" si="152"/>
        <v>44</v>
      </c>
      <c r="AC1375" t="str">
        <f t="shared" si="153"/>
        <v>High</v>
      </c>
    </row>
    <row r="1376" spans="1:29">
      <c r="A1376" t="s">
        <v>4930</v>
      </c>
      <c r="B1376" s="2">
        <v>45772</v>
      </c>
      <c r="C1376" t="s">
        <v>618</v>
      </c>
      <c r="D1376" t="s">
        <v>1722</v>
      </c>
      <c r="E1376" t="s">
        <v>4931</v>
      </c>
      <c r="F1376" t="s">
        <v>4932</v>
      </c>
      <c r="G1376" t="s">
        <v>47</v>
      </c>
      <c r="H1376" t="s">
        <v>48</v>
      </c>
      <c r="I1376" t="s">
        <v>187</v>
      </c>
      <c r="J1376" t="s">
        <v>62</v>
      </c>
      <c r="K1376" t="s">
        <v>100</v>
      </c>
      <c r="L1376" t="s">
        <v>132</v>
      </c>
      <c r="M1376" t="s">
        <v>166</v>
      </c>
      <c r="N1376" t="s">
        <v>167</v>
      </c>
      <c r="O1376" s="3">
        <v>165000</v>
      </c>
      <c r="P1376" s="4">
        <v>70</v>
      </c>
      <c r="Q1376" s="2">
        <v>45855</v>
      </c>
      <c r="R1376" s="2">
        <v>46167</v>
      </c>
      <c r="S1376" s="2">
        <v>45789</v>
      </c>
      <c r="T1376" s="2"/>
      <c r="U1376" t="str">
        <f t="shared" si="147"/>
        <v>No</v>
      </c>
      <c r="W13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6" t="str">
        <f t="shared" ca="1" si="148"/>
        <v>Overdue</v>
      </c>
      <c r="Y1376" t="str">
        <f t="shared" si="149"/>
        <v>Open</v>
      </c>
      <c r="Z1376" t="str">
        <f t="shared" si="150"/>
        <v>Apr-2025</v>
      </c>
      <c r="AA1376" t="str">
        <f t="shared" si="151"/>
        <v>Q2 2025</v>
      </c>
      <c r="AB1376" s="4">
        <f t="shared" ca="1" si="152"/>
        <v>427</v>
      </c>
      <c r="AC1376" t="str">
        <f t="shared" si="153"/>
        <v>Medium</v>
      </c>
    </row>
    <row r="1377" spans="1:29">
      <c r="A1377" t="s">
        <v>4933</v>
      </c>
      <c r="B1377" s="2">
        <v>45936</v>
      </c>
      <c r="C1377" t="s">
        <v>3622</v>
      </c>
      <c r="D1377" t="s">
        <v>914</v>
      </c>
      <c r="E1377" t="s">
        <v>4934</v>
      </c>
      <c r="F1377" t="s">
        <v>4935</v>
      </c>
      <c r="G1377" t="s">
        <v>34</v>
      </c>
      <c r="H1377" t="s">
        <v>35</v>
      </c>
      <c r="I1377" t="s">
        <v>187</v>
      </c>
      <c r="J1377" t="s">
        <v>50</v>
      </c>
      <c r="K1377" t="s">
        <v>114</v>
      </c>
      <c r="L1377" t="s">
        <v>107</v>
      </c>
      <c r="M1377" t="s">
        <v>116</v>
      </c>
      <c r="N1377" t="s">
        <v>54</v>
      </c>
      <c r="O1377" s="3">
        <v>415000</v>
      </c>
      <c r="P1377" s="4">
        <v>20</v>
      </c>
      <c r="Q1377" s="2">
        <v>46003</v>
      </c>
      <c r="R1377" s="2">
        <v>46166</v>
      </c>
      <c r="S1377" s="2">
        <v>45944</v>
      </c>
      <c r="T1377" s="2"/>
      <c r="U1377" t="str">
        <f t="shared" si="147"/>
        <v>No</v>
      </c>
      <c r="W13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7" t="str">
        <f t="shared" ca="1" si="148"/>
        <v>Overdue</v>
      </c>
      <c r="Y1377" t="str">
        <f t="shared" si="149"/>
        <v>Open</v>
      </c>
      <c r="Z1377" t="str">
        <f t="shared" si="150"/>
        <v>Oct-2025</v>
      </c>
      <c r="AA1377" t="str">
        <f t="shared" si="151"/>
        <v>Q4 2025</v>
      </c>
      <c r="AB1377" s="4">
        <f t="shared" ca="1" si="152"/>
        <v>263</v>
      </c>
      <c r="AC1377" t="str">
        <f t="shared" si="153"/>
        <v>High</v>
      </c>
    </row>
    <row r="1378" spans="1:29">
      <c r="A1378" t="s">
        <v>4936</v>
      </c>
      <c r="B1378" s="2">
        <v>45807</v>
      </c>
      <c r="C1378" t="s">
        <v>2151</v>
      </c>
      <c r="D1378" t="s">
        <v>170</v>
      </c>
      <c r="E1378" t="s">
        <v>4937</v>
      </c>
      <c r="F1378" t="s">
        <v>4938</v>
      </c>
      <c r="G1378" t="s">
        <v>179</v>
      </c>
      <c r="H1378" t="s">
        <v>487</v>
      </c>
      <c r="I1378" t="s">
        <v>148</v>
      </c>
      <c r="J1378" t="s">
        <v>131</v>
      </c>
      <c r="K1378" t="s">
        <v>100</v>
      </c>
      <c r="L1378" t="s">
        <v>154</v>
      </c>
      <c r="M1378" t="s">
        <v>90</v>
      </c>
      <c r="N1378" t="s">
        <v>91</v>
      </c>
      <c r="O1378" s="3">
        <v>185000</v>
      </c>
      <c r="P1378" s="4">
        <v>40</v>
      </c>
      <c r="Q1378" s="2">
        <v>45879</v>
      </c>
      <c r="R1378" s="2">
        <v>46226</v>
      </c>
      <c r="S1378" s="2">
        <v>45825</v>
      </c>
      <c r="T1378" s="2"/>
      <c r="U1378" t="str">
        <f t="shared" si="147"/>
        <v>No</v>
      </c>
      <c r="W13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78" t="str">
        <f t="shared" ca="1" si="148"/>
        <v>Due/Open</v>
      </c>
      <c r="Y1378" t="str">
        <f t="shared" si="149"/>
        <v>Open</v>
      </c>
      <c r="Z1378" t="str">
        <f t="shared" si="150"/>
        <v>May-2025</v>
      </c>
      <c r="AA1378" t="str">
        <f t="shared" si="151"/>
        <v>Q2 2025</v>
      </c>
      <c r="AB1378" s="4">
        <f t="shared" ca="1" si="152"/>
        <v>392</v>
      </c>
      <c r="AC1378" t="str">
        <f t="shared" si="153"/>
        <v>Medium</v>
      </c>
    </row>
    <row r="1379" spans="1:29">
      <c r="A1379" t="s">
        <v>4939</v>
      </c>
      <c r="B1379" s="2">
        <v>45938</v>
      </c>
      <c r="C1379" t="s">
        <v>1385</v>
      </c>
      <c r="D1379" t="s">
        <v>1021</v>
      </c>
      <c r="E1379" t="s">
        <v>4940</v>
      </c>
      <c r="F1379" t="s">
        <v>4941</v>
      </c>
      <c r="G1379" t="s">
        <v>179</v>
      </c>
      <c r="H1379" t="s">
        <v>436</v>
      </c>
      <c r="I1379" t="s">
        <v>141</v>
      </c>
      <c r="J1379" t="s">
        <v>50</v>
      </c>
      <c r="K1379" t="s">
        <v>114</v>
      </c>
      <c r="L1379" t="s">
        <v>107</v>
      </c>
      <c r="M1379" t="s">
        <v>40</v>
      </c>
      <c r="N1379" t="s">
        <v>41</v>
      </c>
      <c r="O1379" s="3">
        <v>495000</v>
      </c>
      <c r="P1379" s="4">
        <v>100</v>
      </c>
      <c r="Q1379" s="2">
        <v>45976</v>
      </c>
      <c r="R1379" s="2"/>
      <c r="S1379" s="2">
        <v>45949</v>
      </c>
      <c r="T1379" s="2">
        <v>45976</v>
      </c>
      <c r="U1379" t="str">
        <f t="shared" si="147"/>
        <v>Yes</v>
      </c>
      <c r="W137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38</v>
      </c>
      <c r="X1379" t="str">
        <f t="shared" ca="1" si="148"/>
        <v>Closed</v>
      </c>
      <c r="Y1379" t="str">
        <f t="shared" si="149"/>
        <v>Closed</v>
      </c>
      <c r="Z1379" t="str">
        <f t="shared" si="150"/>
        <v>Oct-2025</v>
      </c>
      <c r="AA1379" t="str">
        <f t="shared" si="151"/>
        <v>Q4 2025</v>
      </c>
      <c r="AB1379" s="4">
        <f t="shared" ca="1" si="152"/>
        <v>261</v>
      </c>
      <c r="AC1379" t="str">
        <f t="shared" si="153"/>
        <v>High</v>
      </c>
    </row>
    <row r="1380" spans="1:29">
      <c r="A1380" t="s">
        <v>4942</v>
      </c>
      <c r="B1380" s="2">
        <v>46172</v>
      </c>
      <c r="C1380" t="s">
        <v>1989</v>
      </c>
      <c r="D1380" t="s">
        <v>449</v>
      </c>
      <c r="E1380" t="s">
        <v>4943</v>
      </c>
      <c r="F1380" t="s">
        <v>4944</v>
      </c>
      <c r="G1380" t="s">
        <v>34</v>
      </c>
      <c r="H1380" t="s">
        <v>173</v>
      </c>
      <c r="I1380" t="s">
        <v>36</v>
      </c>
      <c r="J1380" t="s">
        <v>62</v>
      </c>
      <c r="K1380" t="s">
        <v>51</v>
      </c>
      <c r="L1380" t="s">
        <v>154</v>
      </c>
      <c r="M1380" t="s">
        <v>90</v>
      </c>
      <c r="N1380" t="s">
        <v>91</v>
      </c>
      <c r="O1380" s="3">
        <v>185000</v>
      </c>
      <c r="P1380" s="4">
        <v>50</v>
      </c>
      <c r="Q1380" s="2">
        <v>46236</v>
      </c>
      <c r="R1380" s="2">
        <v>46201</v>
      </c>
      <c r="S1380" s="2">
        <v>46192</v>
      </c>
      <c r="T1380" s="2"/>
      <c r="U1380" t="str">
        <f t="shared" si="147"/>
        <v>No</v>
      </c>
      <c r="W13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0" t="str">
        <f t="shared" ca="1" si="148"/>
        <v>Due/Open</v>
      </c>
      <c r="Y1380" t="str">
        <f t="shared" si="149"/>
        <v>Open</v>
      </c>
      <c r="Z1380" t="str">
        <f t="shared" si="150"/>
        <v>May-2026</v>
      </c>
      <c r="AA1380" t="str">
        <f t="shared" si="151"/>
        <v>Q2 2026</v>
      </c>
      <c r="AB1380" s="4">
        <f t="shared" ca="1" si="152"/>
        <v>27</v>
      </c>
      <c r="AC1380" t="str">
        <f t="shared" si="153"/>
        <v>Medium</v>
      </c>
    </row>
    <row r="1381" spans="1:29">
      <c r="A1381" t="s">
        <v>4945</v>
      </c>
      <c r="B1381" s="2">
        <v>45888</v>
      </c>
      <c r="C1381" t="s">
        <v>1370</v>
      </c>
      <c r="D1381" t="s">
        <v>342</v>
      </c>
      <c r="E1381" t="s">
        <v>4946</v>
      </c>
      <c r="F1381" t="s">
        <v>4947</v>
      </c>
      <c r="G1381" t="s">
        <v>179</v>
      </c>
      <c r="H1381" t="s">
        <v>180</v>
      </c>
      <c r="I1381" t="s">
        <v>148</v>
      </c>
      <c r="J1381" t="s">
        <v>99</v>
      </c>
      <c r="K1381" t="s">
        <v>194</v>
      </c>
      <c r="L1381" t="s">
        <v>107</v>
      </c>
      <c r="M1381" t="s">
        <v>116</v>
      </c>
      <c r="N1381" t="s">
        <v>54</v>
      </c>
      <c r="O1381" s="3">
        <v>655000</v>
      </c>
      <c r="P1381" s="4">
        <v>20</v>
      </c>
      <c r="Q1381" s="2">
        <v>45968</v>
      </c>
      <c r="R1381" s="2">
        <v>46229</v>
      </c>
      <c r="S1381" s="2">
        <v>45891</v>
      </c>
      <c r="T1381" s="2"/>
      <c r="U1381" t="str">
        <f t="shared" si="147"/>
        <v>No</v>
      </c>
      <c r="W13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1" t="str">
        <f t="shared" ca="1" si="148"/>
        <v>Due/Open</v>
      </c>
      <c r="Y1381" t="str">
        <f t="shared" si="149"/>
        <v>Open</v>
      </c>
      <c r="Z1381" t="str">
        <f t="shared" si="150"/>
        <v>Aug-2025</v>
      </c>
      <c r="AA1381" t="str">
        <f t="shared" si="151"/>
        <v>Q3 2025</v>
      </c>
      <c r="AB1381" s="4">
        <f t="shared" ca="1" si="152"/>
        <v>311</v>
      </c>
      <c r="AC1381" t="str">
        <f t="shared" si="153"/>
        <v>High</v>
      </c>
    </row>
    <row r="1382" spans="1:29">
      <c r="A1382" t="s">
        <v>4948</v>
      </c>
      <c r="B1382" s="2">
        <v>45907</v>
      </c>
      <c r="C1382" t="s">
        <v>4949</v>
      </c>
      <c r="D1382" t="s">
        <v>190</v>
      </c>
      <c r="E1382" t="s">
        <v>4950</v>
      </c>
      <c r="F1382" t="s">
        <v>4951</v>
      </c>
      <c r="G1382" t="s">
        <v>179</v>
      </c>
      <c r="H1382" t="s">
        <v>487</v>
      </c>
      <c r="I1382" t="s">
        <v>98</v>
      </c>
      <c r="J1382" t="s">
        <v>37</v>
      </c>
      <c r="K1382" t="s">
        <v>100</v>
      </c>
      <c r="L1382" t="s">
        <v>39</v>
      </c>
      <c r="M1382" t="s">
        <v>210</v>
      </c>
      <c r="N1382" t="s">
        <v>134</v>
      </c>
      <c r="O1382" s="3">
        <v>110000</v>
      </c>
      <c r="P1382" s="4">
        <v>0</v>
      </c>
      <c r="Q1382" s="2">
        <v>45981</v>
      </c>
      <c r="R1382" s="2"/>
      <c r="S1382" s="2">
        <v>45912</v>
      </c>
      <c r="T1382" s="2">
        <v>45981</v>
      </c>
      <c r="U1382" t="str">
        <f t="shared" si="147"/>
        <v>No</v>
      </c>
      <c r="V1382" t="s">
        <v>1105</v>
      </c>
      <c r="W138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74</v>
      </c>
      <c r="X1382" t="str">
        <f t="shared" ca="1" si="148"/>
        <v>Closed</v>
      </c>
      <c r="Y1382" t="str">
        <f t="shared" si="149"/>
        <v>Closed</v>
      </c>
      <c r="Z1382" t="str">
        <f t="shared" si="150"/>
        <v>Sep-2025</v>
      </c>
      <c r="AA1382" t="str">
        <f t="shared" si="151"/>
        <v>Q3 2025</v>
      </c>
      <c r="AB1382" s="4">
        <f t="shared" ca="1" si="152"/>
        <v>292</v>
      </c>
      <c r="AC1382" t="str">
        <f t="shared" si="153"/>
        <v>Low</v>
      </c>
    </row>
    <row r="1383" spans="1:29">
      <c r="A1383" t="s">
        <v>4952</v>
      </c>
      <c r="B1383" s="2">
        <v>45978</v>
      </c>
      <c r="C1383" t="s">
        <v>1060</v>
      </c>
      <c r="D1383" t="s">
        <v>1815</v>
      </c>
      <c r="E1383" t="s">
        <v>4953</v>
      </c>
      <c r="F1383" t="s">
        <v>4954</v>
      </c>
      <c r="G1383" t="s">
        <v>69</v>
      </c>
      <c r="H1383" t="s">
        <v>193</v>
      </c>
      <c r="I1383" t="s">
        <v>148</v>
      </c>
      <c r="J1383" t="s">
        <v>50</v>
      </c>
      <c r="K1383" t="s">
        <v>114</v>
      </c>
      <c r="L1383" t="s">
        <v>125</v>
      </c>
      <c r="M1383" t="s">
        <v>53</v>
      </c>
      <c r="N1383" t="s">
        <v>54</v>
      </c>
      <c r="O1383" s="3">
        <v>460000</v>
      </c>
      <c r="P1383" s="4">
        <v>30</v>
      </c>
      <c r="Q1383" s="2">
        <v>46014</v>
      </c>
      <c r="R1383" s="2">
        <v>46226</v>
      </c>
      <c r="S1383" s="2">
        <v>45980</v>
      </c>
      <c r="T1383" s="2"/>
      <c r="U1383" t="str">
        <f t="shared" si="147"/>
        <v>No</v>
      </c>
      <c r="W13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3" t="str">
        <f t="shared" ca="1" si="148"/>
        <v>Due/Open</v>
      </c>
      <c r="Y1383" t="str">
        <f t="shared" si="149"/>
        <v>Open</v>
      </c>
      <c r="Z1383" t="str">
        <f t="shared" si="150"/>
        <v>Nov-2025</v>
      </c>
      <c r="AA1383" t="str">
        <f t="shared" si="151"/>
        <v>Q4 2025</v>
      </c>
      <c r="AB1383" s="4">
        <f t="shared" ca="1" si="152"/>
        <v>221</v>
      </c>
      <c r="AC1383" t="str">
        <f t="shared" si="153"/>
        <v>High</v>
      </c>
    </row>
    <row r="1384" spans="1:29">
      <c r="A1384" t="s">
        <v>4955</v>
      </c>
      <c r="B1384" s="2">
        <v>45718</v>
      </c>
      <c r="C1384" t="s">
        <v>2028</v>
      </c>
      <c r="D1384" t="s">
        <v>433</v>
      </c>
      <c r="E1384" t="s">
        <v>4956</v>
      </c>
      <c r="F1384" t="s">
        <v>4957</v>
      </c>
      <c r="G1384" t="s">
        <v>69</v>
      </c>
      <c r="H1384" t="s">
        <v>193</v>
      </c>
      <c r="I1384" t="s">
        <v>148</v>
      </c>
      <c r="J1384" t="s">
        <v>50</v>
      </c>
      <c r="K1384" t="s">
        <v>194</v>
      </c>
      <c r="L1384" t="s">
        <v>239</v>
      </c>
      <c r="M1384" t="s">
        <v>116</v>
      </c>
      <c r="N1384" t="s">
        <v>54</v>
      </c>
      <c r="O1384" s="3">
        <v>265000</v>
      </c>
      <c r="P1384" s="4">
        <v>15</v>
      </c>
      <c r="Q1384" s="2">
        <v>45739</v>
      </c>
      <c r="R1384" s="2">
        <v>46210</v>
      </c>
      <c r="S1384" s="2">
        <v>45740</v>
      </c>
      <c r="T1384" s="2"/>
      <c r="U1384" t="str">
        <f t="shared" si="147"/>
        <v>No</v>
      </c>
      <c r="W13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4" t="str">
        <f t="shared" ca="1" si="148"/>
        <v>Due/Open</v>
      </c>
      <c r="Y1384" t="str">
        <f t="shared" si="149"/>
        <v>Open</v>
      </c>
      <c r="Z1384" t="str">
        <f t="shared" si="150"/>
        <v>Mar-2025</v>
      </c>
      <c r="AA1384" t="str">
        <f t="shared" si="151"/>
        <v>Q1 2025</v>
      </c>
      <c r="AB1384" s="4">
        <f t="shared" ca="1" si="152"/>
        <v>481</v>
      </c>
      <c r="AC1384" t="str">
        <f t="shared" si="153"/>
        <v>Medium</v>
      </c>
    </row>
    <row r="1385" spans="1:29">
      <c r="A1385" t="s">
        <v>4958</v>
      </c>
      <c r="B1385" s="2">
        <v>45716</v>
      </c>
      <c r="C1385" t="s">
        <v>1726</v>
      </c>
      <c r="D1385" t="s">
        <v>1043</v>
      </c>
      <c r="E1385" t="s">
        <v>4959</v>
      </c>
      <c r="F1385" t="s">
        <v>4960</v>
      </c>
      <c r="G1385" t="s">
        <v>69</v>
      </c>
      <c r="H1385" t="s">
        <v>200</v>
      </c>
      <c r="I1385" t="s">
        <v>141</v>
      </c>
      <c r="J1385" t="s">
        <v>131</v>
      </c>
      <c r="K1385" t="s">
        <v>100</v>
      </c>
      <c r="L1385" t="s">
        <v>39</v>
      </c>
      <c r="M1385" t="s">
        <v>82</v>
      </c>
      <c r="N1385" t="s">
        <v>83</v>
      </c>
      <c r="O1385" s="3">
        <v>365000</v>
      </c>
      <c r="P1385" s="4">
        <v>5</v>
      </c>
      <c r="Q1385" s="2">
        <v>45756</v>
      </c>
      <c r="R1385" s="2">
        <v>46238</v>
      </c>
      <c r="S1385" s="2">
        <v>45738</v>
      </c>
      <c r="T1385" s="2"/>
      <c r="U1385" t="str">
        <f t="shared" si="147"/>
        <v>No</v>
      </c>
      <c r="W13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5" t="str">
        <f t="shared" ca="1" si="148"/>
        <v>Due/Open</v>
      </c>
      <c r="Y1385" t="str">
        <f t="shared" si="149"/>
        <v>Open</v>
      </c>
      <c r="Z1385" t="str">
        <f t="shared" si="150"/>
        <v>Feb-2025</v>
      </c>
      <c r="AA1385" t="str">
        <f t="shared" si="151"/>
        <v>Q1 2025</v>
      </c>
      <c r="AB1385" s="4">
        <f t="shared" ca="1" si="152"/>
        <v>483</v>
      </c>
      <c r="AC1385" t="str">
        <f t="shared" si="153"/>
        <v>High</v>
      </c>
    </row>
    <row r="1386" spans="1:29">
      <c r="A1386" t="s">
        <v>4961</v>
      </c>
      <c r="B1386" s="2">
        <v>45735</v>
      </c>
      <c r="C1386" t="s">
        <v>2468</v>
      </c>
      <c r="D1386" t="s">
        <v>1343</v>
      </c>
      <c r="E1386" t="s">
        <v>4962</v>
      </c>
      <c r="F1386" t="s">
        <v>4963</v>
      </c>
      <c r="G1386" t="s">
        <v>69</v>
      </c>
      <c r="H1386" t="s">
        <v>193</v>
      </c>
      <c r="I1386" t="s">
        <v>49</v>
      </c>
      <c r="J1386" t="s">
        <v>131</v>
      </c>
      <c r="K1386" t="s">
        <v>51</v>
      </c>
      <c r="L1386" t="s">
        <v>39</v>
      </c>
      <c r="M1386" t="s">
        <v>53</v>
      </c>
      <c r="N1386" t="s">
        <v>54</v>
      </c>
      <c r="O1386" s="3">
        <v>160000</v>
      </c>
      <c r="P1386" s="4">
        <v>35</v>
      </c>
      <c r="Q1386" s="2">
        <v>45790</v>
      </c>
      <c r="R1386" s="2">
        <v>46242</v>
      </c>
      <c r="S1386" s="2">
        <v>45744</v>
      </c>
      <c r="T1386" s="2"/>
      <c r="U1386" t="str">
        <f t="shared" si="147"/>
        <v>No</v>
      </c>
      <c r="W13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6" t="str">
        <f t="shared" ca="1" si="148"/>
        <v>Due/Open</v>
      </c>
      <c r="Y1386" t="str">
        <f t="shared" si="149"/>
        <v>Open</v>
      </c>
      <c r="Z1386" t="str">
        <f t="shared" si="150"/>
        <v>Mar-2025</v>
      </c>
      <c r="AA1386" t="str">
        <f t="shared" si="151"/>
        <v>Q1 2025</v>
      </c>
      <c r="AB1386" s="4">
        <f t="shared" ca="1" si="152"/>
        <v>464</v>
      </c>
      <c r="AC1386" t="str">
        <f t="shared" si="153"/>
        <v>Medium</v>
      </c>
    </row>
    <row r="1387" spans="1:29">
      <c r="A1387" t="s">
        <v>4964</v>
      </c>
      <c r="B1387" s="2">
        <v>45822</v>
      </c>
      <c r="C1387" t="s">
        <v>534</v>
      </c>
      <c r="D1387" t="s">
        <v>1933</v>
      </c>
      <c r="E1387" t="s">
        <v>4965</v>
      </c>
      <c r="F1387" t="s">
        <v>4966</v>
      </c>
      <c r="G1387" t="s">
        <v>47</v>
      </c>
      <c r="H1387" t="s">
        <v>48</v>
      </c>
      <c r="I1387" t="s">
        <v>187</v>
      </c>
      <c r="J1387" t="s">
        <v>131</v>
      </c>
      <c r="K1387" t="s">
        <v>71</v>
      </c>
      <c r="L1387" t="s">
        <v>154</v>
      </c>
      <c r="M1387" t="s">
        <v>166</v>
      </c>
      <c r="N1387" t="s">
        <v>167</v>
      </c>
      <c r="O1387" s="3">
        <v>135000</v>
      </c>
      <c r="P1387" s="4">
        <v>65</v>
      </c>
      <c r="Q1387" s="2">
        <v>45900</v>
      </c>
      <c r="R1387" s="2">
        <v>46236</v>
      </c>
      <c r="S1387" s="2">
        <v>45830</v>
      </c>
      <c r="T1387" s="2"/>
      <c r="U1387" t="str">
        <f t="shared" si="147"/>
        <v>No</v>
      </c>
      <c r="W13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7" t="str">
        <f t="shared" ca="1" si="148"/>
        <v>Due/Open</v>
      </c>
      <c r="Y1387" t="str">
        <f t="shared" si="149"/>
        <v>Open</v>
      </c>
      <c r="Z1387" t="str">
        <f t="shared" si="150"/>
        <v>Jun-2025</v>
      </c>
      <c r="AA1387" t="str">
        <f t="shared" si="151"/>
        <v>Q2 2025</v>
      </c>
      <c r="AB1387" s="4">
        <f t="shared" ca="1" si="152"/>
        <v>377</v>
      </c>
      <c r="AC1387" t="str">
        <f t="shared" si="153"/>
        <v>Medium</v>
      </c>
    </row>
    <row r="1388" spans="1:29">
      <c r="A1388" t="s">
        <v>4967</v>
      </c>
      <c r="B1388" s="2">
        <v>46152</v>
      </c>
      <c r="C1388" t="s">
        <v>1945</v>
      </c>
      <c r="D1388" t="s">
        <v>1302</v>
      </c>
      <c r="E1388" t="s">
        <v>4968</v>
      </c>
      <c r="F1388" t="s">
        <v>4969</v>
      </c>
      <c r="G1388" t="s">
        <v>69</v>
      </c>
      <c r="H1388" t="s">
        <v>70</v>
      </c>
      <c r="I1388" t="s">
        <v>148</v>
      </c>
      <c r="J1388" t="s">
        <v>62</v>
      </c>
      <c r="K1388" t="s">
        <v>71</v>
      </c>
      <c r="L1388" t="s">
        <v>115</v>
      </c>
      <c r="M1388" t="s">
        <v>53</v>
      </c>
      <c r="N1388" t="s">
        <v>54</v>
      </c>
      <c r="O1388" s="3">
        <v>430000</v>
      </c>
      <c r="P1388" s="4">
        <v>30</v>
      </c>
      <c r="Q1388" s="2">
        <v>46247</v>
      </c>
      <c r="R1388" s="2">
        <v>46155</v>
      </c>
      <c r="S1388" s="2">
        <v>46159</v>
      </c>
      <c r="T1388" s="2"/>
      <c r="U1388" t="str">
        <f t="shared" si="147"/>
        <v>No</v>
      </c>
      <c r="W13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8" t="str">
        <f t="shared" ca="1" si="148"/>
        <v>Overdue</v>
      </c>
      <c r="Y1388" t="str">
        <f t="shared" si="149"/>
        <v>Open</v>
      </c>
      <c r="Z1388" t="str">
        <f t="shared" si="150"/>
        <v>May-2026</v>
      </c>
      <c r="AA1388" t="str">
        <f t="shared" si="151"/>
        <v>Q2 2026</v>
      </c>
      <c r="AB1388" s="4">
        <f t="shared" ca="1" si="152"/>
        <v>47</v>
      </c>
      <c r="AC1388" t="str">
        <f t="shared" si="153"/>
        <v>High</v>
      </c>
    </row>
    <row r="1389" spans="1:29">
      <c r="A1389" t="s">
        <v>4970</v>
      </c>
      <c r="B1389" s="2">
        <v>45766</v>
      </c>
      <c r="C1389" t="s">
        <v>921</v>
      </c>
      <c r="D1389" t="s">
        <v>428</v>
      </c>
      <c r="E1389" t="s">
        <v>4971</v>
      </c>
      <c r="F1389" t="s">
        <v>4972</v>
      </c>
      <c r="G1389" t="s">
        <v>69</v>
      </c>
      <c r="H1389" t="s">
        <v>270</v>
      </c>
      <c r="I1389" t="s">
        <v>141</v>
      </c>
      <c r="J1389" t="s">
        <v>50</v>
      </c>
      <c r="K1389" t="s">
        <v>51</v>
      </c>
      <c r="L1389" t="s">
        <v>52</v>
      </c>
      <c r="M1389" t="s">
        <v>166</v>
      </c>
      <c r="N1389" t="s">
        <v>167</v>
      </c>
      <c r="O1389" s="3">
        <v>545000</v>
      </c>
      <c r="P1389" s="4">
        <v>70</v>
      </c>
      <c r="Q1389" s="2">
        <v>45821</v>
      </c>
      <c r="R1389" s="2">
        <v>46165</v>
      </c>
      <c r="S1389" s="2">
        <v>45777</v>
      </c>
      <c r="T1389" s="2"/>
      <c r="U1389" t="str">
        <f t="shared" si="147"/>
        <v>No</v>
      </c>
      <c r="W13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89" t="str">
        <f t="shared" ca="1" si="148"/>
        <v>Overdue</v>
      </c>
      <c r="Y1389" t="str">
        <f t="shared" si="149"/>
        <v>Open</v>
      </c>
      <c r="Z1389" t="str">
        <f t="shared" si="150"/>
        <v>Apr-2025</v>
      </c>
      <c r="AA1389" t="str">
        <f t="shared" si="151"/>
        <v>Q2 2025</v>
      </c>
      <c r="AB1389" s="4">
        <f t="shared" ca="1" si="152"/>
        <v>433</v>
      </c>
      <c r="AC1389" t="str">
        <f t="shared" si="153"/>
        <v>High</v>
      </c>
    </row>
    <row r="1390" spans="1:29">
      <c r="A1390" t="s">
        <v>4973</v>
      </c>
      <c r="B1390" s="2">
        <v>45906</v>
      </c>
      <c r="C1390" t="s">
        <v>1960</v>
      </c>
      <c r="D1390" t="s">
        <v>969</v>
      </c>
      <c r="E1390" t="s">
        <v>4974</v>
      </c>
      <c r="F1390" t="s">
        <v>4975</v>
      </c>
      <c r="G1390" t="s">
        <v>179</v>
      </c>
      <c r="H1390" t="s">
        <v>487</v>
      </c>
      <c r="I1390" t="s">
        <v>148</v>
      </c>
      <c r="J1390" t="s">
        <v>124</v>
      </c>
      <c r="K1390" t="s">
        <v>194</v>
      </c>
      <c r="L1390" t="s">
        <v>63</v>
      </c>
      <c r="M1390" t="s">
        <v>82</v>
      </c>
      <c r="N1390" t="s">
        <v>83</v>
      </c>
      <c r="O1390" s="3">
        <v>305000</v>
      </c>
      <c r="P1390" s="4">
        <v>5</v>
      </c>
      <c r="Q1390" s="2">
        <v>45944</v>
      </c>
      <c r="R1390" s="2">
        <v>46210</v>
      </c>
      <c r="S1390" s="2">
        <v>45934</v>
      </c>
      <c r="T1390" s="2"/>
      <c r="U1390" t="str">
        <f t="shared" si="147"/>
        <v>No</v>
      </c>
      <c r="W13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0" t="str">
        <f t="shared" ca="1" si="148"/>
        <v>Due/Open</v>
      </c>
      <c r="Y1390" t="str">
        <f t="shared" si="149"/>
        <v>Open</v>
      </c>
      <c r="Z1390" t="str">
        <f t="shared" si="150"/>
        <v>Sep-2025</v>
      </c>
      <c r="AA1390" t="str">
        <f t="shared" si="151"/>
        <v>Q3 2025</v>
      </c>
      <c r="AB1390" s="4">
        <f t="shared" ca="1" si="152"/>
        <v>293</v>
      </c>
      <c r="AC1390" t="str">
        <f t="shared" si="153"/>
        <v>High</v>
      </c>
    </row>
    <row r="1391" spans="1:29">
      <c r="A1391" t="s">
        <v>4976</v>
      </c>
      <c r="B1391" s="2">
        <v>46178</v>
      </c>
      <c r="C1391" t="s">
        <v>660</v>
      </c>
      <c r="D1391" t="s">
        <v>273</v>
      </c>
      <c r="E1391" t="s">
        <v>4977</v>
      </c>
      <c r="F1391" t="s">
        <v>4978</v>
      </c>
      <c r="G1391" t="s">
        <v>69</v>
      </c>
      <c r="H1391" t="s">
        <v>70</v>
      </c>
      <c r="I1391" t="s">
        <v>98</v>
      </c>
      <c r="J1391" t="s">
        <v>50</v>
      </c>
      <c r="K1391" t="s">
        <v>114</v>
      </c>
      <c r="L1391" t="s">
        <v>154</v>
      </c>
      <c r="M1391" t="s">
        <v>82</v>
      </c>
      <c r="N1391" t="s">
        <v>83</v>
      </c>
      <c r="O1391" s="3">
        <v>405000</v>
      </c>
      <c r="P1391" s="4">
        <v>5</v>
      </c>
      <c r="Q1391" s="2">
        <v>46259</v>
      </c>
      <c r="R1391" s="2">
        <v>46162</v>
      </c>
      <c r="S1391" s="2">
        <v>46190</v>
      </c>
      <c r="T1391" s="2"/>
      <c r="U1391" t="str">
        <f t="shared" si="147"/>
        <v>No</v>
      </c>
      <c r="W13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1" t="str">
        <f t="shared" ca="1" si="148"/>
        <v>Overdue</v>
      </c>
      <c r="Y1391" t="str">
        <f t="shared" si="149"/>
        <v>Open</v>
      </c>
      <c r="Z1391" t="str">
        <f t="shared" si="150"/>
        <v>Jun-2026</v>
      </c>
      <c r="AA1391" t="str">
        <f t="shared" si="151"/>
        <v>Q2 2026</v>
      </c>
      <c r="AB1391" s="4">
        <f t="shared" ca="1" si="152"/>
        <v>21</v>
      </c>
      <c r="AC1391" t="str">
        <f t="shared" si="153"/>
        <v>High</v>
      </c>
    </row>
    <row r="1392" spans="1:29">
      <c r="A1392" t="s">
        <v>4979</v>
      </c>
      <c r="B1392" s="2">
        <v>45939</v>
      </c>
      <c r="C1392" t="s">
        <v>3527</v>
      </c>
      <c r="D1392" t="s">
        <v>565</v>
      </c>
      <c r="E1392" t="s">
        <v>4980</v>
      </c>
      <c r="F1392" t="s">
        <v>4981</v>
      </c>
      <c r="G1392" t="s">
        <v>34</v>
      </c>
      <c r="H1392" t="s">
        <v>238</v>
      </c>
      <c r="I1392" t="s">
        <v>36</v>
      </c>
      <c r="J1392" t="s">
        <v>62</v>
      </c>
      <c r="K1392" t="s">
        <v>38</v>
      </c>
      <c r="L1392" t="s">
        <v>107</v>
      </c>
      <c r="M1392" t="s">
        <v>166</v>
      </c>
      <c r="N1392" t="s">
        <v>167</v>
      </c>
      <c r="O1392" s="3">
        <v>330000</v>
      </c>
      <c r="P1392" s="4">
        <v>65</v>
      </c>
      <c r="Q1392" s="2">
        <v>46000</v>
      </c>
      <c r="R1392" s="2">
        <v>46221</v>
      </c>
      <c r="S1392" s="2">
        <v>45951</v>
      </c>
      <c r="T1392" s="2"/>
      <c r="U1392" t="str">
        <f t="shared" si="147"/>
        <v>No</v>
      </c>
      <c r="W13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2" t="str">
        <f t="shared" ca="1" si="148"/>
        <v>Due/Open</v>
      </c>
      <c r="Y1392" t="str">
        <f t="shared" si="149"/>
        <v>Open</v>
      </c>
      <c r="Z1392" t="str">
        <f t="shared" si="150"/>
        <v>Oct-2025</v>
      </c>
      <c r="AA1392" t="str">
        <f t="shared" si="151"/>
        <v>Q4 2025</v>
      </c>
      <c r="AB1392" s="4">
        <f t="shared" ca="1" si="152"/>
        <v>260</v>
      </c>
      <c r="AC1392" t="str">
        <f t="shared" si="153"/>
        <v>High</v>
      </c>
    </row>
    <row r="1393" spans="1:29">
      <c r="A1393" t="s">
        <v>4982</v>
      </c>
      <c r="B1393" s="2">
        <v>46048</v>
      </c>
      <c r="C1393" t="s">
        <v>1459</v>
      </c>
      <c r="D1393" t="s">
        <v>909</v>
      </c>
      <c r="E1393" t="s">
        <v>4983</v>
      </c>
      <c r="F1393" t="s">
        <v>4984</v>
      </c>
      <c r="G1393" t="s">
        <v>47</v>
      </c>
      <c r="H1393" t="s">
        <v>89</v>
      </c>
      <c r="I1393" t="s">
        <v>141</v>
      </c>
      <c r="J1393" t="s">
        <v>37</v>
      </c>
      <c r="K1393" t="s">
        <v>71</v>
      </c>
      <c r="L1393" t="s">
        <v>125</v>
      </c>
      <c r="M1393" t="s">
        <v>133</v>
      </c>
      <c r="N1393" t="s">
        <v>134</v>
      </c>
      <c r="O1393" s="3">
        <v>60000</v>
      </c>
      <c r="P1393" s="4">
        <v>0</v>
      </c>
      <c r="Q1393" s="2">
        <v>46114</v>
      </c>
      <c r="R1393" s="2"/>
      <c r="S1393" s="2">
        <v>46078</v>
      </c>
      <c r="T1393" s="2">
        <v>46114</v>
      </c>
      <c r="U1393" t="str">
        <f t="shared" si="147"/>
        <v>No</v>
      </c>
      <c r="V1393" t="s">
        <v>452</v>
      </c>
      <c r="W139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393" t="str">
        <f t="shared" ca="1" si="148"/>
        <v>Closed</v>
      </c>
      <c r="Y1393" t="str">
        <f t="shared" si="149"/>
        <v>Closed</v>
      </c>
      <c r="Z1393" t="str">
        <f t="shared" si="150"/>
        <v>Jan-2026</v>
      </c>
      <c r="AA1393" t="str">
        <f t="shared" si="151"/>
        <v>Q1 2026</v>
      </c>
      <c r="AB1393" s="4">
        <f t="shared" ca="1" si="152"/>
        <v>151</v>
      </c>
      <c r="AC1393" t="str">
        <f t="shared" si="153"/>
        <v>Low</v>
      </c>
    </row>
    <row r="1394" spans="1:29">
      <c r="A1394" t="s">
        <v>4985</v>
      </c>
      <c r="B1394" s="2">
        <v>46104</v>
      </c>
      <c r="C1394" t="s">
        <v>411</v>
      </c>
      <c r="D1394" t="s">
        <v>565</v>
      </c>
      <c r="E1394" t="s">
        <v>4986</v>
      </c>
      <c r="F1394" t="s">
        <v>4987</v>
      </c>
      <c r="G1394" t="s">
        <v>47</v>
      </c>
      <c r="H1394" t="s">
        <v>89</v>
      </c>
      <c r="I1394" t="s">
        <v>98</v>
      </c>
      <c r="J1394" t="s">
        <v>62</v>
      </c>
      <c r="K1394" t="s">
        <v>51</v>
      </c>
      <c r="L1394" t="s">
        <v>81</v>
      </c>
      <c r="M1394" t="s">
        <v>133</v>
      </c>
      <c r="N1394" t="s">
        <v>134</v>
      </c>
      <c r="O1394" s="3">
        <v>400000</v>
      </c>
      <c r="P1394" s="4">
        <v>0</v>
      </c>
      <c r="Q1394" s="2">
        <v>46141</v>
      </c>
      <c r="R1394" s="2"/>
      <c r="S1394" s="2">
        <v>46108</v>
      </c>
      <c r="T1394" s="2">
        <v>46141</v>
      </c>
      <c r="U1394" t="str">
        <f t="shared" si="147"/>
        <v>No</v>
      </c>
      <c r="V1394" t="s">
        <v>135</v>
      </c>
      <c r="W13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394" t="str">
        <f t="shared" ca="1" si="148"/>
        <v>Closed</v>
      </c>
      <c r="Y1394" t="str">
        <f t="shared" si="149"/>
        <v>Closed</v>
      </c>
      <c r="Z1394" t="str">
        <f t="shared" si="150"/>
        <v>Mar-2026</v>
      </c>
      <c r="AA1394" t="str">
        <f t="shared" si="151"/>
        <v>Q1 2026</v>
      </c>
      <c r="AB1394" s="4">
        <f t="shared" ca="1" si="152"/>
        <v>95</v>
      </c>
      <c r="AC1394" t="str">
        <f t="shared" si="153"/>
        <v>High</v>
      </c>
    </row>
    <row r="1395" spans="1:29">
      <c r="A1395" t="s">
        <v>4988</v>
      </c>
      <c r="B1395" s="2">
        <v>46094</v>
      </c>
      <c r="C1395" t="s">
        <v>4989</v>
      </c>
      <c r="D1395" t="s">
        <v>31</v>
      </c>
      <c r="E1395" t="s">
        <v>4990</v>
      </c>
      <c r="F1395" t="s">
        <v>4991</v>
      </c>
      <c r="G1395" t="s">
        <v>69</v>
      </c>
      <c r="H1395" t="s">
        <v>193</v>
      </c>
      <c r="I1395" t="s">
        <v>36</v>
      </c>
      <c r="J1395" t="s">
        <v>62</v>
      </c>
      <c r="K1395" t="s">
        <v>100</v>
      </c>
      <c r="L1395" t="s">
        <v>107</v>
      </c>
      <c r="M1395" t="s">
        <v>116</v>
      </c>
      <c r="N1395" t="s">
        <v>54</v>
      </c>
      <c r="O1395" s="3">
        <v>320000</v>
      </c>
      <c r="P1395" s="4">
        <v>15</v>
      </c>
      <c r="Q1395" s="2">
        <v>46120</v>
      </c>
      <c r="R1395" s="2">
        <v>46204</v>
      </c>
      <c r="S1395" s="2">
        <v>46120</v>
      </c>
      <c r="T1395" s="2"/>
      <c r="U1395" t="str">
        <f t="shared" si="147"/>
        <v>No</v>
      </c>
      <c r="W13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5" t="str">
        <f t="shared" ca="1" si="148"/>
        <v>Due/Open</v>
      </c>
      <c r="Y1395" t="str">
        <f t="shared" si="149"/>
        <v>Open</v>
      </c>
      <c r="Z1395" t="str">
        <f t="shared" si="150"/>
        <v>Mar-2026</v>
      </c>
      <c r="AA1395" t="str">
        <f t="shared" si="151"/>
        <v>Q1 2026</v>
      </c>
      <c r="AB1395" s="4">
        <f t="shared" ca="1" si="152"/>
        <v>105</v>
      </c>
      <c r="AC1395" t="str">
        <f t="shared" si="153"/>
        <v>High</v>
      </c>
    </row>
    <row r="1396" spans="1:29">
      <c r="A1396" t="s">
        <v>4992</v>
      </c>
      <c r="B1396" s="2">
        <v>46057</v>
      </c>
      <c r="C1396" t="s">
        <v>2789</v>
      </c>
      <c r="D1396" t="s">
        <v>384</v>
      </c>
      <c r="E1396" t="s">
        <v>4993</v>
      </c>
      <c r="F1396" t="s">
        <v>4994</v>
      </c>
      <c r="G1396" t="s">
        <v>47</v>
      </c>
      <c r="H1396" t="s">
        <v>113</v>
      </c>
      <c r="I1396" t="s">
        <v>187</v>
      </c>
      <c r="J1396" t="s">
        <v>37</v>
      </c>
      <c r="K1396" t="s">
        <v>71</v>
      </c>
      <c r="L1396" t="s">
        <v>107</v>
      </c>
      <c r="M1396" t="s">
        <v>90</v>
      </c>
      <c r="N1396" t="s">
        <v>91</v>
      </c>
      <c r="O1396" s="3">
        <v>140000</v>
      </c>
      <c r="P1396" s="4">
        <v>50</v>
      </c>
      <c r="Q1396" s="2">
        <v>46079</v>
      </c>
      <c r="R1396" s="2">
        <v>46206</v>
      </c>
      <c r="S1396" s="2">
        <v>46080</v>
      </c>
      <c r="T1396" s="2"/>
      <c r="U1396" t="str">
        <f t="shared" si="147"/>
        <v>No</v>
      </c>
      <c r="W13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6" t="str">
        <f t="shared" ca="1" si="148"/>
        <v>Due/Open</v>
      </c>
      <c r="Y1396" t="str">
        <f t="shared" si="149"/>
        <v>Open</v>
      </c>
      <c r="Z1396" t="str">
        <f t="shared" si="150"/>
        <v>Feb-2026</v>
      </c>
      <c r="AA1396" t="str">
        <f t="shared" si="151"/>
        <v>Q1 2026</v>
      </c>
      <c r="AB1396" s="4">
        <f t="shared" ca="1" si="152"/>
        <v>142</v>
      </c>
      <c r="AC1396" t="str">
        <f t="shared" si="153"/>
        <v>Medium</v>
      </c>
    </row>
    <row r="1397" spans="1:29">
      <c r="A1397" t="s">
        <v>4995</v>
      </c>
      <c r="B1397" s="2">
        <v>46167</v>
      </c>
      <c r="C1397" t="s">
        <v>2400</v>
      </c>
      <c r="D1397" t="s">
        <v>163</v>
      </c>
      <c r="E1397" t="s">
        <v>4996</v>
      </c>
      <c r="F1397" t="s">
        <v>4997</v>
      </c>
      <c r="G1397" t="s">
        <v>69</v>
      </c>
      <c r="H1397" t="s">
        <v>70</v>
      </c>
      <c r="I1397" t="s">
        <v>36</v>
      </c>
      <c r="J1397" t="s">
        <v>62</v>
      </c>
      <c r="K1397" t="s">
        <v>194</v>
      </c>
      <c r="L1397" t="s">
        <v>115</v>
      </c>
      <c r="M1397" t="s">
        <v>116</v>
      </c>
      <c r="N1397" t="s">
        <v>54</v>
      </c>
      <c r="O1397" s="3">
        <v>160000</v>
      </c>
      <c r="P1397" s="4">
        <v>20</v>
      </c>
      <c r="Q1397" s="2">
        <v>46213</v>
      </c>
      <c r="R1397" s="2">
        <v>46210</v>
      </c>
      <c r="S1397" s="2">
        <v>46171</v>
      </c>
      <c r="T1397" s="2"/>
      <c r="U1397" t="str">
        <f t="shared" si="147"/>
        <v>No</v>
      </c>
      <c r="W13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7" t="str">
        <f t="shared" ca="1" si="148"/>
        <v>Due/Open</v>
      </c>
      <c r="Y1397" t="str">
        <f t="shared" si="149"/>
        <v>Open</v>
      </c>
      <c r="Z1397" t="str">
        <f t="shared" si="150"/>
        <v>May-2026</v>
      </c>
      <c r="AA1397" t="str">
        <f t="shared" si="151"/>
        <v>Q2 2026</v>
      </c>
      <c r="AB1397" s="4">
        <f t="shared" ca="1" si="152"/>
        <v>32</v>
      </c>
      <c r="AC1397" t="str">
        <f t="shared" si="153"/>
        <v>Medium</v>
      </c>
    </row>
    <row r="1398" spans="1:29">
      <c r="A1398" t="s">
        <v>4998</v>
      </c>
      <c r="B1398" s="2">
        <v>45713</v>
      </c>
      <c r="C1398" t="s">
        <v>1143</v>
      </c>
      <c r="D1398" t="s">
        <v>926</v>
      </c>
      <c r="E1398" t="s">
        <v>4999</v>
      </c>
      <c r="F1398" t="s">
        <v>5000</v>
      </c>
      <c r="G1398" t="s">
        <v>69</v>
      </c>
      <c r="H1398" t="s">
        <v>200</v>
      </c>
      <c r="I1398" t="s">
        <v>141</v>
      </c>
      <c r="J1398" t="s">
        <v>50</v>
      </c>
      <c r="K1398" t="s">
        <v>71</v>
      </c>
      <c r="L1398" t="s">
        <v>72</v>
      </c>
      <c r="M1398" t="s">
        <v>210</v>
      </c>
      <c r="N1398" t="s">
        <v>134</v>
      </c>
      <c r="O1398" s="3">
        <v>160000</v>
      </c>
      <c r="P1398" s="4">
        <v>0</v>
      </c>
      <c r="Q1398" s="2">
        <v>45741</v>
      </c>
      <c r="R1398" s="2"/>
      <c r="S1398" s="2">
        <v>45743</v>
      </c>
      <c r="T1398" s="2">
        <v>45741</v>
      </c>
      <c r="U1398" t="str">
        <f t="shared" si="147"/>
        <v>No</v>
      </c>
      <c r="V1398" t="s">
        <v>211</v>
      </c>
      <c r="W139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1398" t="str">
        <f t="shared" ca="1" si="148"/>
        <v>Closed</v>
      </c>
      <c r="Y1398" t="str">
        <f t="shared" si="149"/>
        <v>Closed</v>
      </c>
      <c r="Z1398" t="str">
        <f t="shared" si="150"/>
        <v>Feb-2025</v>
      </c>
      <c r="AA1398" t="str">
        <f t="shared" si="151"/>
        <v>Q1 2025</v>
      </c>
      <c r="AB1398" s="4">
        <f t="shared" ca="1" si="152"/>
        <v>486</v>
      </c>
      <c r="AC1398" t="str">
        <f t="shared" si="153"/>
        <v>Medium</v>
      </c>
    </row>
    <row r="1399" spans="1:29">
      <c r="A1399" t="s">
        <v>5001</v>
      </c>
      <c r="B1399" s="2">
        <v>45941</v>
      </c>
      <c r="C1399" t="s">
        <v>4339</v>
      </c>
      <c r="D1399" t="s">
        <v>347</v>
      </c>
      <c r="E1399" t="s">
        <v>5002</v>
      </c>
      <c r="F1399" t="s">
        <v>5003</v>
      </c>
      <c r="G1399" t="s">
        <v>79</v>
      </c>
      <c r="H1399" t="s">
        <v>260</v>
      </c>
      <c r="I1399" t="s">
        <v>36</v>
      </c>
      <c r="J1399" t="s">
        <v>99</v>
      </c>
      <c r="K1399" t="s">
        <v>100</v>
      </c>
      <c r="L1399" t="s">
        <v>63</v>
      </c>
      <c r="M1399" t="s">
        <v>116</v>
      </c>
      <c r="N1399" t="s">
        <v>54</v>
      </c>
      <c r="O1399" s="3">
        <v>640000</v>
      </c>
      <c r="P1399" s="4">
        <v>25</v>
      </c>
      <c r="Q1399" s="2">
        <v>45988</v>
      </c>
      <c r="R1399" s="2">
        <v>46235</v>
      </c>
      <c r="S1399" s="2">
        <v>45951</v>
      </c>
      <c r="T1399" s="2"/>
      <c r="U1399" t="str">
        <f t="shared" si="147"/>
        <v>No</v>
      </c>
      <c r="W13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399" t="str">
        <f t="shared" ca="1" si="148"/>
        <v>Due/Open</v>
      </c>
      <c r="Y1399" t="str">
        <f t="shared" si="149"/>
        <v>Open</v>
      </c>
      <c r="Z1399" t="str">
        <f t="shared" si="150"/>
        <v>Oct-2025</v>
      </c>
      <c r="AA1399" t="str">
        <f t="shared" si="151"/>
        <v>Q4 2025</v>
      </c>
      <c r="AB1399" s="4">
        <f t="shared" ca="1" si="152"/>
        <v>258</v>
      </c>
      <c r="AC1399" t="str">
        <f t="shared" si="153"/>
        <v>High</v>
      </c>
    </row>
    <row r="1400" spans="1:29">
      <c r="A1400" t="s">
        <v>5004</v>
      </c>
      <c r="B1400" s="2">
        <v>46045</v>
      </c>
      <c r="C1400" t="s">
        <v>3069</v>
      </c>
      <c r="D1400" t="s">
        <v>361</v>
      </c>
      <c r="E1400" t="s">
        <v>5005</v>
      </c>
      <c r="F1400" t="s">
        <v>5006</v>
      </c>
      <c r="G1400" t="s">
        <v>179</v>
      </c>
      <c r="H1400" t="s">
        <v>186</v>
      </c>
      <c r="I1400" t="s">
        <v>141</v>
      </c>
      <c r="J1400" t="s">
        <v>37</v>
      </c>
      <c r="K1400" t="s">
        <v>51</v>
      </c>
      <c r="L1400" t="s">
        <v>39</v>
      </c>
      <c r="M1400" t="s">
        <v>53</v>
      </c>
      <c r="N1400" t="s">
        <v>54</v>
      </c>
      <c r="O1400" s="3">
        <v>180000</v>
      </c>
      <c r="P1400" s="4">
        <v>25</v>
      </c>
      <c r="Q1400" s="2">
        <v>46112</v>
      </c>
      <c r="R1400" s="2">
        <v>46184</v>
      </c>
      <c r="S1400" s="2">
        <v>46054</v>
      </c>
      <c r="T1400" s="2"/>
      <c r="U1400" t="str">
        <f t="shared" si="147"/>
        <v>No</v>
      </c>
      <c r="W14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0" t="str">
        <f t="shared" ca="1" si="148"/>
        <v>Overdue</v>
      </c>
      <c r="Y1400" t="str">
        <f t="shared" si="149"/>
        <v>Open</v>
      </c>
      <c r="Z1400" t="str">
        <f t="shared" si="150"/>
        <v>Jan-2026</v>
      </c>
      <c r="AA1400" t="str">
        <f t="shared" si="151"/>
        <v>Q1 2026</v>
      </c>
      <c r="AB1400" s="4">
        <f t="shared" ca="1" si="152"/>
        <v>154</v>
      </c>
      <c r="AC1400" t="str">
        <f t="shared" si="153"/>
        <v>Medium</v>
      </c>
    </row>
    <row r="1401" spans="1:29">
      <c r="A1401" t="s">
        <v>5007</v>
      </c>
      <c r="B1401" s="2">
        <v>45860</v>
      </c>
      <c r="C1401" t="s">
        <v>56</v>
      </c>
      <c r="D1401" t="s">
        <v>2211</v>
      </c>
      <c r="E1401" t="s">
        <v>5008</v>
      </c>
      <c r="F1401" t="s">
        <v>5009</v>
      </c>
      <c r="G1401" t="s">
        <v>79</v>
      </c>
      <c r="H1401" t="s">
        <v>106</v>
      </c>
      <c r="I1401" t="s">
        <v>36</v>
      </c>
      <c r="J1401" t="s">
        <v>37</v>
      </c>
      <c r="K1401" t="s">
        <v>100</v>
      </c>
      <c r="L1401" t="s">
        <v>107</v>
      </c>
      <c r="M1401" t="s">
        <v>116</v>
      </c>
      <c r="N1401" t="s">
        <v>54</v>
      </c>
      <c r="O1401" s="3">
        <v>115000</v>
      </c>
      <c r="P1401" s="4">
        <v>25</v>
      </c>
      <c r="Q1401" s="2">
        <v>45933</v>
      </c>
      <c r="R1401" s="2">
        <v>46219</v>
      </c>
      <c r="S1401" s="2">
        <v>45872</v>
      </c>
      <c r="T1401" s="2"/>
      <c r="U1401" t="str">
        <f t="shared" si="147"/>
        <v>No</v>
      </c>
      <c r="W14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1" t="str">
        <f t="shared" ca="1" si="148"/>
        <v>Due/Open</v>
      </c>
      <c r="Y1401" t="str">
        <f t="shared" si="149"/>
        <v>Open</v>
      </c>
      <c r="Z1401" t="str">
        <f t="shared" si="150"/>
        <v>Jul-2025</v>
      </c>
      <c r="AA1401" t="str">
        <f t="shared" si="151"/>
        <v>Q3 2025</v>
      </c>
      <c r="AB1401" s="4">
        <f t="shared" ca="1" si="152"/>
        <v>339</v>
      </c>
      <c r="AC1401" t="str">
        <f t="shared" si="153"/>
        <v>Low</v>
      </c>
    </row>
    <row r="1402" spans="1:29">
      <c r="A1402" t="s">
        <v>5010</v>
      </c>
      <c r="B1402" s="2">
        <v>45975</v>
      </c>
      <c r="C1402" t="s">
        <v>516</v>
      </c>
      <c r="D1402" t="s">
        <v>1183</v>
      </c>
      <c r="E1402" t="s">
        <v>5011</v>
      </c>
      <c r="F1402" t="s">
        <v>5012</v>
      </c>
      <c r="G1402" t="s">
        <v>179</v>
      </c>
      <c r="H1402" t="s">
        <v>487</v>
      </c>
      <c r="I1402" t="s">
        <v>148</v>
      </c>
      <c r="J1402" t="s">
        <v>124</v>
      </c>
      <c r="K1402" t="s">
        <v>114</v>
      </c>
      <c r="L1402" t="s">
        <v>239</v>
      </c>
      <c r="M1402" t="s">
        <v>116</v>
      </c>
      <c r="N1402" t="s">
        <v>54</v>
      </c>
      <c r="O1402" s="3">
        <v>240000</v>
      </c>
      <c r="P1402" s="4">
        <v>25</v>
      </c>
      <c r="Q1402" s="2">
        <v>46026</v>
      </c>
      <c r="R1402" s="2">
        <v>46211</v>
      </c>
      <c r="S1402" s="2">
        <v>45980</v>
      </c>
      <c r="T1402" s="2"/>
      <c r="U1402" t="str">
        <f t="shared" si="147"/>
        <v>No</v>
      </c>
      <c r="W14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2" t="str">
        <f t="shared" ca="1" si="148"/>
        <v>Due/Open</v>
      </c>
      <c r="Y1402" t="str">
        <f t="shared" si="149"/>
        <v>Open</v>
      </c>
      <c r="Z1402" t="str">
        <f t="shared" si="150"/>
        <v>Nov-2025</v>
      </c>
      <c r="AA1402" t="str">
        <f t="shared" si="151"/>
        <v>Q4 2025</v>
      </c>
      <c r="AB1402" s="4">
        <f t="shared" ca="1" si="152"/>
        <v>224</v>
      </c>
      <c r="AC1402" t="str">
        <f t="shared" si="153"/>
        <v>Medium</v>
      </c>
    </row>
    <row r="1403" spans="1:29">
      <c r="A1403" t="s">
        <v>5013</v>
      </c>
      <c r="B1403" s="2">
        <v>45806</v>
      </c>
      <c r="C1403" t="s">
        <v>2358</v>
      </c>
      <c r="D1403" t="s">
        <v>676</v>
      </c>
      <c r="E1403" t="s">
        <v>5014</v>
      </c>
      <c r="F1403" t="s">
        <v>5015</v>
      </c>
      <c r="G1403" t="s">
        <v>34</v>
      </c>
      <c r="H1403" t="s">
        <v>60</v>
      </c>
      <c r="I1403" t="s">
        <v>187</v>
      </c>
      <c r="J1403" t="s">
        <v>131</v>
      </c>
      <c r="K1403" t="s">
        <v>71</v>
      </c>
      <c r="L1403" t="s">
        <v>52</v>
      </c>
      <c r="M1403" t="s">
        <v>166</v>
      </c>
      <c r="N1403" t="s">
        <v>167</v>
      </c>
      <c r="O1403" s="3">
        <v>375000</v>
      </c>
      <c r="P1403" s="4">
        <v>60</v>
      </c>
      <c r="Q1403" s="2">
        <v>45898</v>
      </c>
      <c r="R1403" s="2">
        <v>46210</v>
      </c>
      <c r="S1403" s="2">
        <v>45835</v>
      </c>
      <c r="T1403" s="2"/>
      <c r="U1403" t="str">
        <f t="shared" si="147"/>
        <v>No</v>
      </c>
      <c r="W14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3" t="str">
        <f t="shared" ca="1" si="148"/>
        <v>Due/Open</v>
      </c>
      <c r="Y1403" t="str">
        <f t="shared" si="149"/>
        <v>Open</v>
      </c>
      <c r="Z1403" t="str">
        <f t="shared" si="150"/>
        <v>May-2025</v>
      </c>
      <c r="AA1403" t="str">
        <f t="shared" si="151"/>
        <v>Q2 2025</v>
      </c>
      <c r="AB1403" s="4">
        <f t="shared" ca="1" si="152"/>
        <v>393</v>
      </c>
      <c r="AC1403" t="str">
        <f t="shared" si="153"/>
        <v>High</v>
      </c>
    </row>
    <row r="1404" spans="1:29">
      <c r="A1404" t="s">
        <v>5016</v>
      </c>
      <c r="B1404" s="2">
        <v>45870</v>
      </c>
      <c r="C1404" t="s">
        <v>1814</v>
      </c>
      <c r="D1404" t="s">
        <v>926</v>
      </c>
      <c r="E1404" t="s">
        <v>5017</v>
      </c>
      <c r="F1404" t="s">
        <v>5018</v>
      </c>
      <c r="G1404" t="s">
        <v>69</v>
      </c>
      <c r="H1404" t="s">
        <v>200</v>
      </c>
      <c r="I1404" t="s">
        <v>141</v>
      </c>
      <c r="J1404" t="s">
        <v>99</v>
      </c>
      <c r="K1404" t="s">
        <v>71</v>
      </c>
      <c r="L1404" t="s">
        <v>142</v>
      </c>
      <c r="M1404" t="s">
        <v>90</v>
      </c>
      <c r="N1404" t="s">
        <v>91</v>
      </c>
      <c r="O1404" s="3">
        <v>325000</v>
      </c>
      <c r="P1404" s="4">
        <v>40</v>
      </c>
      <c r="Q1404" s="2">
        <v>45960</v>
      </c>
      <c r="R1404" s="2">
        <v>46239</v>
      </c>
      <c r="S1404" s="2">
        <v>45887</v>
      </c>
      <c r="T1404" s="2"/>
      <c r="U1404" t="str">
        <f t="shared" si="147"/>
        <v>No</v>
      </c>
      <c r="W14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4" t="str">
        <f t="shared" ca="1" si="148"/>
        <v>Due/Open</v>
      </c>
      <c r="Y1404" t="str">
        <f t="shared" si="149"/>
        <v>Open</v>
      </c>
      <c r="Z1404" t="str">
        <f t="shared" si="150"/>
        <v>Aug-2025</v>
      </c>
      <c r="AA1404" t="str">
        <f t="shared" si="151"/>
        <v>Q3 2025</v>
      </c>
      <c r="AB1404" s="4">
        <f t="shared" ca="1" si="152"/>
        <v>329</v>
      </c>
      <c r="AC1404" t="str">
        <f t="shared" si="153"/>
        <v>High</v>
      </c>
    </row>
    <row r="1405" spans="1:29">
      <c r="A1405" t="s">
        <v>5019</v>
      </c>
      <c r="B1405" s="2">
        <v>45936</v>
      </c>
      <c r="C1405" t="s">
        <v>3226</v>
      </c>
      <c r="D1405" t="s">
        <v>2493</v>
      </c>
      <c r="E1405" t="s">
        <v>5020</v>
      </c>
      <c r="F1405" t="s">
        <v>5021</v>
      </c>
      <c r="G1405" t="s">
        <v>179</v>
      </c>
      <c r="H1405" t="s">
        <v>180</v>
      </c>
      <c r="I1405" t="s">
        <v>187</v>
      </c>
      <c r="J1405" t="s">
        <v>99</v>
      </c>
      <c r="K1405" t="s">
        <v>51</v>
      </c>
      <c r="L1405" t="s">
        <v>154</v>
      </c>
      <c r="M1405" t="s">
        <v>53</v>
      </c>
      <c r="N1405" t="s">
        <v>54</v>
      </c>
      <c r="O1405" s="3">
        <v>415000</v>
      </c>
      <c r="P1405" s="4">
        <v>25</v>
      </c>
      <c r="Q1405" s="2">
        <v>46012</v>
      </c>
      <c r="R1405" s="2">
        <v>46157</v>
      </c>
      <c r="S1405" s="2">
        <v>45941</v>
      </c>
      <c r="T1405" s="2"/>
      <c r="U1405" t="str">
        <f t="shared" si="147"/>
        <v>No</v>
      </c>
      <c r="W14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5" t="str">
        <f t="shared" ca="1" si="148"/>
        <v>Overdue</v>
      </c>
      <c r="Y1405" t="str">
        <f t="shared" si="149"/>
        <v>Open</v>
      </c>
      <c r="Z1405" t="str">
        <f t="shared" si="150"/>
        <v>Oct-2025</v>
      </c>
      <c r="AA1405" t="str">
        <f t="shared" si="151"/>
        <v>Q4 2025</v>
      </c>
      <c r="AB1405" s="4">
        <f t="shared" ca="1" si="152"/>
        <v>263</v>
      </c>
      <c r="AC1405" t="str">
        <f t="shared" si="153"/>
        <v>High</v>
      </c>
    </row>
    <row r="1406" spans="1:29">
      <c r="A1406" t="s">
        <v>5022</v>
      </c>
      <c r="B1406" s="2">
        <v>46075</v>
      </c>
      <c r="C1406" t="s">
        <v>2142</v>
      </c>
      <c r="D1406" t="s">
        <v>586</v>
      </c>
      <c r="E1406" t="s">
        <v>5023</v>
      </c>
      <c r="F1406" t="s">
        <v>5024</v>
      </c>
      <c r="G1406" t="s">
        <v>79</v>
      </c>
      <c r="H1406" t="s">
        <v>260</v>
      </c>
      <c r="I1406" t="s">
        <v>61</v>
      </c>
      <c r="J1406" t="s">
        <v>62</v>
      </c>
      <c r="K1406" t="s">
        <v>194</v>
      </c>
      <c r="L1406" t="s">
        <v>115</v>
      </c>
      <c r="M1406" t="s">
        <v>90</v>
      </c>
      <c r="N1406" t="s">
        <v>91</v>
      </c>
      <c r="O1406" s="3">
        <v>210000</v>
      </c>
      <c r="P1406" s="4">
        <v>50</v>
      </c>
      <c r="Q1406" s="2">
        <v>46109</v>
      </c>
      <c r="R1406" s="2">
        <v>46178</v>
      </c>
      <c r="S1406" s="2">
        <v>46086</v>
      </c>
      <c r="T1406" s="2"/>
      <c r="U1406" t="str">
        <f t="shared" si="147"/>
        <v>No</v>
      </c>
      <c r="W14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6" t="str">
        <f t="shared" ca="1" si="148"/>
        <v>Overdue</v>
      </c>
      <c r="Y1406" t="str">
        <f t="shared" si="149"/>
        <v>Open</v>
      </c>
      <c r="Z1406" t="str">
        <f t="shared" si="150"/>
        <v>Feb-2026</v>
      </c>
      <c r="AA1406" t="str">
        <f t="shared" si="151"/>
        <v>Q1 2026</v>
      </c>
      <c r="AB1406" s="4">
        <f t="shared" ca="1" si="152"/>
        <v>124</v>
      </c>
      <c r="AC1406" t="str">
        <f t="shared" si="153"/>
        <v>Medium</v>
      </c>
    </row>
    <row r="1407" spans="1:29">
      <c r="A1407" t="s">
        <v>5025</v>
      </c>
      <c r="B1407" s="2">
        <v>46082</v>
      </c>
      <c r="C1407" t="s">
        <v>5026</v>
      </c>
      <c r="D1407" t="s">
        <v>242</v>
      </c>
      <c r="E1407" t="s">
        <v>5027</v>
      </c>
      <c r="F1407" t="s">
        <v>5028</v>
      </c>
      <c r="G1407" t="s">
        <v>79</v>
      </c>
      <c r="H1407" t="s">
        <v>106</v>
      </c>
      <c r="I1407" t="s">
        <v>49</v>
      </c>
      <c r="J1407" t="s">
        <v>50</v>
      </c>
      <c r="K1407" t="s">
        <v>194</v>
      </c>
      <c r="L1407" t="s">
        <v>107</v>
      </c>
      <c r="M1407" t="s">
        <v>82</v>
      </c>
      <c r="N1407" t="s">
        <v>83</v>
      </c>
      <c r="O1407" s="3">
        <v>435000</v>
      </c>
      <c r="P1407" s="4">
        <v>5</v>
      </c>
      <c r="Q1407" s="2">
        <v>46173</v>
      </c>
      <c r="R1407" s="2">
        <v>46174</v>
      </c>
      <c r="S1407" s="2">
        <v>46094</v>
      </c>
      <c r="T1407" s="2"/>
      <c r="U1407" t="str">
        <f t="shared" si="147"/>
        <v>No</v>
      </c>
      <c r="W14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7" t="str">
        <f t="shared" ca="1" si="148"/>
        <v>Overdue</v>
      </c>
      <c r="Y1407" t="str">
        <f t="shared" si="149"/>
        <v>Open</v>
      </c>
      <c r="Z1407" t="str">
        <f t="shared" si="150"/>
        <v>Mar-2026</v>
      </c>
      <c r="AA1407" t="str">
        <f t="shared" si="151"/>
        <v>Q1 2026</v>
      </c>
      <c r="AB1407" s="4">
        <f t="shared" ca="1" si="152"/>
        <v>117</v>
      </c>
      <c r="AC1407" t="str">
        <f t="shared" si="153"/>
        <v>High</v>
      </c>
    </row>
    <row r="1408" spans="1:29">
      <c r="A1408" t="s">
        <v>5029</v>
      </c>
      <c r="B1408" s="2">
        <v>45741</v>
      </c>
      <c r="C1408" t="s">
        <v>913</v>
      </c>
      <c r="D1408" t="s">
        <v>1127</v>
      </c>
      <c r="E1408" t="s">
        <v>5030</v>
      </c>
      <c r="F1408" t="s">
        <v>5031</v>
      </c>
      <c r="G1408" t="s">
        <v>69</v>
      </c>
      <c r="H1408" t="s">
        <v>312</v>
      </c>
      <c r="I1408" t="s">
        <v>98</v>
      </c>
      <c r="J1408" t="s">
        <v>37</v>
      </c>
      <c r="K1408" t="s">
        <v>194</v>
      </c>
      <c r="L1408" t="s">
        <v>125</v>
      </c>
      <c r="M1408" t="s">
        <v>82</v>
      </c>
      <c r="N1408" t="s">
        <v>83</v>
      </c>
      <c r="O1408" s="3">
        <v>85000</v>
      </c>
      <c r="P1408" s="4">
        <v>5</v>
      </c>
      <c r="Q1408" s="2">
        <v>45762</v>
      </c>
      <c r="R1408" s="2">
        <v>46177</v>
      </c>
      <c r="S1408" s="2">
        <v>45748</v>
      </c>
      <c r="T1408" s="2"/>
      <c r="U1408" t="str">
        <f t="shared" si="147"/>
        <v>No</v>
      </c>
      <c r="W14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8" t="str">
        <f t="shared" ca="1" si="148"/>
        <v>Overdue</v>
      </c>
      <c r="Y1408" t="str">
        <f t="shared" si="149"/>
        <v>Open</v>
      </c>
      <c r="Z1408" t="str">
        <f t="shared" si="150"/>
        <v>Mar-2025</v>
      </c>
      <c r="AA1408" t="str">
        <f t="shared" si="151"/>
        <v>Q1 2025</v>
      </c>
      <c r="AB1408" s="4">
        <f t="shared" ca="1" si="152"/>
        <v>458</v>
      </c>
      <c r="AC1408" t="str">
        <f t="shared" si="153"/>
        <v>Low</v>
      </c>
    </row>
    <row r="1409" spans="1:29">
      <c r="A1409" t="s">
        <v>5032</v>
      </c>
      <c r="B1409" s="2">
        <v>45869</v>
      </c>
      <c r="C1409" t="s">
        <v>1378</v>
      </c>
      <c r="D1409" t="s">
        <v>1072</v>
      </c>
      <c r="E1409" t="s">
        <v>5033</v>
      </c>
      <c r="F1409" t="s">
        <v>5034</v>
      </c>
      <c r="G1409" t="s">
        <v>34</v>
      </c>
      <c r="H1409" t="s">
        <v>60</v>
      </c>
      <c r="I1409" t="s">
        <v>49</v>
      </c>
      <c r="J1409" t="s">
        <v>124</v>
      </c>
      <c r="K1409" t="s">
        <v>51</v>
      </c>
      <c r="L1409" t="s">
        <v>239</v>
      </c>
      <c r="M1409" t="s">
        <v>166</v>
      </c>
      <c r="N1409" t="s">
        <v>167</v>
      </c>
      <c r="O1409" s="3">
        <v>270000</v>
      </c>
      <c r="P1409" s="4">
        <v>70</v>
      </c>
      <c r="Q1409" s="2">
        <v>45950</v>
      </c>
      <c r="R1409" s="2">
        <v>46214</v>
      </c>
      <c r="S1409" s="2">
        <v>45880</v>
      </c>
      <c r="T1409" s="2"/>
      <c r="U1409" t="str">
        <f t="shared" si="147"/>
        <v>No</v>
      </c>
      <c r="W14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09" t="str">
        <f t="shared" ca="1" si="148"/>
        <v>Due/Open</v>
      </c>
      <c r="Y1409" t="str">
        <f t="shared" si="149"/>
        <v>Open</v>
      </c>
      <c r="Z1409" t="str">
        <f t="shared" si="150"/>
        <v>Jul-2025</v>
      </c>
      <c r="AA1409" t="str">
        <f t="shared" si="151"/>
        <v>Q3 2025</v>
      </c>
      <c r="AB1409" s="4">
        <f t="shared" ca="1" si="152"/>
        <v>330</v>
      </c>
      <c r="AC1409" t="str">
        <f t="shared" si="153"/>
        <v>Medium</v>
      </c>
    </row>
    <row r="1410" spans="1:29">
      <c r="A1410" t="s">
        <v>5035</v>
      </c>
      <c r="B1410" s="2">
        <v>45793</v>
      </c>
      <c r="C1410" t="s">
        <v>1529</v>
      </c>
      <c r="D1410" t="s">
        <v>384</v>
      </c>
      <c r="E1410" t="s">
        <v>5036</v>
      </c>
      <c r="F1410" t="s">
        <v>5037</v>
      </c>
      <c r="G1410" t="s">
        <v>69</v>
      </c>
      <c r="H1410" t="s">
        <v>193</v>
      </c>
      <c r="I1410" t="s">
        <v>98</v>
      </c>
      <c r="J1410" t="s">
        <v>50</v>
      </c>
      <c r="K1410" t="s">
        <v>194</v>
      </c>
      <c r="L1410" t="s">
        <v>239</v>
      </c>
      <c r="M1410" t="s">
        <v>90</v>
      </c>
      <c r="N1410" t="s">
        <v>91</v>
      </c>
      <c r="O1410" s="3">
        <v>300000</v>
      </c>
      <c r="P1410" s="4">
        <v>40</v>
      </c>
      <c r="Q1410" s="2">
        <v>45813</v>
      </c>
      <c r="R1410" s="2">
        <v>46182</v>
      </c>
      <c r="S1410" s="2">
        <v>45810</v>
      </c>
      <c r="T1410" s="2"/>
      <c r="U1410" t="str">
        <f t="shared" ref="U1410:U1473" si="154">IF(M1410="Converted","Yes","No")</f>
        <v>No</v>
      </c>
      <c r="W14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0" t="str">
        <f t="shared" ref="X1410:X1473" ca="1" si="155">IF(OR(M1410="Converted",M1410="Lost",M1410="Not Interested"),"Closed",IF(R1410&lt;TODAY(),"Overdue","Due/Open"))</f>
        <v>Overdue</v>
      </c>
      <c r="Y1410" t="str">
        <f t="shared" ref="Y1410:Y1473" si="156">IF(OR(M1410="Converted",M1410="Lost",M1410="Not Interested"),"Closed","Open")</f>
        <v>Open</v>
      </c>
      <c r="Z1410" t="str">
        <f t="shared" ref="Z1410:Z1473" si="157">TEXT(B1410,"mmm-yyyy")</f>
        <v>May-2025</v>
      </c>
      <c r="AA1410" t="str">
        <f t="shared" ref="AA1410:AA1473" si="158">"Q"&amp;ROUNDUP(MONTH(B1410)/3,0)&amp;" "&amp;YEAR(B1410)</f>
        <v>Q2 2025</v>
      </c>
      <c r="AB1410" s="4">
        <f t="shared" ref="AB1410:AB1473" ca="1" si="159">TODAY()-B1410</f>
        <v>406</v>
      </c>
      <c r="AC1410" t="str">
        <f t="shared" ref="AC1410:AC1473" si="160">IF(O1410&gt;=300000,"High",IF(O1410&gt;=120000,"Medium","Low"))</f>
        <v>High</v>
      </c>
    </row>
    <row r="1411" spans="1:29">
      <c r="A1411" t="s">
        <v>5038</v>
      </c>
      <c r="B1411" s="2">
        <v>46085</v>
      </c>
      <c r="C1411" t="s">
        <v>415</v>
      </c>
      <c r="D1411" t="s">
        <v>449</v>
      </c>
      <c r="E1411" t="s">
        <v>5039</v>
      </c>
      <c r="F1411" t="s">
        <v>5040</v>
      </c>
      <c r="G1411" t="s">
        <v>34</v>
      </c>
      <c r="H1411" t="s">
        <v>238</v>
      </c>
      <c r="I1411" t="s">
        <v>187</v>
      </c>
      <c r="J1411" t="s">
        <v>99</v>
      </c>
      <c r="K1411" t="s">
        <v>114</v>
      </c>
      <c r="L1411" t="s">
        <v>125</v>
      </c>
      <c r="M1411" t="s">
        <v>82</v>
      </c>
      <c r="N1411" t="s">
        <v>83</v>
      </c>
      <c r="O1411" s="3">
        <v>600000</v>
      </c>
      <c r="P1411" s="4">
        <v>5</v>
      </c>
      <c r="Q1411" s="2">
        <v>46158</v>
      </c>
      <c r="R1411" s="2">
        <v>46210</v>
      </c>
      <c r="S1411" s="2">
        <v>46086</v>
      </c>
      <c r="T1411" s="2"/>
      <c r="U1411" t="str">
        <f t="shared" si="154"/>
        <v>No</v>
      </c>
      <c r="W14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1" t="str">
        <f t="shared" ca="1" si="155"/>
        <v>Due/Open</v>
      </c>
      <c r="Y1411" t="str">
        <f t="shared" si="156"/>
        <v>Open</v>
      </c>
      <c r="Z1411" t="str">
        <f t="shared" si="157"/>
        <v>Mar-2026</v>
      </c>
      <c r="AA1411" t="str">
        <f t="shared" si="158"/>
        <v>Q1 2026</v>
      </c>
      <c r="AB1411" s="4">
        <f t="shared" ca="1" si="159"/>
        <v>114</v>
      </c>
      <c r="AC1411" t="str">
        <f t="shared" si="160"/>
        <v>High</v>
      </c>
    </row>
    <row r="1412" spans="1:29">
      <c r="A1412" t="s">
        <v>5041</v>
      </c>
      <c r="B1412" s="2">
        <v>45831</v>
      </c>
      <c r="C1412" t="s">
        <v>2086</v>
      </c>
      <c r="D1412" t="s">
        <v>831</v>
      </c>
      <c r="E1412" t="s">
        <v>5042</v>
      </c>
      <c r="F1412" t="s">
        <v>5043</v>
      </c>
      <c r="G1412" t="s">
        <v>47</v>
      </c>
      <c r="H1412" t="s">
        <v>113</v>
      </c>
      <c r="I1412" t="s">
        <v>61</v>
      </c>
      <c r="J1412" t="s">
        <v>99</v>
      </c>
      <c r="K1412" t="s">
        <v>100</v>
      </c>
      <c r="L1412" t="s">
        <v>63</v>
      </c>
      <c r="M1412" t="s">
        <v>53</v>
      </c>
      <c r="N1412" t="s">
        <v>54</v>
      </c>
      <c r="O1412" s="3">
        <v>685000</v>
      </c>
      <c r="P1412" s="4">
        <v>25</v>
      </c>
      <c r="Q1412" s="2">
        <v>45865</v>
      </c>
      <c r="R1412" s="2">
        <v>46228</v>
      </c>
      <c r="S1412" s="2">
        <v>45843</v>
      </c>
      <c r="T1412" s="2"/>
      <c r="U1412" t="str">
        <f t="shared" si="154"/>
        <v>No</v>
      </c>
      <c r="W14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2" t="str">
        <f t="shared" ca="1" si="155"/>
        <v>Due/Open</v>
      </c>
      <c r="Y1412" t="str">
        <f t="shared" si="156"/>
        <v>Open</v>
      </c>
      <c r="Z1412" t="str">
        <f t="shared" si="157"/>
        <v>Jun-2025</v>
      </c>
      <c r="AA1412" t="str">
        <f t="shared" si="158"/>
        <v>Q2 2025</v>
      </c>
      <c r="AB1412" s="4">
        <f t="shared" ca="1" si="159"/>
        <v>368</v>
      </c>
      <c r="AC1412" t="str">
        <f t="shared" si="160"/>
        <v>High</v>
      </c>
    </row>
    <row r="1413" spans="1:29">
      <c r="A1413" t="s">
        <v>5044</v>
      </c>
      <c r="B1413" s="2">
        <v>46054</v>
      </c>
      <c r="C1413" t="s">
        <v>4085</v>
      </c>
      <c r="D1413" t="s">
        <v>407</v>
      </c>
      <c r="E1413" t="s">
        <v>5045</v>
      </c>
      <c r="F1413" t="s">
        <v>5046</v>
      </c>
      <c r="G1413" t="s">
        <v>34</v>
      </c>
      <c r="H1413" t="s">
        <v>35</v>
      </c>
      <c r="I1413" t="s">
        <v>141</v>
      </c>
      <c r="J1413" t="s">
        <v>62</v>
      </c>
      <c r="K1413" t="s">
        <v>100</v>
      </c>
      <c r="L1413" t="s">
        <v>115</v>
      </c>
      <c r="M1413" t="s">
        <v>90</v>
      </c>
      <c r="N1413" t="s">
        <v>91</v>
      </c>
      <c r="O1413" s="3">
        <v>320000</v>
      </c>
      <c r="P1413" s="4">
        <v>50</v>
      </c>
      <c r="Q1413" s="2">
        <v>46090</v>
      </c>
      <c r="R1413" s="2">
        <v>46182</v>
      </c>
      <c r="S1413" s="2">
        <v>46068</v>
      </c>
      <c r="T1413" s="2"/>
      <c r="U1413" t="str">
        <f t="shared" si="154"/>
        <v>No</v>
      </c>
      <c r="W14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3" t="str">
        <f t="shared" ca="1" si="155"/>
        <v>Overdue</v>
      </c>
      <c r="Y1413" t="str">
        <f t="shared" si="156"/>
        <v>Open</v>
      </c>
      <c r="Z1413" t="str">
        <f t="shared" si="157"/>
        <v>Feb-2026</v>
      </c>
      <c r="AA1413" t="str">
        <f t="shared" si="158"/>
        <v>Q1 2026</v>
      </c>
      <c r="AB1413" s="4">
        <f t="shared" ca="1" si="159"/>
        <v>145</v>
      </c>
      <c r="AC1413" t="str">
        <f t="shared" si="160"/>
        <v>High</v>
      </c>
    </row>
    <row r="1414" spans="1:29">
      <c r="A1414" t="s">
        <v>5047</v>
      </c>
      <c r="B1414" s="2">
        <v>45909</v>
      </c>
      <c r="C1414" t="s">
        <v>1126</v>
      </c>
      <c r="D1414" t="s">
        <v>157</v>
      </c>
      <c r="E1414" t="s">
        <v>5048</v>
      </c>
      <c r="F1414" t="s">
        <v>5049</v>
      </c>
      <c r="G1414" t="s">
        <v>47</v>
      </c>
      <c r="H1414" t="s">
        <v>89</v>
      </c>
      <c r="I1414" t="s">
        <v>36</v>
      </c>
      <c r="J1414" t="s">
        <v>124</v>
      </c>
      <c r="K1414" t="s">
        <v>71</v>
      </c>
      <c r="L1414" t="s">
        <v>132</v>
      </c>
      <c r="M1414" t="s">
        <v>90</v>
      </c>
      <c r="N1414" t="s">
        <v>91</v>
      </c>
      <c r="O1414" s="3">
        <v>230000</v>
      </c>
      <c r="P1414" s="4">
        <v>50</v>
      </c>
      <c r="Q1414" s="2">
        <v>45975</v>
      </c>
      <c r="R1414" s="2">
        <v>46237</v>
      </c>
      <c r="S1414" s="2">
        <v>45924</v>
      </c>
      <c r="T1414" s="2"/>
      <c r="U1414" t="str">
        <f t="shared" si="154"/>
        <v>No</v>
      </c>
      <c r="W14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4" t="str">
        <f t="shared" ca="1" si="155"/>
        <v>Due/Open</v>
      </c>
      <c r="Y1414" t="str">
        <f t="shared" si="156"/>
        <v>Open</v>
      </c>
      <c r="Z1414" t="str">
        <f t="shared" si="157"/>
        <v>Sep-2025</v>
      </c>
      <c r="AA1414" t="str">
        <f t="shared" si="158"/>
        <v>Q3 2025</v>
      </c>
      <c r="AB1414" s="4">
        <f t="shared" ca="1" si="159"/>
        <v>290</v>
      </c>
      <c r="AC1414" t="str">
        <f t="shared" si="160"/>
        <v>Medium</v>
      </c>
    </row>
    <row r="1415" spans="1:29">
      <c r="A1415" t="s">
        <v>5050</v>
      </c>
      <c r="B1415" s="2">
        <v>46015</v>
      </c>
      <c r="C1415" t="s">
        <v>1547</v>
      </c>
      <c r="D1415" t="s">
        <v>231</v>
      </c>
      <c r="E1415" t="s">
        <v>5051</v>
      </c>
      <c r="F1415" t="s">
        <v>5052</v>
      </c>
      <c r="G1415" t="s">
        <v>179</v>
      </c>
      <c r="H1415" t="s">
        <v>296</v>
      </c>
      <c r="I1415" t="s">
        <v>123</v>
      </c>
      <c r="J1415" t="s">
        <v>37</v>
      </c>
      <c r="K1415" t="s">
        <v>100</v>
      </c>
      <c r="L1415" t="s">
        <v>72</v>
      </c>
      <c r="M1415" t="s">
        <v>40</v>
      </c>
      <c r="N1415" t="s">
        <v>41</v>
      </c>
      <c r="O1415" s="3">
        <v>85000</v>
      </c>
      <c r="P1415" s="4">
        <v>100</v>
      </c>
      <c r="Q1415" s="2">
        <v>46063</v>
      </c>
      <c r="R1415" s="2"/>
      <c r="S1415" s="2">
        <v>46022</v>
      </c>
      <c r="T1415" s="2">
        <v>46063</v>
      </c>
      <c r="U1415" t="str">
        <f t="shared" si="154"/>
        <v>Yes</v>
      </c>
      <c r="W141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48</v>
      </c>
      <c r="X1415" t="str">
        <f t="shared" ca="1" si="155"/>
        <v>Closed</v>
      </c>
      <c r="Y1415" t="str">
        <f t="shared" si="156"/>
        <v>Closed</v>
      </c>
      <c r="Z1415" t="str">
        <f t="shared" si="157"/>
        <v>Dec-2025</v>
      </c>
      <c r="AA1415" t="str">
        <f t="shared" si="158"/>
        <v>Q4 2025</v>
      </c>
      <c r="AB1415" s="4">
        <f t="shared" ca="1" si="159"/>
        <v>184</v>
      </c>
      <c r="AC1415" t="str">
        <f t="shared" si="160"/>
        <v>Low</v>
      </c>
    </row>
    <row r="1416" spans="1:29">
      <c r="A1416" t="s">
        <v>5053</v>
      </c>
      <c r="B1416" s="2">
        <v>46082</v>
      </c>
      <c r="C1416" t="s">
        <v>2079</v>
      </c>
      <c r="D1416" t="s">
        <v>701</v>
      </c>
      <c r="E1416" t="s">
        <v>5054</v>
      </c>
      <c r="F1416" t="s">
        <v>5055</v>
      </c>
      <c r="G1416" t="s">
        <v>79</v>
      </c>
      <c r="H1416" t="s">
        <v>80</v>
      </c>
      <c r="I1416" t="s">
        <v>141</v>
      </c>
      <c r="J1416" t="s">
        <v>50</v>
      </c>
      <c r="K1416" t="s">
        <v>51</v>
      </c>
      <c r="L1416" t="s">
        <v>52</v>
      </c>
      <c r="M1416" t="s">
        <v>53</v>
      </c>
      <c r="N1416" t="s">
        <v>54</v>
      </c>
      <c r="O1416" s="3">
        <v>220000</v>
      </c>
      <c r="P1416" s="4">
        <v>30</v>
      </c>
      <c r="Q1416" s="2">
        <v>46170</v>
      </c>
      <c r="R1416" s="2">
        <v>46213</v>
      </c>
      <c r="S1416" s="2">
        <v>46109</v>
      </c>
      <c r="T1416" s="2"/>
      <c r="U1416" t="str">
        <f t="shared" si="154"/>
        <v>No</v>
      </c>
      <c r="W14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6" t="str">
        <f t="shared" ca="1" si="155"/>
        <v>Due/Open</v>
      </c>
      <c r="Y1416" t="str">
        <f t="shared" si="156"/>
        <v>Open</v>
      </c>
      <c r="Z1416" t="str">
        <f t="shared" si="157"/>
        <v>Mar-2026</v>
      </c>
      <c r="AA1416" t="str">
        <f t="shared" si="158"/>
        <v>Q1 2026</v>
      </c>
      <c r="AB1416" s="4">
        <f t="shared" ca="1" si="159"/>
        <v>117</v>
      </c>
      <c r="AC1416" t="str">
        <f t="shared" si="160"/>
        <v>Medium</v>
      </c>
    </row>
    <row r="1417" spans="1:29">
      <c r="A1417" t="s">
        <v>5056</v>
      </c>
      <c r="B1417" s="2">
        <v>46167</v>
      </c>
      <c r="C1417" t="s">
        <v>5057</v>
      </c>
      <c r="D1417" t="s">
        <v>247</v>
      </c>
      <c r="E1417" t="s">
        <v>5058</v>
      </c>
      <c r="F1417" t="s">
        <v>5059</v>
      </c>
      <c r="G1417" t="s">
        <v>34</v>
      </c>
      <c r="H1417" t="s">
        <v>35</v>
      </c>
      <c r="I1417" t="s">
        <v>49</v>
      </c>
      <c r="J1417" t="s">
        <v>124</v>
      </c>
      <c r="K1417" t="s">
        <v>71</v>
      </c>
      <c r="L1417" t="s">
        <v>107</v>
      </c>
      <c r="M1417" t="s">
        <v>166</v>
      </c>
      <c r="N1417" t="s">
        <v>167</v>
      </c>
      <c r="O1417" s="3">
        <v>345000</v>
      </c>
      <c r="P1417" s="4">
        <v>70</v>
      </c>
      <c r="Q1417" s="2">
        <v>46223</v>
      </c>
      <c r="R1417" s="2">
        <v>46243</v>
      </c>
      <c r="S1417" s="2">
        <v>46180</v>
      </c>
      <c r="T1417" s="2"/>
      <c r="U1417" t="str">
        <f t="shared" si="154"/>
        <v>No</v>
      </c>
      <c r="W14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7" t="str">
        <f t="shared" ca="1" si="155"/>
        <v>Due/Open</v>
      </c>
      <c r="Y1417" t="str">
        <f t="shared" si="156"/>
        <v>Open</v>
      </c>
      <c r="Z1417" t="str">
        <f t="shared" si="157"/>
        <v>May-2026</v>
      </c>
      <c r="AA1417" t="str">
        <f t="shared" si="158"/>
        <v>Q2 2026</v>
      </c>
      <c r="AB1417" s="4">
        <f t="shared" ca="1" si="159"/>
        <v>32</v>
      </c>
      <c r="AC1417" t="str">
        <f t="shared" si="160"/>
        <v>High</v>
      </c>
    </row>
    <row r="1418" spans="1:29">
      <c r="A1418" t="s">
        <v>5060</v>
      </c>
      <c r="B1418" s="2">
        <v>46020</v>
      </c>
      <c r="C1418" t="s">
        <v>1076</v>
      </c>
      <c r="D1418" t="s">
        <v>315</v>
      </c>
      <c r="E1418" t="s">
        <v>5061</v>
      </c>
      <c r="F1418" t="s">
        <v>5062</v>
      </c>
      <c r="G1418" t="s">
        <v>34</v>
      </c>
      <c r="H1418" t="s">
        <v>446</v>
      </c>
      <c r="I1418" t="s">
        <v>141</v>
      </c>
      <c r="J1418" t="s">
        <v>62</v>
      </c>
      <c r="K1418" t="s">
        <v>51</v>
      </c>
      <c r="L1418" t="s">
        <v>52</v>
      </c>
      <c r="M1418" t="s">
        <v>116</v>
      </c>
      <c r="N1418" t="s">
        <v>54</v>
      </c>
      <c r="O1418" s="3">
        <v>190000</v>
      </c>
      <c r="P1418" s="4">
        <v>15</v>
      </c>
      <c r="Q1418" s="2">
        <v>46079</v>
      </c>
      <c r="R1418" s="2">
        <v>46194</v>
      </c>
      <c r="S1418" s="2">
        <v>46043</v>
      </c>
      <c r="T1418" s="2"/>
      <c r="U1418" t="str">
        <f t="shared" si="154"/>
        <v>No</v>
      </c>
      <c r="W14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8" t="str">
        <f t="shared" ca="1" si="155"/>
        <v>Overdue</v>
      </c>
      <c r="Y1418" t="str">
        <f t="shared" si="156"/>
        <v>Open</v>
      </c>
      <c r="Z1418" t="str">
        <f t="shared" si="157"/>
        <v>Dec-2025</v>
      </c>
      <c r="AA1418" t="str">
        <f t="shared" si="158"/>
        <v>Q4 2025</v>
      </c>
      <c r="AB1418" s="4">
        <f t="shared" ca="1" si="159"/>
        <v>179</v>
      </c>
      <c r="AC1418" t="str">
        <f t="shared" si="160"/>
        <v>Medium</v>
      </c>
    </row>
    <row r="1419" spans="1:29">
      <c r="A1419" t="s">
        <v>5063</v>
      </c>
      <c r="B1419" s="2">
        <v>46149</v>
      </c>
      <c r="C1419" t="s">
        <v>1910</v>
      </c>
      <c r="D1419" t="s">
        <v>1416</v>
      </c>
      <c r="E1419" t="s">
        <v>5064</v>
      </c>
      <c r="F1419" t="s">
        <v>5065</v>
      </c>
      <c r="G1419" t="s">
        <v>69</v>
      </c>
      <c r="H1419" t="s">
        <v>285</v>
      </c>
      <c r="I1419" t="s">
        <v>141</v>
      </c>
      <c r="J1419" t="s">
        <v>99</v>
      </c>
      <c r="K1419" t="s">
        <v>51</v>
      </c>
      <c r="L1419" t="s">
        <v>125</v>
      </c>
      <c r="M1419" t="s">
        <v>90</v>
      </c>
      <c r="N1419" t="s">
        <v>91</v>
      </c>
      <c r="O1419" s="3">
        <v>290000</v>
      </c>
      <c r="P1419" s="4">
        <v>40</v>
      </c>
      <c r="Q1419" s="2">
        <v>46237</v>
      </c>
      <c r="R1419" s="2">
        <v>46237</v>
      </c>
      <c r="S1419" s="2">
        <v>46179</v>
      </c>
      <c r="T1419" s="2"/>
      <c r="U1419" t="str">
        <f t="shared" si="154"/>
        <v>No</v>
      </c>
      <c r="W14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19" t="str">
        <f t="shared" ca="1" si="155"/>
        <v>Due/Open</v>
      </c>
      <c r="Y1419" t="str">
        <f t="shared" si="156"/>
        <v>Open</v>
      </c>
      <c r="Z1419" t="str">
        <f t="shared" si="157"/>
        <v>May-2026</v>
      </c>
      <c r="AA1419" t="str">
        <f t="shared" si="158"/>
        <v>Q2 2026</v>
      </c>
      <c r="AB1419" s="4">
        <f t="shared" ca="1" si="159"/>
        <v>50</v>
      </c>
      <c r="AC1419" t="str">
        <f t="shared" si="160"/>
        <v>Medium</v>
      </c>
    </row>
    <row r="1420" spans="1:29">
      <c r="A1420" t="s">
        <v>5066</v>
      </c>
      <c r="B1420" s="2">
        <v>45852</v>
      </c>
      <c r="C1420" t="s">
        <v>3158</v>
      </c>
      <c r="D1420" t="s">
        <v>57</v>
      </c>
      <c r="E1420" t="s">
        <v>5067</v>
      </c>
      <c r="F1420" t="s">
        <v>5068</v>
      </c>
      <c r="G1420" t="s">
        <v>79</v>
      </c>
      <c r="H1420" t="s">
        <v>228</v>
      </c>
      <c r="I1420" t="s">
        <v>61</v>
      </c>
      <c r="J1420" t="s">
        <v>62</v>
      </c>
      <c r="K1420" t="s">
        <v>38</v>
      </c>
      <c r="L1420" t="s">
        <v>239</v>
      </c>
      <c r="M1420" t="s">
        <v>166</v>
      </c>
      <c r="N1420" t="s">
        <v>167</v>
      </c>
      <c r="O1420" s="3">
        <v>250000</v>
      </c>
      <c r="P1420" s="4">
        <v>60</v>
      </c>
      <c r="Q1420" s="2">
        <v>45891</v>
      </c>
      <c r="R1420" s="2">
        <v>46206</v>
      </c>
      <c r="S1420" s="2">
        <v>45875</v>
      </c>
      <c r="T1420" s="2"/>
      <c r="U1420" t="str">
        <f t="shared" si="154"/>
        <v>No</v>
      </c>
      <c r="W14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0" t="str">
        <f t="shared" ca="1" si="155"/>
        <v>Due/Open</v>
      </c>
      <c r="Y1420" t="str">
        <f t="shared" si="156"/>
        <v>Open</v>
      </c>
      <c r="Z1420" t="str">
        <f t="shared" si="157"/>
        <v>Jul-2025</v>
      </c>
      <c r="AA1420" t="str">
        <f t="shared" si="158"/>
        <v>Q3 2025</v>
      </c>
      <c r="AB1420" s="4">
        <f t="shared" ca="1" si="159"/>
        <v>347</v>
      </c>
      <c r="AC1420" t="str">
        <f t="shared" si="160"/>
        <v>Medium</v>
      </c>
    </row>
    <row r="1421" spans="1:29">
      <c r="A1421" t="s">
        <v>5069</v>
      </c>
      <c r="B1421" s="2">
        <v>45805</v>
      </c>
      <c r="C1421" t="s">
        <v>1042</v>
      </c>
      <c r="D1421" t="s">
        <v>1118</v>
      </c>
      <c r="E1421" t="s">
        <v>5070</v>
      </c>
      <c r="F1421" t="s">
        <v>5071</v>
      </c>
      <c r="G1421" t="s">
        <v>79</v>
      </c>
      <c r="H1421" t="s">
        <v>217</v>
      </c>
      <c r="I1421" t="s">
        <v>148</v>
      </c>
      <c r="J1421" t="s">
        <v>131</v>
      </c>
      <c r="K1421" t="s">
        <v>194</v>
      </c>
      <c r="L1421" t="s">
        <v>115</v>
      </c>
      <c r="M1421" t="s">
        <v>116</v>
      </c>
      <c r="N1421" t="s">
        <v>54</v>
      </c>
      <c r="O1421" s="3">
        <v>165000</v>
      </c>
      <c r="P1421" s="4">
        <v>15</v>
      </c>
      <c r="Q1421" s="2">
        <v>45852</v>
      </c>
      <c r="R1421" s="2">
        <v>46174</v>
      </c>
      <c r="S1421" s="2">
        <v>45812</v>
      </c>
      <c r="T1421" s="2"/>
      <c r="U1421" t="str">
        <f t="shared" si="154"/>
        <v>No</v>
      </c>
      <c r="W14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1" t="str">
        <f t="shared" ca="1" si="155"/>
        <v>Overdue</v>
      </c>
      <c r="Y1421" t="str">
        <f t="shared" si="156"/>
        <v>Open</v>
      </c>
      <c r="Z1421" t="str">
        <f t="shared" si="157"/>
        <v>May-2025</v>
      </c>
      <c r="AA1421" t="str">
        <f t="shared" si="158"/>
        <v>Q2 2025</v>
      </c>
      <c r="AB1421" s="4">
        <f t="shared" ca="1" si="159"/>
        <v>394</v>
      </c>
      <c r="AC1421" t="str">
        <f t="shared" si="160"/>
        <v>Medium</v>
      </c>
    </row>
    <row r="1422" spans="1:29">
      <c r="A1422" t="s">
        <v>5072</v>
      </c>
      <c r="B1422" s="2">
        <v>46009</v>
      </c>
      <c r="C1422" t="s">
        <v>692</v>
      </c>
      <c r="D1422" t="s">
        <v>581</v>
      </c>
      <c r="E1422" t="s">
        <v>5073</v>
      </c>
      <c r="F1422" t="s">
        <v>5074</v>
      </c>
      <c r="G1422" t="s">
        <v>179</v>
      </c>
      <c r="H1422" t="s">
        <v>186</v>
      </c>
      <c r="I1422" t="s">
        <v>36</v>
      </c>
      <c r="J1422" t="s">
        <v>50</v>
      </c>
      <c r="K1422" t="s">
        <v>194</v>
      </c>
      <c r="L1422" t="s">
        <v>239</v>
      </c>
      <c r="M1422" t="s">
        <v>40</v>
      </c>
      <c r="N1422" t="s">
        <v>41</v>
      </c>
      <c r="O1422" s="3">
        <v>490000</v>
      </c>
      <c r="P1422" s="4">
        <v>100</v>
      </c>
      <c r="Q1422" s="2">
        <v>46084</v>
      </c>
      <c r="R1422" s="2"/>
      <c r="S1422" s="2">
        <v>46034</v>
      </c>
      <c r="T1422" s="2">
        <v>46084</v>
      </c>
      <c r="U1422" t="str">
        <f t="shared" si="154"/>
        <v>Yes</v>
      </c>
      <c r="W14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422" t="str">
        <f t="shared" ca="1" si="155"/>
        <v>Closed</v>
      </c>
      <c r="Y1422" t="str">
        <f t="shared" si="156"/>
        <v>Closed</v>
      </c>
      <c r="Z1422" t="str">
        <f t="shared" si="157"/>
        <v>Dec-2025</v>
      </c>
      <c r="AA1422" t="str">
        <f t="shared" si="158"/>
        <v>Q4 2025</v>
      </c>
      <c r="AB1422" s="4">
        <f t="shared" ca="1" si="159"/>
        <v>190</v>
      </c>
      <c r="AC1422" t="str">
        <f t="shared" si="160"/>
        <v>High</v>
      </c>
    </row>
    <row r="1423" spans="1:29">
      <c r="A1423" t="s">
        <v>5075</v>
      </c>
      <c r="B1423" s="2">
        <v>46042</v>
      </c>
      <c r="C1423" t="s">
        <v>308</v>
      </c>
      <c r="D1423" t="s">
        <v>352</v>
      </c>
      <c r="E1423" t="s">
        <v>5076</v>
      </c>
      <c r="F1423" t="s">
        <v>5077</v>
      </c>
      <c r="G1423" t="s">
        <v>47</v>
      </c>
      <c r="H1423" t="s">
        <v>493</v>
      </c>
      <c r="I1423" t="s">
        <v>98</v>
      </c>
      <c r="J1423" t="s">
        <v>62</v>
      </c>
      <c r="K1423" t="s">
        <v>38</v>
      </c>
      <c r="L1423" t="s">
        <v>107</v>
      </c>
      <c r="M1423" t="s">
        <v>40</v>
      </c>
      <c r="N1423" t="s">
        <v>41</v>
      </c>
      <c r="O1423" s="3">
        <v>415000</v>
      </c>
      <c r="P1423" s="4">
        <v>100</v>
      </c>
      <c r="Q1423" s="2">
        <v>46058</v>
      </c>
      <c r="R1423" s="2"/>
      <c r="S1423" s="2">
        <v>46064</v>
      </c>
      <c r="T1423" s="2">
        <v>46058</v>
      </c>
      <c r="U1423" t="str">
        <f t="shared" si="154"/>
        <v>Yes</v>
      </c>
      <c r="W14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1423" t="str">
        <f t="shared" ca="1" si="155"/>
        <v>Closed</v>
      </c>
      <c r="Y1423" t="str">
        <f t="shared" si="156"/>
        <v>Closed</v>
      </c>
      <c r="Z1423" t="str">
        <f t="shared" si="157"/>
        <v>Jan-2026</v>
      </c>
      <c r="AA1423" t="str">
        <f t="shared" si="158"/>
        <v>Q1 2026</v>
      </c>
      <c r="AB1423" s="4">
        <f t="shared" ca="1" si="159"/>
        <v>157</v>
      </c>
      <c r="AC1423" t="str">
        <f t="shared" si="160"/>
        <v>High</v>
      </c>
    </row>
    <row r="1424" spans="1:29">
      <c r="A1424" t="s">
        <v>5078</v>
      </c>
      <c r="B1424" s="2">
        <v>45809</v>
      </c>
      <c r="C1424" t="s">
        <v>1608</v>
      </c>
      <c r="D1424" t="s">
        <v>943</v>
      </c>
      <c r="E1424" t="s">
        <v>5079</v>
      </c>
      <c r="F1424" t="s">
        <v>5080</v>
      </c>
      <c r="G1424" t="s">
        <v>69</v>
      </c>
      <c r="H1424" t="s">
        <v>70</v>
      </c>
      <c r="I1424" t="s">
        <v>148</v>
      </c>
      <c r="J1424" t="s">
        <v>62</v>
      </c>
      <c r="K1424" t="s">
        <v>114</v>
      </c>
      <c r="L1424" t="s">
        <v>107</v>
      </c>
      <c r="M1424" t="s">
        <v>90</v>
      </c>
      <c r="N1424" t="s">
        <v>91</v>
      </c>
      <c r="O1424" s="3">
        <v>320000</v>
      </c>
      <c r="P1424" s="4">
        <v>40</v>
      </c>
      <c r="Q1424" s="2">
        <v>45903</v>
      </c>
      <c r="R1424" s="2">
        <v>46217</v>
      </c>
      <c r="S1424" s="2">
        <v>45839</v>
      </c>
      <c r="T1424" s="2"/>
      <c r="U1424" t="str">
        <f t="shared" si="154"/>
        <v>No</v>
      </c>
      <c r="W14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4" t="str">
        <f t="shared" ca="1" si="155"/>
        <v>Due/Open</v>
      </c>
      <c r="Y1424" t="str">
        <f t="shared" si="156"/>
        <v>Open</v>
      </c>
      <c r="Z1424" t="str">
        <f t="shared" si="157"/>
        <v>Jun-2025</v>
      </c>
      <c r="AA1424" t="str">
        <f t="shared" si="158"/>
        <v>Q2 2025</v>
      </c>
      <c r="AB1424" s="4">
        <f t="shared" ca="1" si="159"/>
        <v>390</v>
      </c>
      <c r="AC1424" t="str">
        <f t="shared" si="160"/>
        <v>High</v>
      </c>
    </row>
    <row r="1425" spans="1:29">
      <c r="A1425" t="s">
        <v>5081</v>
      </c>
      <c r="B1425" s="2">
        <v>45723</v>
      </c>
      <c r="C1425" t="s">
        <v>150</v>
      </c>
      <c r="D1425" t="s">
        <v>389</v>
      </c>
      <c r="E1425" t="s">
        <v>5082</v>
      </c>
      <c r="F1425" t="s">
        <v>5083</v>
      </c>
      <c r="G1425" t="s">
        <v>34</v>
      </c>
      <c r="H1425" t="s">
        <v>173</v>
      </c>
      <c r="I1425" t="s">
        <v>98</v>
      </c>
      <c r="J1425" t="s">
        <v>62</v>
      </c>
      <c r="K1425" t="s">
        <v>100</v>
      </c>
      <c r="L1425" t="s">
        <v>132</v>
      </c>
      <c r="M1425" t="s">
        <v>90</v>
      </c>
      <c r="N1425" t="s">
        <v>91</v>
      </c>
      <c r="O1425" s="3">
        <v>205000</v>
      </c>
      <c r="P1425" s="4">
        <v>40</v>
      </c>
      <c r="Q1425" s="2">
        <v>45745</v>
      </c>
      <c r="R1425" s="2">
        <v>46227</v>
      </c>
      <c r="S1425" s="2">
        <v>45724</v>
      </c>
      <c r="T1425" s="2"/>
      <c r="U1425" t="str">
        <f t="shared" si="154"/>
        <v>No</v>
      </c>
      <c r="W14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5" t="str">
        <f t="shared" ca="1" si="155"/>
        <v>Due/Open</v>
      </c>
      <c r="Y1425" t="str">
        <f t="shared" si="156"/>
        <v>Open</v>
      </c>
      <c r="Z1425" t="str">
        <f t="shared" si="157"/>
        <v>Mar-2025</v>
      </c>
      <c r="AA1425" t="str">
        <f t="shared" si="158"/>
        <v>Q1 2025</v>
      </c>
      <c r="AB1425" s="4">
        <f t="shared" ca="1" si="159"/>
        <v>476</v>
      </c>
      <c r="AC1425" t="str">
        <f t="shared" si="160"/>
        <v>Medium</v>
      </c>
    </row>
    <row r="1426" spans="1:29">
      <c r="A1426" t="s">
        <v>5084</v>
      </c>
      <c r="B1426" s="2">
        <v>45835</v>
      </c>
      <c r="C1426" t="s">
        <v>3643</v>
      </c>
      <c r="D1426" t="s">
        <v>293</v>
      </c>
      <c r="E1426" t="s">
        <v>5085</v>
      </c>
      <c r="F1426" t="s">
        <v>5086</v>
      </c>
      <c r="G1426" t="s">
        <v>179</v>
      </c>
      <c r="H1426" t="s">
        <v>318</v>
      </c>
      <c r="I1426" t="s">
        <v>187</v>
      </c>
      <c r="J1426" t="s">
        <v>131</v>
      </c>
      <c r="K1426" t="s">
        <v>38</v>
      </c>
      <c r="L1426" t="s">
        <v>39</v>
      </c>
      <c r="M1426" t="s">
        <v>116</v>
      </c>
      <c r="N1426" t="s">
        <v>54</v>
      </c>
      <c r="O1426" s="3">
        <v>155000</v>
      </c>
      <c r="P1426" s="4">
        <v>25</v>
      </c>
      <c r="Q1426" s="2">
        <v>45906</v>
      </c>
      <c r="R1426" s="2">
        <v>46169</v>
      </c>
      <c r="S1426" s="2">
        <v>45854</v>
      </c>
      <c r="T1426" s="2"/>
      <c r="U1426" t="str">
        <f t="shared" si="154"/>
        <v>No</v>
      </c>
      <c r="W14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6" t="str">
        <f t="shared" ca="1" si="155"/>
        <v>Overdue</v>
      </c>
      <c r="Y1426" t="str">
        <f t="shared" si="156"/>
        <v>Open</v>
      </c>
      <c r="Z1426" t="str">
        <f t="shared" si="157"/>
        <v>Jun-2025</v>
      </c>
      <c r="AA1426" t="str">
        <f t="shared" si="158"/>
        <v>Q2 2025</v>
      </c>
      <c r="AB1426" s="4">
        <f t="shared" ca="1" si="159"/>
        <v>364</v>
      </c>
      <c r="AC1426" t="str">
        <f t="shared" si="160"/>
        <v>Medium</v>
      </c>
    </row>
    <row r="1427" spans="1:29">
      <c r="A1427" t="s">
        <v>5087</v>
      </c>
      <c r="B1427" s="2">
        <v>45717</v>
      </c>
      <c r="C1427" t="s">
        <v>1825</v>
      </c>
      <c r="D1427" t="s">
        <v>586</v>
      </c>
      <c r="E1427" t="s">
        <v>4024</v>
      </c>
      <c r="F1427" t="s">
        <v>5088</v>
      </c>
      <c r="G1427" t="s">
        <v>34</v>
      </c>
      <c r="H1427" t="s">
        <v>238</v>
      </c>
      <c r="I1427" t="s">
        <v>49</v>
      </c>
      <c r="J1427" t="s">
        <v>99</v>
      </c>
      <c r="K1427" t="s">
        <v>71</v>
      </c>
      <c r="L1427" t="s">
        <v>72</v>
      </c>
      <c r="M1427" t="s">
        <v>166</v>
      </c>
      <c r="N1427" t="s">
        <v>167</v>
      </c>
      <c r="O1427" s="3">
        <v>405000</v>
      </c>
      <c r="P1427" s="4">
        <v>60</v>
      </c>
      <c r="Q1427" s="2">
        <v>45805</v>
      </c>
      <c r="R1427" s="2">
        <v>46191</v>
      </c>
      <c r="S1427" s="2">
        <v>45720</v>
      </c>
      <c r="T1427" s="2"/>
      <c r="U1427" t="str">
        <f t="shared" si="154"/>
        <v>No</v>
      </c>
      <c r="W14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7" t="str">
        <f t="shared" ca="1" si="155"/>
        <v>Overdue</v>
      </c>
      <c r="Y1427" t="str">
        <f t="shared" si="156"/>
        <v>Open</v>
      </c>
      <c r="Z1427" t="str">
        <f t="shared" si="157"/>
        <v>Mar-2025</v>
      </c>
      <c r="AA1427" t="str">
        <f t="shared" si="158"/>
        <v>Q1 2025</v>
      </c>
      <c r="AB1427" s="4">
        <f t="shared" ca="1" si="159"/>
        <v>482</v>
      </c>
      <c r="AC1427" t="str">
        <f t="shared" si="160"/>
        <v>High</v>
      </c>
    </row>
    <row r="1428" spans="1:29">
      <c r="A1428" t="s">
        <v>5089</v>
      </c>
      <c r="B1428" s="2">
        <v>46121</v>
      </c>
      <c r="C1428" t="s">
        <v>303</v>
      </c>
      <c r="D1428" t="s">
        <v>1245</v>
      </c>
      <c r="E1428" t="s">
        <v>5090</v>
      </c>
      <c r="F1428" t="s">
        <v>5091</v>
      </c>
      <c r="G1428" t="s">
        <v>79</v>
      </c>
      <c r="H1428" t="s">
        <v>217</v>
      </c>
      <c r="I1428" t="s">
        <v>49</v>
      </c>
      <c r="J1428" t="s">
        <v>99</v>
      </c>
      <c r="K1428" t="s">
        <v>38</v>
      </c>
      <c r="L1428" t="s">
        <v>72</v>
      </c>
      <c r="M1428" t="s">
        <v>90</v>
      </c>
      <c r="N1428" t="s">
        <v>91</v>
      </c>
      <c r="O1428" s="3">
        <v>340000</v>
      </c>
      <c r="P1428" s="4">
        <v>50</v>
      </c>
      <c r="Q1428" s="2">
        <v>46175</v>
      </c>
      <c r="R1428" s="2">
        <v>46213</v>
      </c>
      <c r="S1428" s="2">
        <v>46148</v>
      </c>
      <c r="T1428" s="2"/>
      <c r="U1428" t="str">
        <f t="shared" si="154"/>
        <v>No</v>
      </c>
      <c r="W14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8" t="str">
        <f t="shared" ca="1" si="155"/>
        <v>Due/Open</v>
      </c>
      <c r="Y1428" t="str">
        <f t="shared" si="156"/>
        <v>Open</v>
      </c>
      <c r="Z1428" t="str">
        <f t="shared" si="157"/>
        <v>Apr-2026</v>
      </c>
      <c r="AA1428" t="str">
        <f t="shared" si="158"/>
        <v>Q2 2026</v>
      </c>
      <c r="AB1428" s="4">
        <f t="shared" ca="1" si="159"/>
        <v>78</v>
      </c>
      <c r="AC1428" t="str">
        <f t="shared" si="160"/>
        <v>High</v>
      </c>
    </row>
    <row r="1429" spans="1:29">
      <c r="A1429" t="s">
        <v>5092</v>
      </c>
      <c r="B1429" s="2">
        <v>45884</v>
      </c>
      <c r="C1429" t="s">
        <v>5093</v>
      </c>
      <c r="D1429" t="s">
        <v>2143</v>
      </c>
      <c r="E1429" t="s">
        <v>5094</v>
      </c>
      <c r="F1429" t="s">
        <v>5095</v>
      </c>
      <c r="G1429" t="s">
        <v>69</v>
      </c>
      <c r="H1429" t="s">
        <v>200</v>
      </c>
      <c r="I1429" t="s">
        <v>141</v>
      </c>
      <c r="J1429" t="s">
        <v>37</v>
      </c>
      <c r="K1429" t="s">
        <v>100</v>
      </c>
      <c r="L1429" t="s">
        <v>72</v>
      </c>
      <c r="M1429" t="s">
        <v>90</v>
      </c>
      <c r="N1429" t="s">
        <v>91</v>
      </c>
      <c r="O1429" s="3">
        <v>45000</v>
      </c>
      <c r="P1429" s="4">
        <v>55</v>
      </c>
      <c r="Q1429" s="2">
        <v>45947</v>
      </c>
      <c r="R1429" s="2">
        <v>46174</v>
      </c>
      <c r="S1429" s="2">
        <v>45896</v>
      </c>
      <c r="T1429" s="2"/>
      <c r="U1429" t="str">
        <f t="shared" si="154"/>
        <v>No</v>
      </c>
      <c r="W14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29" t="str">
        <f t="shared" ca="1" si="155"/>
        <v>Overdue</v>
      </c>
      <c r="Y1429" t="str">
        <f t="shared" si="156"/>
        <v>Open</v>
      </c>
      <c r="Z1429" t="str">
        <f t="shared" si="157"/>
        <v>Aug-2025</v>
      </c>
      <c r="AA1429" t="str">
        <f t="shared" si="158"/>
        <v>Q3 2025</v>
      </c>
      <c r="AB1429" s="4">
        <f t="shared" ca="1" si="159"/>
        <v>315</v>
      </c>
      <c r="AC1429" t="str">
        <f t="shared" si="160"/>
        <v>Low</v>
      </c>
    </row>
    <row r="1430" spans="1:29">
      <c r="A1430" t="s">
        <v>5096</v>
      </c>
      <c r="B1430" s="2">
        <v>45821</v>
      </c>
      <c r="C1430" t="s">
        <v>2187</v>
      </c>
      <c r="D1430" t="s">
        <v>943</v>
      </c>
      <c r="E1430" t="s">
        <v>5097</v>
      </c>
      <c r="F1430" t="s">
        <v>5098</v>
      </c>
      <c r="G1430" t="s">
        <v>79</v>
      </c>
      <c r="H1430" t="s">
        <v>97</v>
      </c>
      <c r="I1430" t="s">
        <v>123</v>
      </c>
      <c r="J1430" t="s">
        <v>62</v>
      </c>
      <c r="K1430" t="s">
        <v>100</v>
      </c>
      <c r="L1430" t="s">
        <v>125</v>
      </c>
      <c r="M1430" t="s">
        <v>116</v>
      </c>
      <c r="N1430" t="s">
        <v>54</v>
      </c>
      <c r="O1430" s="3">
        <v>115000</v>
      </c>
      <c r="P1430" s="4">
        <v>15</v>
      </c>
      <c r="Q1430" s="2">
        <v>45901</v>
      </c>
      <c r="R1430" s="2">
        <v>46208</v>
      </c>
      <c r="S1430" s="2">
        <v>45846</v>
      </c>
      <c r="T1430" s="2"/>
      <c r="U1430" t="str">
        <f t="shared" si="154"/>
        <v>No</v>
      </c>
      <c r="W14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0" t="str">
        <f t="shared" ca="1" si="155"/>
        <v>Due/Open</v>
      </c>
      <c r="Y1430" t="str">
        <f t="shared" si="156"/>
        <v>Open</v>
      </c>
      <c r="Z1430" t="str">
        <f t="shared" si="157"/>
        <v>Jun-2025</v>
      </c>
      <c r="AA1430" t="str">
        <f t="shared" si="158"/>
        <v>Q2 2025</v>
      </c>
      <c r="AB1430" s="4">
        <f t="shared" ca="1" si="159"/>
        <v>378</v>
      </c>
      <c r="AC1430" t="str">
        <f t="shared" si="160"/>
        <v>Low</v>
      </c>
    </row>
    <row r="1431" spans="1:29">
      <c r="A1431" t="s">
        <v>5099</v>
      </c>
      <c r="B1431" s="2">
        <v>45951</v>
      </c>
      <c r="C1431" t="s">
        <v>3933</v>
      </c>
      <c r="D1431" t="s">
        <v>676</v>
      </c>
      <c r="E1431" t="s">
        <v>5100</v>
      </c>
      <c r="F1431" t="s">
        <v>5101</v>
      </c>
      <c r="G1431" t="s">
        <v>34</v>
      </c>
      <c r="H1431" t="s">
        <v>173</v>
      </c>
      <c r="I1431" t="s">
        <v>36</v>
      </c>
      <c r="J1431" t="s">
        <v>131</v>
      </c>
      <c r="K1431" t="s">
        <v>114</v>
      </c>
      <c r="L1431" t="s">
        <v>81</v>
      </c>
      <c r="M1431" t="s">
        <v>90</v>
      </c>
      <c r="N1431" t="s">
        <v>91</v>
      </c>
      <c r="O1431" s="3">
        <v>215000</v>
      </c>
      <c r="P1431" s="4">
        <v>40</v>
      </c>
      <c r="Q1431" s="2">
        <v>46041</v>
      </c>
      <c r="R1431" s="2">
        <v>46196</v>
      </c>
      <c r="S1431" s="2">
        <v>45976</v>
      </c>
      <c r="T1431" s="2"/>
      <c r="U1431" t="str">
        <f t="shared" si="154"/>
        <v>No</v>
      </c>
      <c r="W14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1" t="str">
        <f t="shared" ca="1" si="155"/>
        <v>Overdue</v>
      </c>
      <c r="Y1431" t="str">
        <f t="shared" si="156"/>
        <v>Open</v>
      </c>
      <c r="Z1431" t="str">
        <f t="shared" si="157"/>
        <v>Oct-2025</v>
      </c>
      <c r="AA1431" t="str">
        <f t="shared" si="158"/>
        <v>Q4 2025</v>
      </c>
      <c r="AB1431" s="4">
        <f t="shared" ca="1" si="159"/>
        <v>248</v>
      </c>
      <c r="AC1431" t="str">
        <f t="shared" si="160"/>
        <v>Medium</v>
      </c>
    </row>
    <row r="1432" spans="1:29">
      <c r="A1432" t="s">
        <v>5102</v>
      </c>
      <c r="B1432" s="2">
        <v>45790</v>
      </c>
      <c r="C1432" t="s">
        <v>5103</v>
      </c>
      <c r="D1432" t="s">
        <v>627</v>
      </c>
      <c r="E1432" t="s">
        <v>5104</v>
      </c>
      <c r="F1432" t="s">
        <v>5105</v>
      </c>
      <c r="G1432" t="s">
        <v>47</v>
      </c>
      <c r="H1432" t="s">
        <v>122</v>
      </c>
      <c r="I1432" t="s">
        <v>141</v>
      </c>
      <c r="J1432" t="s">
        <v>62</v>
      </c>
      <c r="K1432" t="s">
        <v>38</v>
      </c>
      <c r="L1432" t="s">
        <v>239</v>
      </c>
      <c r="M1432" t="s">
        <v>90</v>
      </c>
      <c r="N1432" t="s">
        <v>91</v>
      </c>
      <c r="O1432" s="3">
        <v>160000</v>
      </c>
      <c r="P1432" s="4">
        <v>50</v>
      </c>
      <c r="Q1432" s="2">
        <v>45817</v>
      </c>
      <c r="R1432" s="2">
        <v>46218</v>
      </c>
      <c r="S1432" s="2">
        <v>45819</v>
      </c>
      <c r="T1432" s="2"/>
      <c r="U1432" t="str">
        <f t="shared" si="154"/>
        <v>No</v>
      </c>
      <c r="W14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2" t="str">
        <f t="shared" ca="1" si="155"/>
        <v>Due/Open</v>
      </c>
      <c r="Y1432" t="str">
        <f t="shared" si="156"/>
        <v>Open</v>
      </c>
      <c r="Z1432" t="str">
        <f t="shared" si="157"/>
        <v>May-2025</v>
      </c>
      <c r="AA1432" t="str">
        <f t="shared" si="158"/>
        <v>Q2 2025</v>
      </c>
      <c r="AB1432" s="4">
        <f t="shared" ca="1" si="159"/>
        <v>409</v>
      </c>
      <c r="AC1432" t="str">
        <f t="shared" si="160"/>
        <v>Medium</v>
      </c>
    </row>
    <row r="1433" spans="1:29">
      <c r="A1433" t="s">
        <v>5106</v>
      </c>
      <c r="B1433" s="2">
        <v>46169</v>
      </c>
      <c r="C1433" t="s">
        <v>1147</v>
      </c>
      <c r="D1433" t="s">
        <v>2493</v>
      </c>
      <c r="E1433" t="s">
        <v>5107</v>
      </c>
      <c r="F1433" t="s">
        <v>5108</v>
      </c>
      <c r="G1433" t="s">
        <v>47</v>
      </c>
      <c r="H1433" t="s">
        <v>48</v>
      </c>
      <c r="I1433" t="s">
        <v>49</v>
      </c>
      <c r="J1433" t="s">
        <v>37</v>
      </c>
      <c r="K1433" t="s">
        <v>114</v>
      </c>
      <c r="L1433" t="s">
        <v>72</v>
      </c>
      <c r="M1433" t="s">
        <v>53</v>
      </c>
      <c r="N1433" t="s">
        <v>54</v>
      </c>
      <c r="O1433" s="3">
        <v>160000</v>
      </c>
      <c r="P1433" s="4">
        <v>25</v>
      </c>
      <c r="Q1433" s="2">
        <v>46213</v>
      </c>
      <c r="R1433" s="2">
        <v>46160</v>
      </c>
      <c r="S1433" s="2">
        <v>46171</v>
      </c>
      <c r="T1433" s="2"/>
      <c r="U1433" t="str">
        <f t="shared" si="154"/>
        <v>No</v>
      </c>
      <c r="W14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3" t="str">
        <f t="shared" ca="1" si="155"/>
        <v>Overdue</v>
      </c>
      <c r="Y1433" t="str">
        <f t="shared" si="156"/>
        <v>Open</v>
      </c>
      <c r="Z1433" t="str">
        <f t="shared" si="157"/>
        <v>May-2026</v>
      </c>
      <c r="AA1433" t="str">
        <f t="shared" si="158"/>
        <v>Q2 2026</v>
      </c>
      <c r="AB1433" s="4">
        <f t="shared" ca="1" si="159"/>
        <v>30</v>
      </c>
      <c r="AC1433" t="str">
        <f t="shared" si="160"/>
        <v>Medium</v>
      </c>
    </row>
    <row r="1434" spans="1:29">
      <c r="A1434" t="s">
        <v>5109</v>
      </c>
      <c r="B1434" s="2">
        <v>45950</v>
      </c>
      <c r="C1434" t="s">
        <v>3845</v>
      </c>
      <c r="D1434" t="s">
        <v>684</v>
      </c>
      <c r="E1434" t="s">
        <v>5110</v>
      </c>
      <c r="F1434" t="s">
        <v>5111</v>
      </c>
      <c r="G1434" t="s">
        <v>47</v>
      </c>
      <c r="H1434" t="s">
        <v>493</v>
      </c>
      <c r="I1434" t="s">
        <v>49</v>
      </c>
      <c r="J1434" t="s">
        <v>62</v>
      </c>
      <c r="K1434" t="s">
        <v>51</v>
      </c>
      <c r="L1434" t="s">
        <v>239</v>
      </c>
      <c r="M1434" t="s">
        <v>53</v>
      </c>
      <c r="N1434" t="s">
        <v>54</v>
      </c>
      <c r="O1434" s="3">
        <v>230000</v>
      </c>
      <c r="P1434" s="4">
        <v>35</v>
      </c>
      <c r="Q1434" s="2">
        <v>46034</v>
      </c>
      <c r="R1434" s="2">
        <v>46169</v>
      </c>
      <c r="S1434" s="2">
        <v>45965</v>
      </c>
      <c r="T1434" s="2"/>
      <c r="U1434" t="str">
        <f t="shared" si="154"/>
        <v>No</v>
      </c>
      <c r="W14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4" t="str">
        <f t="shared" ca="1" si="155"/>
        <v>Overdue</v>
      </c>
      <c r="Y1434" t="str">
        <f t="shared" si="156"/>
        <v>Open</v>
      </c>
      <c r="Z1434" t="str">
        <f t="shared" si="157"/>
        <v>Oct-2025</v>
      </c>
      <c r="AA1434" t="str">
        <f t="shared" si="158"/>
        <v>Q4 2025</v>
      </c>
      <c r="AB1434" s="4">
        <f t="shared" ca="1" si="159"/>
        <v>249</v>
      </c>
      <c r="AC1434" t="str">
        <f t="shared" si="160"/>
        <v>Medium</v>
      </c>
    </row>
    <row r="1435" spans="1:29">
      <c r="A1435" t="s">
        <v>5112</v>
      </c>
      <c r="B1435" s="2">
        <v>45671</v>
      </c>
      <c r="C1435" t="s">
        <v>4949</v>
      </c>
      <c r="D1435" t="s">
        <v>407</v>
      </c>
      <c r="E1435" t="s">
        <v>5113</v>
      </c>
      <c r="F1435" t="s">
        <v>5114</v>
      </c>
      <c r="G1435" t="s">
        <v>79</v>
      </c>
      <c r="H1435" t="s">
        <v>228</v>
      </c>
      <c r="I1435" t="s">
        <v>123</v>
      </c>
      <c r="J1435" t="s">
        <v>131</v>
      </c>
      <c r="K1435" t="s">
        <v>38</v>
      </c>
      <c r="L1435" t="s">
        <v>63</v>
      </c>
      <c r="M1435" t="s">
        <v>82</v>
      </c>
      <c r="N1435" t="s">
        <v>83</v>
      </c>
      <c r="O1435" s="3">
        <v>285000</v>
      </c>
      <c r="P1435" s="4">
        <v>10</v>
      </c>
      <c r="Q1435" s="2">
        <v>45722</v>
      </c>
      <c r="R1435" s="2">
        <v>46222</v>
      </c>
      <c r="S1435" s="2">
        <v>45678</v>
      </c>
      <c r="T1435" s="2"/>
      <c r="U1435" t="str">
        <f t="shared" si="154"/>
        <v>No</v>
      </c>
      <c r="W14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5" t="str">
        <f t="shared" ca="1" si="155"/>
        <v>Due/Open</v>
      </c>
      <c r="Y1435" t="str">
        <f t="shared" si="156"/>
        <v>Open</v>
      </c>
      <c r="Z1435" t="str">
        <f t="shared" si="157"/>
        <v>Jan-2025</v>
      </c>
      <c r="AA1435" t="str">
        <f t="shared" si="158"/>
        <v>Q1 2025</v>
      </c>
      <c r="AB1435" s="4">
        <f t="shared" ca="1" si="159"/>
        <v>528</v>
      </c>
      <c r="AC1435" t="str">
        <f t="shared" si="160"/>
        <v>Medium</v>
      </c>
    </row>
    <row r="1436" spans="1:29">
      <c r="A1436" t="s">
        <v>5115</v>
      </c>
      <c r="B1436" s="2">
        <v>46128</v>
      </c>
      <c r="C1436" t="s">
        <v>1280</v>
      </c>
      <c r="D1436" t="s">
        <v>547</v>
      </c>
      <c r="E1436" t="s">
        <v>5116</v>
      </c>
      <c r="F1436" t="s">
        <v>5117</v>
      </c>
      <c r="G1436" t="s">
        <v>34</v>
      </c>
      <c r="H1436" t="s">
        <v>160</v>
      </c>
      <c r="I1436" t="s">
        <v>98</v>
      </c>
      <c r="J1436" t="s">
        <v>99</v>
      </c>
      <c r="K1436" t="s">
        <v>100</v>
      </c>
      <c r="L1436" t="s">
        <v>81</v>
      </c>
      <c r="M1436" t="s">
        <v>166</v>
      </c>
      <c r="N1436" t="s">
        <v>167</v>
      </c>
      <c r="O1436" s="3">
        <v>345000</v>
      </c>
      <c r="P1436" s="4">
        <v>70</v>
      </c>
      <c r="Q1436" s="2">
        <v>46204</v>
      </c>
      <c r="R1436" s="2">
        <v>46220</v>
      </c>
      <c r="S1436" s="2">
        <v>46156</v>
      </c>
      <c r="T1436" s="2"/>
      <c r="U1436" t="str">
        <f t="shared" si="154"/>
        <v>No</v>
      </c>
      <c r="W14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6" t="str">
        <f t="shared" ca="1" si="155"/>
        <v>Due/Open</v>
      </c>
      <c r="Y1436" t="str">
        <f t="shared" si="156"/>
        <v>Open</v>
      </c>
      <c r="Z1436" t="str">
        <f t="shared" si="157"/>
        <v>Apr-2026</v>
      </c>
      <c r="AA1436" t="str">
        <f t="shared" si="158"/>
        <v>Q2 2026</v>
      </c>
      <c r="AB1436" s="4">
        <f t="shared" ca="1" si="159"/>
        <v>71</v>
      </c>
      <c r="AC1436" t="str">
        <f t="shared" si="160"/>
        <v>High</v>
      </c>
    </row>
    <row r="1437" spans="1:29">
      <c r="A1437" t="s">
        <v>5118</v>
      </c>
      <c r="B1437" s="2">
        <v>45813</v>
      </c>
      <c r="C1437" t="s">
        <v>1525</v>
      </c>
      <c r="D1437" t="s">
        <v>443</v>
      </c>
      <c r="E1437" t="s">
        <v>5119</v>
      </c>
      <c r="F1437" t="s">
        <v>5120</v>
      </c>
      <c r="G1437" t="s">
        <v>34</v>
      </c>
      <c r="H1437" t="s">
        <v>173</v>
      </c>
      <c r="I1437" t="s">
        <v>49</v>
      </c>
      <c r="J1437" t="s">
        <v>131</v>
      </c>
      <c r="K1437" t="s">
        <v>38</v>
      </c>
      <c r="L1437" t="s">
        <v>154</v>
      </c>
      <c r="M1437" t="s">
        <v>116</v>
      </c>
      <c r="N1437" t="s">
        <v>54</v>
      </c>
      <c r="O1437" s="3">
        <v>115000</v>
      </c>
      <c r="P1437" s="4">
        <v>25</v>
      </c>
      <c r="Q1437" s="2">
        <v>45858</v>
      </c>
      <c r="R1437" s="2">
        <v>46156</v>
      </c>
      <c r="S1437" s="2">
        <v>45830</v>
      </c>
      <c r="T1437" s="2"/>
      <c r="U1437" t="str">
        <f t="shared" si="154"/>
        <v>No</v>
      </c>
      <c r="W14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7" t="str">
        <f t="shared" ca="1" si="155"/>
        <v>Overdue</v>
      </c>
      <c r="Y1437" t="str">
        <f t="shared" si="156"/>
        <v>Open</v>
      </c>
      <c r="Z1437" t="str">
        <f t="shared" si="157"/>
        <v>Jun-2025</v>
      </c>
      <c r="AA1437" t="str">
        <f t="shared" si="158"/>
        <v>Q2 2025</v>
      </c>
      <c r="AB1437" s="4">
        <f t="shared" ca="1" si="159"/>
        <v>386</v>
      </c>
      <c r="AC1437" t="str">
        <f t="shared" si="160"/>
        <v>Low</v>
      </c>
    </row>
    <row r="1438" spans="1:29">
      <c r="A1438" t="s">
        <v>5121</v>
      </c>
      <c r="B1438" s="2">
        <v>46123</v>
      </c>
      <c r="C1438" t="s">
        <v>5122</v>
      </c>
      <c r="D1438" t="s">
        <v>309</v>
      </c>
      <c r="E1438" t="s">
        <v>5123</v>
      </c>
      <c r="F1438" t="s">
        <v>5124</v>
      </c>
      <c r="G1438" t="s">
        <v>34</v>
      </c>
      <c r="H1438" t="s">
        <v>160</v>
      </c>
      <c r="I1438" t="s">
        <v>61</v>
      </c>
      <c r="J1438" t="s">
        <v>99</v>
      </c>
      <c r="K1438" t="s">
        <v>100</v>
      </c>
      <c r="L1438" t="s">
        <v>107</v>
      </c>
      <c r="M1438" t="s">
        <v>73</v>
      </c>
      <c r="N1438" t="s">
        <v>73</v>
      </c>
      <c r="O1438" s="3">
        <v>205000</v>
      </c>
      <c r="P1438" s="4">
        <v>85</v>
      </c>
      <c r="Q1438" s="2">
        <v>46182</v>
      </c>
      <c r="R1438" s="2">
        <v>46185</v>
      </c>
      <c r="S1438" s="2">
        <v>46136</v>
      </c>
      <c r="T1438" s="2"/>
      <c r="U1438" t="str">
        <f t="shared" si="154"/>
        <v>No</v>
      </c>
      <c r="W14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8" t="str">
        <f t="shared" ca="1" si="155"/>
        <v>Overdue</v>
      </c>
      <c r="Y1438" t="str">
        <f t="shared" si="156"/>
        <v>Open</v>
      </c>
      <c r="Z1438" t="str">
        <f t="shared" si="157"/>
        <v>Apr-2026</v>
      </c>
      <c r="AA1438" t="str">
        <f t="shared" si="158"/>
        <v>Q2 2026</v>
      </c>
      <c r="AB1438" s="4">
        <f t="shared" ca="1" si="159"/>
        <v>76</v>
      </c>
      <c r="AC1438" t="str">
        <f t="shared" si="160"/>
        <v>Medium</v>
      </c>
    </row>
    <row r="1439" spans="1:29">
      <c r="A1439" t="s">
        <v>5125</v>
      </c>
      <c r="B1439" s="2">
        <v>46045</v>
      </c>
      <c r="C1439" t="s">
        <v>843</v>
      </c>
      <c r="D1439" t="s">
        <v>1043</v>
      </c>
      <c r="E1439" t="s">
        <v>5126</v>
      </c>
      <c r="F1439" t="s">
        <v>5127</v>
      </c>
      <c r="G1439" t="s">
        <v>79</v>
      </c>
      <c r="H1439" t="s">
        <v>260</v>
      </c>
      <c r="I1439" t="s">
        <v>141</v>
      </c>
      <c r="J1439" t="s">
        <v>131</v>
      </c>
      <c r="K1439" t="s">
        <v>100</v>
      </c>
      <c r="L1439" t="s">
        <v>72</v>
      </c>
      <c r="M1439" t="s">
        <v>53</v>
      </c>
      <c r="N1439" t="s">
        <v>54</v>
      </c>
      <c r="O1439" s="3">
        <v>265000</v>
      </c>
      <c r="P1439" s="4">
        <v>25</v>
      </c>
      <c r="Q1439" s="2">
        <v>46107</v>
      </c>
      <c r="R1439" s="2">
        <v>46223</v>
      </c>
      <c r="S1439" s="2">
        <v>46070</v>
      </c>
      <c r="T1439" s="2"/>
      <c r="U1439" t="str">
        <f t="shared" si="154"/>
        <v>No</v>
      </c>
      <c r="W14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39" t="str">
        <f t="shared" ca="1" si="155"/>
        <v>Due/Open</v>
      </c>
      <c r="Y1439" t="str">
        <f t="shared" si="156"/>
        <v>Open</v>
      </c>
      <c r="Z1439" t="str">
        <f t="shared" si="157"/>
        <v>Jan-2026</v>
      </c>
      <c r="AA1439" t="str">
        <f t="shared" si="158"/>
        <v>Q1 2026</v>
      </c>
      <c r="AB1439" s="4">
        <f t="shared" ca="1" si="159"/>
        <v>154</v>
      </c>
      <c r="AC1439" t="str">
        <f t="shared" si="160"/>
        <v>Medium</v>
      </c>
    </row>
    <row r="1440" spans="1:29">
      <c r="A1440" t="s">
        <v>5128</v>
      </c>
      <c r="B1440" s="2">
        <v>45881</v>
      </c>
      <c r="C1440" t="s">
        <v>4414</v>
      </c>
      <c r="D1440" t="s">
        <v>517</v>
      </c>
      <c r="E1440" t="s">
        <v>5129</v>
      </c>
      <c r="F1440" t="s">
        <v>5130</v>
      </c>
      <c r="G1440" t="s">
        <v>79</v>
      </c>
      <c r="H1440" t="s">
        <v>97</v>
      </c>
      <c r="I1440" t="s">
        <v>36</v>
      </c>
      <c r="J1440" t="s">
        <v>62</v>
      </c>
      <c r="K1440" t="s">
        <v>100</v>
      </c>
      <c r="L1440" t="s">
        <v>239</v>
      </c>
      <c r="M1440" t="s">
        <v>53</v>
      </c>
      <c r="N1440" t="s">
        <v>54</v>
      </c>
      <c r="O1440" s="3">
        <v>325000</v>
      </c>
      <c r="P1440" s="4">
        <v>30</v>
      </c>
      <c r="Q1440" s="2">
        <v>45928</v>
      </c>
      <c r="R1440" s="2">
        <v>46153</v>
      </c>
      <c r="S1440" s="2">
        <v>45886</v>
      </c>
      <c r="T1440" s="2"/>
      <c r="U1440" t="str">
        <f t="shared" si="154"/>
        <v>No</v>
      </c>
      <c r="W14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0" t="str">
        <f t="shared" ca="1" si="155"/>
        <v>Overdue</v>
      </c>
      <c r="Y1440" t="str">
        <f t="shared" si="156"/>
        <v>Open</v>
      </c>
      <c r="Z1440" t="str">
        <f t="shared" si="157"/>
        <v>Aug-2025</v>
      </c>
      <c r="AA1440" t="str">
        <f t="shared" si="158"/>
        <v>Q3 2025</v>
      </c>
      <c r="AB1440" s="4">
        <f t="shared" ca="1" si="159"/>
        <v>318</v>
      </c>
      <c r="AC1440" t="str">
        <f t="shared" si="160"/>
        <v>High</v>
      </c>
    </row>
    <row r="1441" spans="1:29">
      <c r="A1441" t="s">
        <v>5131</v>
      </c>
      <c r="B1441" s="2">
        <v>46177</v>
      </c>
      <c r="C1441" t="s">
        <v>2060</v>
      </c>
      <c r="D1441" t="s">
        <v>1416</v>
      </c>
      <c r="E1441" t="s">
        <v>5132</v>
      </c>
      <c r="F1441" t="s">
        <v>5133</v>
      </c>
      <c r="G1441" t="s">
        <v>47</v>
      </c>
      <c r="H1441" t="s">
        <v>122</v>
      </c>
      <c r="I1441" t="s">
        <v>36</v>
      </c>
      <c r="J1441" t="s">
        <v>99</v>
      </c>
      <c r="K1441" t="s">
        <v>51</v>
      </c>
      <c r="L1441" t="s">
        <v>107</v>
      </c>
      <c r="M1441" t="s">
        <v>82</v>
      </c>
      <c r="N1441" t="s">
        <v>83</v>
      </c>
      <c r="O1441" s="3">
        <v>360000</v>
      </c>
      <c r="P1441" s="4">
        <v>10</v>
      </c>
      <c r="Q1441" s="2">
        <v>46204</v>
      </c>
      <c r="R1441" s="2">
        <v>46224</v>
      </c>
      <c r="S1441" s="2">
        <v>46186</v>
      </c>
      <c r="T1441" s="2"/>
      <c r="U1441" t="str">
        <f t="shared" si="154"/>
        <v>No</v>
      </c>
      <c r="W14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1" t="str">
        <f t="shared" ca="1" si="155"/>
        <v>Due/Open</v>
      </c>
      <c r="Y1441" t="str">
        <f t="shared" si="156"/>
        <v>Open</v>
      </c>
      <c r="Z1441" t="str">
        <f t="shared" si="157"/>
        <v>Jun-2026</v>
      </c>
      <c r="AA1441" t="str">
        <f t="shared" si="158"/>
        <v>Q2 2026</v>
      </c>
      <c r="AB1441" s="4">
        <f t="shared" ca="1" si="159"/>
        <v>22</v>
      </c>
      <c r="AC1441" t="str">
        <f t="shared" si="160"/>
        <v>High</v>
      </c>
    </row>
    <row r="1442" spans="1:29">
      <c r="A1442" t="s">
        <v>5134</v>
      </c>
      <c r="B1442" s="2">
        <v>45728</v>
      </c>
      <c r="C1442" t="s">
        <v>4558</v>
      </c>
      <c r="D1442" t="s">
        <v>366</v>
      </c>
      <c r="E1442" t="s">
        <v>5135</v>
      </c>
      <c r="F1442" t="s">
        <v>5136</v>
      </c>
      <c r="G1442" t="s">
        <v>79</v>
      </c>
      <c r="H1442" t="s">
        <v>260</v>
      </c>
      <c r="I1442" t="s">
        <v>148</v>
      </c>
      <c r="J1442" t="s">
        <v>50</v>
      </c>
      <c r="K1442" t="s">
        <v>194</v>
      </c>
      <c r="L1442" t="s">
        <v>52</v>
      </c>
      <c r="M1442" t="s">
        <v>40</v>
      </c>
      <c r="N1442" t="s">
        <v>41</v>
      </c>
      <c r="O1442" s="3">
        <v>365000</v>
      </c>
      <c r="P1442" s="4">
        <v>100</v>
      </c>
      <c r="Q1442" s="2">
        <v>45801</v>
      </c>
      <c r="R1442" s="2"/>
      <c r="S1442" s="2">
        <v>45756</v>
      </c>
      <c r="T1442" s="2">
        <v>45801</v>
      </c>
      <c r="U1442" t="str">
        <f t="shared" si="154"/>
        <v>Yes</v>
      </c>
      <c r="W144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73</v>
      </c>
      <c r="X1442" t="str">
        <f t="shared" ca="1" si="155"/>
        <v>Closed</v>
      </c>
      <c r="Y1442" t="str">
        <f t="shared" si="156"/>
        <v>Closed</v>
      </c>
      <c r="Z1442" t="str">
        <f t="shared" si="157"/>
        <v>Mar-2025</v>
      </c>
      <c r="AA1442" t="str">
        <f t="shared" si="158"/>
        <v>Q1 2025</v>
      </c>
      <c r="AB1442" s="4">
        <f t="shared" ca="1" si="159"/>
        <v>471</v>
      </c>
      <c r="AC1442" t="str">
        <f t="shared" si="160"/>
        <v>High</v>
      </c>
    </row>
    <row r="1443" spans="1:29">
      <c r="A1443" t="s">
        <v>5137</v>
      </c>
      <c r="B1443" s="2">
        <v>45747</v>
      </c>
      <c r="C1443" t="s">
        <v>2305</v>
      </c>
      <c r="D1443" t="s">
        <v>443</v>
      </c>
      <c r="E1443" t="s">
        <v>5138</v>
      </c>
      <c r="F1443" t="s">
        <v>5139</v>
      </c>
      <c r="G1443" t="s">
        <v>79</v>
      </c>
      <c r="H1443" t="s">
        <v>106</v>
      </c>
      <c r="I1443" t="s">
        <v>187</v>
      </c>
      <c r="J1443" t="s">
        <v>37</v>
      </c>
      <c r="K1443" t="s">
        <v>51</v>
      </c>
      <c r="L1443" t="s">
        <v>81</v>
      </c>
      <c r="M1443" t="s">
        <v>40</v>
      </c>
      <c r="N1443" t="s">
        <v>41</v>
      </c>
      <c r="O1443" s="3">
        <v>100000</v>
      </c>
      <c r="P1443" s="4">
        <v>100</v>
      </c>
      <c r="Q1443" s="2">
        <v>45757</v>
      </c>
      <c r="R1443" s="2"/>
      <c r="S1443" s="2">
        <v>45755</v>
      </c>
      <c r="T1443" s="2">
        <v>45757</v>
      </c>
      <c r="U1443" t="str">
        <f t="shared" si="154"/>
        <v>Yes</v>
      </c>
      <c r="W14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443" t="str">
        <f t="shared" ca="1" si="155"/>
        <v>Closed</v>
      </c>
      <c r="Y1443" t="str">
        <f t="shared" si="156"/>
        <v>Closed</v>
      </c>
      <c r="Z1443" t="str">
        <f t="shared" si="157"/>
        <v>Mar-2025</v>
      </c>
      <c r="AA1443" t="str">
        <f t="shared" si="158"/>
        <v>Q1 2025</v>
      </c>
      <c r="AB1443" s="4">
        <f t="shared" ca="1" si="159"/>
        <v>452</v>
      </c>
      <c r="AC1443" t="str">
        <f t="shared" si="160"/>
        <v>Low</v>
      </c>
    </row>
    <row r="1444" spans="1:29">
      <c r="A1444" t="s">
        <v>5140</v>
      </c>
      <c r="B1444" s="2">
        <v>46070</v>
      </c>
      <c r="C1444" t="s">
        <v>2048</v>
      </c>
      <c r="D1444" t="s">
        <v>1335</v>
      </c>
      <c r="E1444" t="s">
        <v>5141</v>
      </c>
      <c r="F1444" t="s">
        <v>5142</v>
      </c>
      <c r="G1444" t="s">
        <v>47</v>
      </c>
      <c r="H1444" t="s">
        <v>493</v>
      </c>
      <c r="I1444" t="s">
        <v>187</v>
      </c>
      <c r="J1444" t="s">
        <v>37</v>
      </c>
      <c r="K1444" t="s">
        <v>100</v>
      </c>
      <c r="L1444" t="s">
        <v>132</v>
      </c>
      <c r="M1444" t="s">
        <v>82</v>
      </c>
      <c r="N1444" t="s">
        <v>83</v>
      </c>
      <c r="O1444" s="3">
        <v>110000</v>
      </c>
      <c r="P1444" s="4">
        <v>5</v>
      </c>
      <c r="Q1444" s="2">
        <v>46145</v>
      </c>
      <c r="R1444" s="2">
        <v>46206</v>
      </c>
      <c r="S1444" s="2">
        <v>46097</v>
      </c>
      <c r="T1444" s="2"/>
      <c r="U1444" t="str">
        <f t="shared" si="154"/>
        <v>No</v>
      </c>
      <c r="W14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4" t="str">
        <f t="shared" ca="1" si="155"/>
        <v>Due/Open</v>
      </c>
      <c r="Y1444" t="str">
        <f t="shared" si="156"/>
        <v>Open</v>
      </c>
      <c r="Z1444" t="str">
        <f t="shared" si="157"/>
        <v>Feb-2026</v>
      </c>
      <c r="AA1444" t="str">
        <f t="shared" si="158"/>
        <v>Q1 2026</v>
      </c>
      <c r="AB1444" s="4">
        <f t="shared" ca="1" si="159"/>
        <v>129</v>
      </c>
      <c r="AC1444" t="str">
        <f t="shared" si="160"/>
        <v>Low</v>
      </c>
    </row>
    <row r="1445" spans="1:29">
      <c r="A1445" t="s">
        <v>5143</v>
      </c>
      <c r="B1445" s="2">
        <v>45972</v>
      </c>
      <c r="C1445" t="s">
        <v>1910</v>
      </c>
      <c r="D1445" t="s">
        <v>347</v>
      </c>
      <c r="E1445" t="s">
        <v>5144</v>
      </c>
      <c r="F1445" t="s">
        <v>5145</v>
      </c>
      <c r="G1445" t="s">
        <v>34</v>
      </c>
      <c r="H1445" t="s">
        <v>160</v>
      </c>
      <c r="I1445" t="s">
        <v>61</v>
      </c>
      <c r="J1445" t="s">
        <v>62</v>
      </c>
      <c r="K1445" t="s">
        <v>114</v>
      </c>
      <c r="L1445" t="s">
        <v>132</v>
      </c>
      <c r="M1445" t="s">
        <v>166</v>
      </c>
      <c r="N1445" t="s">
        <v>167</v>
      </c>
      <c r="O1445" s="3">
        <v>150000</v>
      </c>
      <c r="P1445" s="4">
        <v>65</v>
      </c>
      <c r="Q1445" s="2">
        <v>46057</v>
      </c>
      <c r="R1445" s="2">
        <v>46216</v>
      </c>
      <c r="S1445" s="2">
        <v>45975</v>
      </c>
      <c r="T1445" s="2"/>
      <c r="U1445" t="str">
        <f t="shared" si="154"/>
        <v>No</v>
      </c>
      <c r="W14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5" t="str">
        <f t="shared" ca="1" si="155"/>
        <v>Due/Open</v>
      </c>
      <c r="Y1445" t="str">
        <f t="shared" si="156"/>
        <v>Open</v>
      </c>
      <c r="Z1445" t="str">
        <f t="shared" si="157"/>
        <v>Nov-2025</v>
      </c>
      <c r="AA1445" t="str">
        <f t="shared" si="158"/>
        <v>Q4 2025</v>
      </c>
      <c r="AB1445" s="4">
        <f t="shared" ca="1" si="159"/>
        <v>227</v>
      </c>
      <c r="AC1445" t="str">
        <f t="shared" si="160"/>
        <v>Medium</v>
      </c>
    </row>
    <row r="1446" spans="1:29">
      <c r="A1446" t="s">
        <v>5146</v>
      </c>
      <c r="B1446" s="2">
        <v>45923</v>
      </c>
      <c r="C1446" t="s">
        <v>1102</v>
      </c>
      <c r="D1446" t="s">
        <v>747</v>
      </c>
      <c r="E1446" t="s">
        <v>5147</v>
      </c>
      <c r="F1446" t="s">
        <v>5148</v>
      </c>
      <c r="G1446" t="s">
        <v>79</v>
      </c>
      <c r="H1446" t="s">
        <v>228</v>
      </c>
      <c r="I1446" t="s">
        <v>61</v>
      </c>
      <c r="J1446" t="s">
        <v>99</v>
      </c>
      <c r="K1446" t="s">
        <v>71</v>
      </c>
      <c r="L1446" t="s">
        <v>125</v>
      </c>
      <c r="M1446" t="s">
        <v>53</v>
      </c>
      <c r="N1446" t="s">
        <v>54</v>
      </c>
      <c r="O1446" s="3">
        <v>165000</v>
      </c>
      <c r="P1446" s="4">
        <v>35</v>
      </c>
      <c r="Q1446" s="2">
        <v>46016</v>
      </c>
      <c r="R1446" s="2">
        <v>46223</v>
      </c>
      <c r="S1446" s="2">
        <v>45949</v>
      </c>
      <c r="T1446" s="2"/>
      <c r="U1446" t="str">
        <f t="shared" si="154"/>
        <v>No</v>
      </c>
      <c r="W14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6" t="str">
        <f t="shared" ca="1" si="155"/>
        <v>Due/Open</v>
      </c>
      <c r="Y1446" t="str">
        <f t="shared" si="156"/>
        <v>Open</v>
      </c>
      <c r="Z1446" t="str">
        <f t="shared" si="157"/>
        <v>Sep-2025</v>
      </c>
      <c r="AA1446" t="str">
        <f t="shared" si="158"/>
        <v>Q3 2025</v>
      </c>
      <c r="AB1446" s="4">
        <f t="shared" ca="1" si="159"/>
        <v>276</v>
      </c>
      <c r="AC1446" t="str">
        <f t="shared" si="160"/>
        <v>Medium</v>
      </c>
    </row>
    <row r="1447" spans="1:29">
      <c r="A1447" t="s">
        <v>5149</v>
      </c>
      <c r="B1447" s="2">
        <v>45808</v>
      </c>
      <c r="C1447" t="s">
        <v>162</v>
      </c>
      <c r="D1447" t="s">
        <v>3463</v>
      </c>
      <c r="E1447" t="s">
        <v>5150</v>
      </c>
      <c r="F1447" t="s">
        <v>5151</v>
      </c>
      <c r="G1447" t="s">
        <v>69</v>
      </c>
      <c r="H1447" t="s">
        <v>70</v>
      </c>
      <c r="I1447" t="s">
        <v>141</v>
      </c>
      <c r="J1447" t="s">
        <v>62</v>
      </c>
      <c r="K1447" t="s">
        <v>51</v>
      </c>
      <c r="L1447" t="s">
        <v>142</v>
      </c>
      <c r="M1447" t="s">
        <v>53</v>
      </c>
      <c r="N1447" t="s">
        <v>54</v>
      </c>
      <c r="O1447" s="3">
        <v>345000</v>
      </c>
      <c r="P1447" s="4">
        <v>35</v>
      </c>
      <c r="Q1447" s="2">
        <v>45835</v>
      </c>
      <c r="R1447" s="2">
        <v>46170</v>
      </c>
      <c r="S1447" s="2">
        <v>45818</v>
      </c>
      <c r="T1447" s="2"/>
      <c r="U1447" t="str">
        <f t="shared" si="154"/>
        <v>No</v>
      </c>
      <c r="W14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7" t="str">
        <f t="shared" ca="1" si="155"/>
        <v>Overdue</v>
      </c>
      <c r="Y1447" t="str">
        <f t="shared" si="156"/>
        <v>Open</v>
      </c>
      <c r="Z1447" t="str">
        <f t="shared" si="157"/>
        <v>May-2025</v>
      </c>
      <c r="AA1447" t="str">
        <f t="shared" si="158"/>
        <v>Q2 2025</v>
      </c>
      <c r="AB1447" s="4">
        <f t="shared" ca="1" si="159"/>
        <v>391</v>
      </c>
      <c r="AC1447" t="str">
        <f t="shared" si="160"/>
        <v>High</v>
      </c>
    </row>
    <row r="1448" spans="1:29">
      <c r="A1448" t="s">
        <v>5152</v>
      </c>
      <c r="B1448" s="2">
        <v>46045</v>
      </c>
      <c r="C1448" t="s">
        <v>2254</v>
      </c>
      <c r="D1448" t="s">
        <v>183</v>
      </c>
      <c r="E1448" t="s">
        <v>5153</v>
      </c>
      <c r="F1448" t="s">
        <v>5154</v>
      </c>
      <c r="G1448" t="s">
        <v>179</v>
      </c>
      <c r="H1448" t="s">
        <v>318</v>
      </c>
      <c r="I1448" t="s">
        <v>98</v>
      </c>
      <c r="J1448" t="s">
        <v>131</v>
      </c>
      <c r="K1448" t="s">
        <v>100</v>
      </c>
      <c r="L1448" t="s">
        <v>125</v>
      </c>
      <c r="M1448" t="s">
        <v>82</v>
      </c>
      <c r="N1448" t="s">
        <v>83</v>
      </c>
      <c r="O1448" s="3">
        <v>285000</v>
      </c>
      <c r="P1448" s="4">
        <v>10</v>
      </c>
      <c r="Q1448" s="2">
        <v>46133</v>
      </c>
      <c r="R1448" s="2">
        <v>46200</v>
      </c>
      <c r="S1448" s="2">
        <v>46054</v>
      </c>
      <c r="T1448" s="2"/>
      <c r="U1448" t="str">
        <f t="shared" si="154"/>
        <v>No</v>
      </c>
      <c r="W14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8" t="str">
        <f t="shared" ca="1" si="155"/>
        <v>Due/Open</v>
      </c>
      <c r="Y1448" t="str">
        <f t="shared" si="156"/>
        <v>Open</v>
      </c>
      <c r="Z1448" t="str">
        <f t="shared" si="157"/>
        <v>Jan-2026</v>
      </c>
      <c r="AA1448" t="str">
        <f t="shared" si="158"/>
        <v>Q1 2026</v>
      </c>
      <c r="AB1448" s="4">
        <f t="shared" ca="1" si="159"/>
        <v>154</v>
      </c>
      <c r="AC1448" t="str">
        <f t="shared" si="160"/>
        <v>Medium</v>
      </c>
    </row>
    <row r="1449" spans="1:29">
      <c r="A1449" t="s">
        <v>5155</v>
      </c>
      <c r="B1449" s="2">
        <v>45918</v>
      </c>
      <c r="C1449" t="s">
        <v>1280</v>
      </c>
      <c r="D1449" t="s">
        <v>573</v>
      </c>
      <c r="E1449" t="s">
        <v>5156</v>
      </c>
      <c r="F1449" t="s">
        <v>5157</v>
      </c>
      <c r="G1449" t="s">
        <v>34</v>
      </c>
      <c r="H1449" t="s">
        <v>173</v>
      </c>
      <c r="I1449" t="s">
        <v>123</v>
      </c>
      <c r="J1449" t="s">
        <v>50</v>
      </c>
      <c r="K1449" t="s">
        <v>38</v>
      </c>
      <c r="L1449" t="s">
        <v>72</v>
      </c>
      <c r="M1449" t="s">
        <v>90</v>
      </c>
      <c r="N1449" t="s">
        <v>91</v>
      </c>
      <c r="O1449" s="3">
        <v>360000</v>
      </c>
      <c r="P1449" s="4">
        <v>40</v>
      </c>
      <c r="Q1449" s="2">
        <v>45949</v>
      </c>
      <c r="R1449" s="2">
        <v>46243</v>
      </c>
      <c r="S1449" s="2">
        <v>45939</v>
      </c>
      <c r="T1449" s="2"/>
      <c r="U1449" t="str">
        <f t="shared" si="154"/>
        <v>No</v>
      </c>
      <c r="W14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49" t="str">
        <f t="shared" ca="1" si="155"/>
        <v>Due/Open</v>
      </c>
      <c r="Y1449" t="str">
        <f t="shared" si="156"/>
        <v>Open</v>
      </c>
      <c r="Z1449" t="str">
        <f t="shared" si="157"/>
        <v>Sep-2025</v>
      </c>
      <c r="AA1449" t="str">
        <f t="shared" si="158"/>
        <v>Q3 2025</v>
      </c>
      <c r="AB1449" s="4">
        <f t="shared" ca="1" si="159"/>
        <v>281</v>
      </c>
      <c r="AC1449" t="str">
        <f t="shared" si="160"/>
        <v>High</v>
      </c>
    </row>
    <row r="1450" spans="1:29">
      <c r="A1450" t="s">
        <v>5158</v>
      </c>
      <c r="B1450" s="2">
        <v>45918</v>
      </c>
      <c r="C1450" t="s">
        <v>5159</v>
      </c>
      <c r="D1450" t="s">
        <v>2493</v>
      </c>
      <c r="E1450" t="s">
        <v>5160</v>
      </c>
      <c r="F1450" t="s">
        <v>5161</v>
      </c>
      <c r="G1450" t="s">
        <v>79</v>
      </c>
      <c r="H1450" t="s">
        <v>228</v>
      </c>
      <c r="I1450" t="s">
        <v>187</v>
      </c>
      <c r="J1450" t="s">
        <v>37</v>
      </c>
      <c r="K1450" t="s">
        <v>51</v>
      </c>
      <c r="L1450" t="s">
        <v>154</v>
      </c>
      <c r="M1450" t="s">
        <v>73</v>
      </c>
      <c r="N1450" t="s">
        <v>73</v>
      </c>
      <c r="O1450" s="3">
        <v>55000</v>
      </c>
      <c r="P1450" s="4">
        <v>80</v>
      </c>
      <c r="Q1450" s="2">
        <v>45969</v>
      </c>
      <c r="R1450" s="2">
        <v>46189</v>
      </c>
      <c r="S1450" s="2">
        <v>45940</v>
      </c>
      <c r="T1450" s="2"/>
      <c r="U1450" t="str">
        <f t="shared" si="154"/>
        <v>No</v>
      </c>
      <c r="W14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0" t="str">
        <f t="shared" ca="1" si="155"/>
        <v>Overdue</v>
      </c>
      <c r="Y1450" t="str">
        <f t="shared" si="156"/>
        <v>Open</v>
      </c>
      <c r="Z1450" t="str">
        <f t="shared" si="157"/>
        <v>Sep-2025</v>
      </c>
      <c r="AA1450" t="str">
        <f t="shared" si="158"/>
        <v>Q3 2025</v>
      </c>
      <c r="AB1450" s="4">
        <f t="shared" ca="1" si="159"/>
        <v>281</v>
      </c>
      <c r="AC1450" t="str">
        <f t="shared" si="160"/>
        <v>Low</v>
      </c>
    </row>
    <row r="1451" spans="1:29">
      <c r="A1451" t="s">
        <v>5162</v>
      </c>
      <c r="B1451" s="2">
        <v>45915</v>
      </c>
      <c r="C1451" t="s">
        <v>3194</v>
      </c>
      <c r="D1451" t="s">
        <v>710</v>
      </c>
      <c r="E1451" t="s">
        <v>5163</v>
      </c>
      <c r="F1451" t="s">
        <v>5164</v>
      </c>
      <c r="G1451" t="s">
        <v>179</v>
      </c>
      <c r="H1451" t="s">
        <v>487</v>
      </c>
      <c r="I1451" t="s">
        <v>187</v>
      </c>
      <c r="J1451" t="s">
        <v>131</v>
      </c>
      <c r="K1451" t="s">
        <v>100</v>
      </c>
      <c r="L1451" t="s">
        <v>107</v>
      </c>
      <c r="M1451" t="s">
        <v>116</v>
      </c>
      <c r="N1451" t="s">
        <v>54</v>
      </c>
      <c r="O1451" s="3">
        <v>305000</v>
      </c>
      <c r="P1451" s="4">
        <v>20</v>
      </c>
      <c r="Q1451" s="2">
        <v>45996</v>
      </c>
      <c r="R1451" s="2">
        <v>46211</v>
      </c>
      <c r="S1451" s="2">
        <v>45931</v>
      </c>
      <c r="T1451" s="2"/>
      <c r="U1451" t="str">
        <f t="shared" si="154"/>
        <v>No</v>
      </c>
      <c r="W14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1" t="str">
        <f t="shared" ca="1" si="155"/>
        <v>Due/Open</v>
      </c>
      <c r="Y1451" t="str">
        <f t="shared" si="156"/>
        <v>Open</v>
      </c>
      <c r="Z1451" t="str">
        <f t="shared" si="157"/>
        <v>Sep-2025</v>
      </c>
      <c r="AA1451" t="str">
        <f t="shared" si="158"/>
        <v>Q3 2025</v>
      </c>
      <c r="AB1451" s="4">
        <f t="shared" ca="1" si="159"/>
        <v>284</v>
      </c>
      <c r="AC1451" t="str">
        <f t="shared" si="160"/>
        <v>High</v>
      </c>
    </row>
    <row r="1452" spans="1:29">
      <c r="A1452" t="s">
        <v>5165</v>
      </c>
      <c r="B1452" s="2">
        <v>46148</v>
      </c>
      <c r="C1452" t="s">
        <v>3576</v>
      </c>
      <c r="D1452" t="s">
        <v>315</v>
      </c>
      <c r="E1452" t="s">
        <v>5166</v>
      </c>
      <c r="F1452" t="s">
        <v>5167</v>
      </c>
      <c r="G1452" t="s">
        <v>179</v>
      </c>
      <c r="H1452" t="s">
        <v>296</v>
      </c>
      <c r="I1452" t="s">
        <v>141</v>
      </c>
      <c r="J1452" t="s">
        <v>37</v>
      </c>
      <c r="K1452" t="s">
        <v>51</v>
      </c>
      <c r="L1452" t="s">
        <v>125</v>
      </c>
      <c r="M1452" t="s">
        <v>116</v>
      </c>
      <c r="N1452" t="s">
        <v>54</v>
      </c>
      <c r="O1452" s="3">
        <v>160000</v>
      </c>
      <c r="P1452" s="4">
        <v>20</v>
      </c>
      <c r="Q1452" s="2">
        <v>46222</v>
      </c>
      <c r="R1452" s="2">
        <v>46205</v>
      </c>
      <c r="S1452" s="2">
        <v>46165</v>
      </c>
      <c r="T1452" s="2"/>
      <c r="U1452" t="str">
        <f t="shared" si="154"/>
        <v>No</v>
      </c>
      <c r="W14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2" t="str">
        <f t="shared" ca="1" si="155"/>
        <v>Due/Open</v>
      </c>
      <c r="Y1452" t="str">
        <f t="shared" si="156"/>
        <v>Open</v>
      </c>
      <c r="Z1452" t="str">
        <f t="shared" si="157"/>
        <v>May-2026</v>
      </c>
      <c r="AA1452" t="str">
        <f t="shared" si="158"/>
        <v>Q2 2026</v>
      </c>
      <c r="AB1452" s="4">
        <f t="shared" ca="1" si="159"/>
        <v>51</v>
      </c>
      <c r="AC1452" t="str">
        <f t="shared" si="160"/>
        <v>Medium</v>
      </c>
    </row>
    <row r="1453" spans="1:29">
      <c r="A1453" t="s">
        <v>5168</v>
      </c>
      <c r="B1453" s="2">
        <v>45988</v>
      </c>
      <c r="C1453" t="s">
        <v>1726</v>
      </c>
      <c r="D1453" t="s">
        <v>207</v>
      </c>
      <c r="E1453" t="s">
        <v>5169</v>
      </c>
      <c r="F1453" t="s">
        <v>5170</v>
      </c>
      <c r="G1453" t="s">
        <v>47</v>
      </c>
      <c r="H1453" t="s">
        <v>113</v>
      </c>
      <c r="I1453" t="s">
        <v>36</v>
      </c>
      <c r="J1453" t="s">
        <v>37</v>
      </c>
      <c r="K1453" t="s">
        <v>100</v>
      </c>
      <c r="L1453" t="s">
        <v>125</v>
      </c>
      <c r="M1453" t="s">
        <v>116</v>
      </c>
      <c r="N1453" t="s">
        <v>54</v>
      </c>
      <c r="O1453" s="3">
        <v>155000</v>
      </c>
      <c r="P1453" s="4">
        <v>25</v>
      </c>
      <c r="Q1453" s="2">
        <v>46076</v>
      </c>
      <c r="R1453" s="2">
        <v>46183</v>
      </c>
      <c r="S1453" s="2">
        <v>46008</v>
      </c>
      <c r="T1453" s="2"/>
      <c r="U1453" t="str">
        <f t="shared" si="154"/>
        <v>No</v>
      </c>
      <c r="W14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3" t="str">
        <f t="shared" ca="1" si="155"/>
        <v>Overdue</v>
      </c>
      <c r="Y1453" t="str">
        <f t="shared" si="156"/>
        <v>Open</v>
      </c>
      <c r="Z1453" t="str">
        <f t="shared" si="157"/>
        <v>Nov-2025</v>
      </c>
      <c r="AA1453" t="str">
        <f t="shared" si="158"/>
        <v>Q4 2025</v>
      </c>
      <c r="AB1453" s="4">
        <f t="shared" ca="1" si="159"/>
        <v>211</v>
      </c>
      <c r="AC1453" t="str">
        <f t="shared" si="160"/>
        <v>Medium</v>
      </c>
    </row>
    <row r="1454" spans="1:29">
      <c r="A1454" t="s">
        <v>5171</v>
      </c>
      <c r="B1454" s="2">
        <v>46065</v>
      </c>
      <c r="C1454" t="s">
        <v>4558</v>
      </c>
      <c r="D1454" t="s">
        <v>1343</v>
      </c>
      <c r="E1454" t="s">
        <v>5172</v>
      </c>
      <c r="F1454" t="s">
        <v>5173</v>
      </c>
      <c r="G1454" t="s">
        <v>179</v>
      </c>
      <c r="H1454" t="s">
        <v>296</v>
      </c>
      <c r="I1454" t="s">
        <v>187</v>
      </c>
      <c r="J1454" t="s">
        <v>37</v>
      </c>
      <c r="K1454" t="s">
        <v>100</v>
      </c>
      <c r="L1454" t="s">
        <v>132</v>
      </c>
      <c r="M1454" t="s">
        <v>166</v>
      </c>
      <c r="N1454" t="s">
        <v>167</v>
      </c>
      <c r="O1454" s="3">
        <v>55000</v>
      </c>
      <c r="P1454" s="4">
        <v>65</v>
      </c>
      <c r="Q1454" s="2">
        <v>46100</v>
      </c>
      <c r="R1454" s="2">
        <v>46175</v>
      </c>
      <c r="S1454" s="2">
        <v>46077</v>
      </c>
      <c r="T1454" s="2"/>
      <c r="U1454" t="str">
        <f t="shared" si="154"/>
        <v>No</v>
      </c>
      <c r="W14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4" t="str">
        <f t="shared" ca="1" si="155"/>
        <v>Overdue</v>
      </c>
      <c r="Y1454" t="str">
        <f t="shared" si="156"/>
        <v>Open</v>
      </c>
      <c r="Z1454" t="str">
        <f t="shared" si="157"/>
        <v>Feb-2026</v>
      </c>
      <c r="AA1454" t="str">
        <f t="shared" si="158"/>
        <v>Q1 2026</v>
      </c>
      <c r="AB1454" s="4">
        <f t="shared" ca="1" si="159"/>
        <v>134</v>
      </c>
      <c r="AC1454" t="str">
        <f t="shared" si="160"/>
        <v>Low</v>
      </c>
    </row>
    <row r="1455" spans="1:29">
      <c r="A1455" t="s">
        <v>5174</v>
      </c>
      <c r="B1455" s="2">
        <v>45990</v>
      </c>
      <c r="C1455" t="s">
        <v>660</v>
      </c>
      <c r="D1455" t="s">
        <v>309</v>
      </c>
      <c r="E1455" t="s">
        <v>3418</v>
      </c>
      <c r="F1455" t="s">
        <v>5175</v>
      </c>
      <c r="G1455" t="s">
        <v>69</v>
      </c>
      <c r="H1455" t="s">
        <v>193</v>
      </c>
      <c r="I1455" t="s">
        <v>141</v>
      </c>
      <c r="J1455" t="s">
        <v>37</v>
      </c>
      <c r="K1455" t="s">
        <v>51</v>
      </c>
      <c r="L1455" t="s">
        <v>63</v>
      </c>
      <c r="M1455" t="s">
        <v>73</v>
      </c>
      <c r="N1455" t="s">
        <v>73</v>
      </c>
      <c r="O1455" s="3">
        <v>80000</v>
      </c>
      <c r="P1455" s="4">
        <v>75</v>
      </c>
      <c r="Q1455" s="2">
        <v>46052</v>
      </c>
      <c r="R1455" s="2">
        <v>46155</v>
      </c>
      <c r="S1455" s="2">
        <v>45995</v>
      </c>
      <c r="T1455" s="2"/>
      <c r="U1455" t="str">
        <f t="shared" si="154"/>
        <v>No</v>
      </c>
      <c r="W14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5" t="str">
        <f t="shared" ca="1" si="155"/>
        <v>Overdue</v>
      </c>
      <c r="Y1455" t="str">
        <f t="shared" si="156"/>
        <v>Open</v>
      </c>
      <c r="Z1455" t="str">
        <f t="shared" si="157"/>
        <v>Nov-2025</v>
      </c>
      <c r="AA1455" t="str">
        <f t="shared" si="158"/>
        <v>Q4 2025</v>
      </c>
      <c r="AB1455" s="4">
        <f t="shared" ca="1" si="159"/>
        <v>209</v>
      </c>
      <c r="AC1455" t="str">
        <f t="shared" si="160"/>
        <v>Low</v>
      </c>
    </row>
    <row r="1456" spans="1:29">
      <c r="A1456" t="s">
        <v>5176</v>
      </c>
      <c r="B1456" s="2">
        <v>46117</v>
      </c>
      <c r="C1456" t="s">
        <v>1237</v>
      </c>
      <c r="D1456" t="s">
        <v>257</v>
      </c>
      <c r="E1456" t="s">
        <v>4504</v>
      </c>
      <c r="F1456" t="s">
        <v>5177</v>
      </c>
      <c r="G1456" t="s">
        <v>47</v>
      </c>
      <c r="H1456" t="s">
        <v>89</v>
      </c>
      <c r="I1456" t="s">
        <v>98</v>
      </c>
      <c r="J1456" t="s">
        <v>50</v>
      </c>
      <c r="K1456" t="s">
        <v>51</v>
      </c>
      <c r="L1456" t="s">
        <v>132</v>
      </c>
      <c r="M1456" t="s">
        <v>53</v>
      </c>
      <c r="N1456" t="s">
        <v>54</v>
      </c>
      <c r="O1456" s="3">
        <v>395000</v>
      </c>
      <c r="P1456" s="4">
        <v>30</v>
      </c>
      <c r="Q1456" s="2">
        <v>46144</v>
      </c>
      <c r="R1456" s="2">
        <v>46188</v>
      </c>
      <c r="S1456" s="2">
        <v>46125</v>
      </c>
      <c r="T1456" s="2"/>
      <c r="U1456" t="str">
        <f t="shared" si="154"/>
        <v>No</v>
      </c>
      <c r="W14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6" t="str">
        <f t="shared" ca="1" si="155"/>
        <v>Overdue</v>
      </c>
      <c r="Y1456" t="str">
        <f t="shared" si="156"/>
        <v>Open</v>
      </c>
      <c r="Z1456" t="str">
        <f t="shared" si="157"/>
        <v>Apr-2026</v>
      </c>
      <c r="AA1456" t="str">
        <f t="shared" si="158"/>
        <v>Q2 2026</v>
      </c>
      <c r="AB1456" s="4">
        <f t="shared" ca="1" si="159"/>
        <v>82</v>
      </c>
      <c r="AC1456" t="str">
        <f t="shared" si="160"/>
        <v>High</v>
      </c>
    </row>
    <row r="1457" spans="1:29">
      <c r="A1457" t="s">
        <v>5178</v>
      </c>
      <c r="B1457" s="2">
        <v>45821</v>
      </c>
      <c r="C1457" t="s">
        <v>5179</v>
      </c>
      <c r="D1457" t="s">
        <v>552</v>
      </c>
      <c r="E1457" t="s">
        <v>5180</v>
      </c>
      <c r="F1457" t="s">
        <v>5181</v>
      </c>
      <c r="G1457" t="s">
        <v>47</v>
      </c>
      <c r="H1457" t="s">
        <v>418</v>
      </c>
      <c r="I1457" t="s">
        <v>187</v>
      </c>
      <c r="J1457" t="s">
        <v>50</v>
      </c>
      <c r="K1457" t="s">
        <v>71</v>
      </c>
      <c r="L1457" t="s">
        <v>154</v>
      </c>
      <c r="M1457" t="s">
        <v>210</v>
      </c>
      <c r="N1457" t="s">
        <v>134</v>
      </c>
      <c r="O1457" s="3">
        <v>155000</v>
      </c>
      <c r="P1457" s="4">
        <v>0</v>
      </c>
      <c r="Q1457" s="2">
        <v>45887</v>
      </c>
      <c r="R1457" s="2"/>
      <c r="S1457" s="2">
        <v>45846</v>
      </c>
      <c r="T1457" s="2">
        <v>45887</v>
      </c>
      <c r="U1457" t="str">
        <f t="shared" si="154"/>
        <v>No</v>
      </c>
      <c r="V1457" t="s">
        <v>1105</v>
      </c>
      <c r="W145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457" t="str">
        <f t="shared" ca="1" si="155"/>
        <v>Closed</v>
      </c>
      <c r="Y1457" t="str">
        <f t="shared" si="156"/>
        <v>Closed</v>
      </c>
      <c r="Z1457" t="str">
        <f t="shared" si="157"/>
        <v>Jun-2025</v>
      </c>
      <c r="AA1457" t="str">
        <f t="shared" si="158"/>
        <v>Q2 2025</v>
      </c>
      <c r="AB1457" s="4">
        <f t="shared" ca="1" si="159"/>
        <v>378</v>
      </c>
      <c r="AC1457" t="str">
        <f t="shared" si="160"/>
        <v>Medium</v>
      </c>
    </row>
    <row r="1458" spans="1:29">
      <c r="A1458" t="s">
        <v>5182</v>
      </c>
      <c r="B1458" s="2">
        <v>45887</v>
      </c>
      <c r="C1458" t="s">
        <v>1747</v>
      </c>
      <c r="D1458" t="s">
        <v>357</v>
      </c>
      <c r="E1458" t="s">
        <v>5183</v>
      </c>
      <c r="F1458" t="s">
        <v>5184</v>
      </c>
      <c r="G1458" t="s">
        <v>69</v>
      </c>
      <c r="H1458" t="s">
        <v>285</v>
      </c>
      <c r="I1458" t="s">
        <v>98</v>
      </c>
      <c r="J1458" t="s">
        <v>124</v>
      </c>
      <c r="K1458" t="s">
        <v>100</v>
      </c>
      <c r="L1458" t="s">
        <v>125</v>
      </c>
      <c r="M1458" t="s">
        <v>166</v>
      </c>
      <c r="N1458" t="s">
        <v>167</v>
      </c>
      <c r="O1458" s="3">
        <v>130000</v>
      </c>
      <c r="P1458" s="4">
        <v>65</v>
      </c>
      <c r="Q1458" s="2">
        <v>45934</v>
      </c>
      <c r="R1458" s="2">
        <v>46157</v>
      </c>
      <c r="S1458" s="2">
        <v>45909</v>
      </c>
      <c r="T1458" s="2"/>
      <c r="U1458" t="str">
        <f t="shared" si="154"/>
        <v>No</v>
      </c>
      <c r="W14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8" t="str">
        <f t="shared" ca="1" si="155"/>
        <v>Overdue</v>
      </c>
      <c r="Y1458" t="str">
        <f t="shared" si="156"/>
        <v>Open</v>
      </c>
      <c r="Z1458" t="str">
        <f t="shared" si="157"/>
        <v>Aug-2025</v>
      </c>
      <c r="AA1458" t="str">
        <f t="shared" si="158"/>
        <v>Q3 2025</v>
      </c>
      <c r="AB1458" s="4">
        <f t="shared" ca="1" si="159"/>
        <v>312</v>
      </c>
      <c r="AC1458" t="str">
        <f t="shared" si="160"/>
        <v>Medium</v>
      </c>
    </row>
    <row r="1459" spans="1:29">
      <c r="A1459" t="s">
        <v>5185</v>
      </c>
      <c r="B1459" s="2">
        <v>45957</v>
      </c>
      <c r="C1459" t="s">
        <v>2382</v>
      </c>
      <c r="D1459" t="s">
        <v>1722</v>
      </c>
      <c r="E1459" t="s">
        <v>5186</v>
      </c>
      <c r="F1459" t="s">
        <v>5187</v>
      </c>
      <c r="G1459" t="s">
        <v>69</v>
      </c>
      <c r="H1459" t="s">
        <v>70</v>
      </c>
      <c r="I1459" t="s">
        <v>49</v>
      </c>
      <c r="J1459" t="s">
        <v>50</v>
      </c>
      <c r="K1459" t="s">
        <v>38</v>
      </c>
      <c r="L1459" t="s">
        <v>63</v>
      </c>
      <c r="M1459" t="s">
        <v>53</v>
      </c>
      <c r="N1459" t="s">
        <v>54</v>
      </c>
      <c r="O1459" s="3">
        <v>295000</v>
      </c>
      <c r="P1459" s="4">
        <v>30</v>
      </c>
      <c r="Q1459" s="2">
        <v>46002</v>
      </c>
      <c r="R1459" s="2">
        <v>46225</v>
      </c>
      <c r="S1459" s="2">
        <v>45967</v>
      </c>
      <c r="T1459" s="2"/>
      <c r="U1459" t="str">
        <f t="shared" si="154"/>
        <v>No</v>
      </c>
      <c r="W14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59" t="str">
        <f t="shared" ca="1" si="155"/>
        <v>Due/Open</v>
      </c>
      <c r="Y1459" t="str">
        <f t="shared" si="156"/>
        <v>Open</v>
      </c>
      <c r="Z1459" t="str">
        <f t="shared" si="157"/>
        <v>Oct-2025</v>
      </c>
      <c r="AA1459" t="str">
        <f t="shared" si="158"/>
        <v>Q4 2025</v>
      </c>
      <c r="AB1459" s="4">
        <f t="shared" ca="1" si="159"/>
        <v>242</v>
      </c>
      <c r="AC1459" t="str">
        <f t="shared" si="160"/>
        <v>Medium</v>
      </c>
    </row>
    <row r="1460" spans="1:29">
      <c r="A1460" t="s">
        <v>5188</v>
      </c>
      <c r="B1460" s="2">
        <v>46177</v>
      </c>
      <c r="C1460" t="s">
        <v>2126</v>
      </c>
      <c r="D1460" t="s">
        <v>170</v>
      </c>
      <c r="E1460" t="s">
        <v>5189</v>
      </c>
      <c r="F1460" t="s">
        <v>5190</v>
      </c>
      <c r="G1460" t="s">
        <v>179</v>
      </c>
      <c r="H1460" t="s">
        <v>487</v>
      </c>
      <c r="I1460" t="s">
        <v>36</v>
      </c>
      <c r="J1460" t="s">
        <v>99</v>
      </c>
      <c r="K1460" t="s">
        <v>114</v>
      </c>
      <c r="L1460" t="s">
        <v>142</v>
      </c>
      <c r="M1460" t="s">
        <v>40</v>
      </c>
      <c r="N1460" t="s">
        <v>41</v>
      </c>
      <c r="O1460" s="3">
        <v>250000</v>
      </c>
      <c r="P1460" s="4">
        <v>100</v>
      </c>
      <c r="Q1460" s="2">
        <v>46189</v>
      </c>
      <c r="R1460" s="2"/>
      <c r="S1460" s="2">
        <v>46179</v>
      </c>
      <c r="T1460" s="2">
        <v>46189</v>
      </c>
      <c r="U1460" t="str">
        <f t="shared" si="154"/>
        <v>Yes</v>
      </c>
      <c r="W146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1460" t="str">
        <f t="shared" ca="1" si="155"/>
        <v>Closed</v>
      </c>
      <c r="Y1460" t="str">
        <f t="shared" si="156"/>
        <v>Closed</v>
      </c>
      <c r="Z1460" t="str">
        <f t="shared" si="157"/>
        <v>Jun-2026</v>
      </c>
      <c r="AA1460" t="str">
        <f t="shared" si="158"/>
        <v>Q2 2026</v>
      </c>
      <c r="AB1460" s="4">
        <f t="shared" ca="1" si="159"/>
        <v>22</v>
      </c>
      <c r="AC1460" t="str">
        <f t="shared" si="160"/>
        <v>Medium</v>
      </c>
    </row>
    <row r="1461" spans="1:29">
      <c r="A1461" t="s">
        <v>5191</v>
      </c>
      <c r="B1461" s="2">
        <v>46028</v>
      </c>
      <c r="C1461" t="s">
        <v>2048</v>
      </c>
      <c r="D1461" t="s">
        <v>1081</v>
      </c>
      <c r="E1461" t="s">
        <v>5192</v>
      </c>
      <c r="F1461" t="s">
        <v>5193</v>
      </c>
      <c r="G1461" t="s">
        <v>47</v>
      </c>
      <c r="H1461" t="s">
        <v>122</v>
      </c>
      <c r="I1461" t="s">
        <v>98</v>
      </c>
      <c r="J1461" t="s">
        <v>131</v>
      </c>
      <c r="K1461" t="s">
        <v>114</v>
      </c>
      <c r="L1461" t="s">
        <v>107</v>
      </c>
      <c r="M1461" t="s">
        <v>53</v>
      </c>
      <c r="N1461" t="s">
        <v>54</v>
      </c>
      <c r="O1461" s="3">
        <v>200000</v>
      </c>
      <c r="P1461" s="4">
        <v>25</v>
      </c>
      <c r="Q1461" s="2">
        <v>46088</v>
      </c>
      <c r="R1461" s="2">
        <v>46223</v>
      </c>
      <c r="S1461" s="2">
        <v>46049</v>
      </c>
      <c r="T1461" s="2"/>
      <c r="U1461" t="str">
        <f t="shared" si="154"/>
        <v>No</v>
      </c>
      <c r="W14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1" t="str">
        <f t="shared" ca="1" si="155"/>
        <v>Due/Open</v>
      </c>
      <c r="Y1461" t="str">
        <f t="shared" si="156"/>
        <v>Open</v>
      </c>
      <c r="Z1461" t="str">
        <f t="shared" si="157"/>
        <v>Jan-2026</v>
      </c>
      <c r="AA1461" t="str">
        <f t="shared" si="158"/>
        <v>Q1 2026</v>
      </c>
      <c r="AB1461" s="4">
        <f t="shared" ca="1" si="159"/>
        <v>171</v>
      </c>
      <c r="AC1461" t="str">
        <f t="shared" si="160"/>
        <v>Medium</v>
      </c>
    </row>
    <row r="1462" spans="1:29">
      <c r="A1462" t="s">
        <v>5194</v>
      </c>
      <c r="B1462" s="2">
        <v>46021</v>
      </c>
      <c r="C1462" t="s">
        <v>4949</v>
      </c>
      <c r="D1462" t="s">
        <v>1178</v>
      </c>
      <c r="E1462" t="s">
        <v>5195</v>
      </c>
      <c r="F1462" t="s">
        <v>5196</v>
      </c>
      <c r="G1462" t="s">
        <v>47</v>
      </c>
      <c r="H1462" t="s">
        <v>48</v>
      </c>
      <c r="I1462" t="s">
        <v>49</v>
      </c>
      <c r="J1462" t="s">
        <v>124</v>
      </c>
      <c r="K1462" t="s">
        <v>194</v>
      </c>
      <c r="L1462" t="s">
        <v>39</v>
      </c>
      <c r="M1462" t="s">
        <v>40</v>
      </c>
      <c r="N1462" t="s">
        <v>41</v>
      </c>
      <c r="O1462" s="3">
        <v>200000</v>
      </c>
      <c r="P1462" s="4">
        <v>100</v>
      </c>
      <c r="Q1462" s="2">
        <v>46045</v>
      </c>
      <c r="R1462" s="2"/>
      <c r="S1462" s="2">
        <v>46051</v>
      </c>
      <c r="T1462" s="2">
        <v>46045</v>
      </c>
      <c r="U1462" t="str">
        <f t="shared" si="154"/>
        <v>Yes</v>
      </c>
      <c r="W14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24</v>
      </c>
      <c r="X1462" t="str">
        <f t="shared" ca="1" si="155"/>
        <v>Closed</v>
      </c>
      <c r="Y1462" t="str">
        <f t="shared" si="156"/>
        <v>Closed</v>
      </c>
      <c r="Z1462" t="str">
        <f t="shared" si="157"/>
        <v>Dec-2025</v>
      </c>
      <c r="AA1462" t="str">
        <f t="shared" si="158"/>
        <v>Q4 2025</v>
      </c>
      <c r="AB1462" s="4">
        <f t="shared" ca="1" si="159"/>
        <v>178</v>
      </c>
      <c r="AC1462" t="str">
        <f t="shared" si="160"/>
        <v>Medium</v>
      </c>
    </row>
    <row r="1463" spans="1:29">
      <c r="A1463" t="s">
        <v>5197</v>
      </c>
      <c r="B1463" s="2">
        <v>45899</v>
      </c>
      <c r="C1463" t="s">
        <v>458</v>
      </c>
      <c r="D1463" t="s">
        <v>2179</v>
      </c>
      <c r="E1463" t="s">
        <v>5198</v>
      </c>
      <c r="F1463" t="s">
        <v>5199</v>
      </c>
      <c r="G1463" t="s">
        <v>79</v>
      </c>
      <c r="H1463" t="s">
        <v>228</v>
      </c>
      <c r="I1463" t="s">
        <v>61</v>
      </c>
      <c r="J1463" t="s">
        <v>131</v>
      </c>
      <c r="K1463" t="s">
        <v>194</v>
      </c>
      <c r="L1463" t="s">
        <v>52</v>
      </c>
      <c r="M1463" t="s">
        <v>53</v>
      </c>
      <c r="N1463" t="s">
        <v>54</v>
      </c>
      <c r="O1463" s="3">
        <v>330000</v>
      </c>
      <c r="P1463" s="4">
        <v>30</v>
      </c>
      <c r="Q1463" s="2">
        <v>45949</v>
      </c>
      <c r="R1463" s="2">
        <v>46204</v>
      </c>
      <c r="S1463" s="2">
        <v>45929</v>
      </c>
      <c r="T1463" s="2"/>
      <c r="U1463" t="str">
        <f t="shared" si="154"/>
        <v>No</v>
      </c>
      <c r="W14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3" t="str">
        <f t="shared" ca="1" si="155"/>
        <v>Due/Open</v>
      </c>
      <c r="Y1463" t="str">
        <f t="shared" si="156"/>
        <v>Open</v>
      </c>
      <c r="Z1463" t="str">
        <f t="shared" si="157"/>
        <v>Aug-2025</v>
      </c>
      <c r="AA1463" t="str">
        <f t="shared" si="158"/>
        <v>Q3 2025</v>
      </c>
      <c r="AB1463" s="4">
        <f t="shared" ca="1" si="159"/>
        <v>300</v>
      </c>
      <c r="AC1463" t="str">
        <f t="shared" si="160"/>
        <v>High</v>
      </c>
    </row>
    <row r="1464" spans="1:29">
      <c r="A1464" t="s">
        <v>5200</v>
      </c>
      <c r="B1464" s="2">
        <v>45815</v>
      </c>
      <c r="C1464" t="s">
        <v>610</v>
      </c>
      <c r="D1464" t="s">
        <v>103</v>
      </c>
      <c r="E1464" t="s">
        <v>5201</v>
      </c>
      <c r="F1464" t="s">
        <v>5202</v>
      </c>
      <c r="G1464" t="s">
        <v>79</v>
      </c>
      <c r="H1464" t="s">
        <v>228</v>
      </c>
      <c r="I1464" t="s">
        <v>98</v>
      </c>
      <c r="J1464" t="s">
        <v>37</v>
      </c>
      <c r="K1464" t="s">
        <v>100</v>
      </c>
      <c r="L1464" t="s">
        <v>63</v>
      </c>
      <c r="M1464" t="s">
        <v>210</v>
      </c>
      <c r="N1464" t="s">
        <v>134</v>
      </c>
      <c r="O1464" s="3">
        <v>135000</v>
      </c>
      <c r="P1464" s="4">
        <v>0</v>
      </c>
      <c r="Q1464" s="2">
        <v>45835</v>
      </c>
      <c r="R1464" s="2"/>
      <c r="S1464" s="2">
        <v>45823</v>
      </c>
      <c r="T1464" s="2">
        <v>45835</v>
      </c>
      <c r="U1464" t="str">
        <f t="shared" si="154"/>
        <v>No</v>
      </c>
      <c r="V1464" t="s">
        <v>452</v>
      </c>
      <c r="W146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1464" t="str">
        <f t="shared" ca="1" si="155"/>
        <v>Closed</v>
      </c>
      <c r="Y1464" t="str">
        <f t="shared" si="156"/>
        <v>Closed</v>
      </c>
      <c r="Z1464" t="str">
        <f t="shared" si="157"/>
        <v>Jun-2025</v>
      </c>
      <c r="AA1464" t="str">
        <f t="shared" si="158"/>
        <v>Q2 2025</v>
      </c>
      <c r="AB1464" s="4">
        <f t="shared" ca="1" si="159"/>
        <v>384</v>
      </c>
      <c r="AC1464" t="str">
        <f t="shared" si="160"/>
        <v>Medium</v>
      </c>
    </row>
    <row r="1465" spans="1:29">
      <c r="A1465" t="s">
        <v>5203</v>
      </c>
      <c r="B1465" s="2">
        <v>46087</v>
      </c>
      <c r="C1465" t="s">
        <v>5204</v>
      </c>
      <c r="D1465" t="s">
        <v>969</v>
      </c>
      <c r="E1465" t="s">
        <v>5205</v>
      </c>
      <c r="F1465" t="s">
        <v>5206</v>
      </c>
      <c r="G1465" t="s">
        <v>34</v>
      </c>
      <c r="H1465" t="s">
        <v>60</v>
      </c>
      <c r="I1465" t="s">
        <v>123</v>
      </c>
      <c r="J1465" t="s">
        <v>124</v>
      </c>
      <c r="K1465" t="s">
        <v>194</v>
      </c>
      <c r="L1465" t="s">
        <v>239</v>
      </c>
      <c r="M1465" t="s">
        <v>210</v>
      </c>
      <c r="N1465" t="s">
        <v>134</v>
      </c>
      <c r="O1465" s="3">
        <v>115000</v>
      </c>
      <c r="P1465" s="4">
        <v>0</v>
      </c>
      <c r="Q1465" s="2">
        <v>46124</v>
      </c>
      <c r="R1465" s="2"/>
      <c r="S1465" s="2">
        <v>46090</v>
      </c>
      <c r="T1465" s="2">
        <v>46124</v>
      </c>
      <c r="U1465" t="str">
        <f t="shared" si="154"/>
        <v>No</v>
      </c>
      <c r="V1465" t="s">
        <v>135</v>
      </c>
      <c r="W146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465" t="str">
        <f t="shared" ca="1" si="155"/>
        <v>Closed</v>
      </c>
      <c r="Y1465" t="str">
        <f t="shared" si="156"/>
        <v>Closed</v>
      </c>
      <c r="Z1465" t="str">
        <f t="shared" si="157"/>
        <v>Mar-2026</v>
      </c>
      <c r="AA1465" t="str">
        <f t="shared" si="158"/>
        <v>Q1 2026</v>
      </c>
      <c r="AB1465" s="4">
        <f t="shared" ca="1" si="159"/>
        <v>112</v>
      </c>
      <c r="AC1465" t="str">
        <f t="shared" si="160"/>
        <v>Low</v>
      </c>
    </row>
    <row r="1466" spans="1:29">
      <c r="A1466" t="s">
        <v>5207</v>
      </c>
      <c r="B1466" s="2">
        <v>45917</v>
      </c>
      <c r="C1466" t="s">
        <v>2838</v>
      </c>
      <c r="D1466" t="s">
        <v>252</v>
      </c>
      <c r="E1466" t="s">
        <v>5208</v>
      </c>
      <c r="F1466" t="s">
        <v>5209</v>
      </c>
      <c r="G1466" t="s">
        <v>34</v>
      </c>
      <c r="H1466" t="s">
        <v>173</v>
      </c>
      <c r="I1466" t="s">
        <v>36</v>
      </c>
      <c r="J1466" t="s">
        <v>124</v>
      </c>
      <c r="K1466" t="s">
        <v>51</v>
      </c>
      <c r="L1466" t="s">
        <v>125</v>
      </c>
      <c r="M1466" t="s">
        <v>53</v>
      </c>
      <c r="N1466" t="s">
        <v>54</v>
      </c>
      <c r="O1466" s="3">
        <v>225000</v>
      </c>
      <c r="P1466" s="4">
        <v>30</v>
      </c>
      <c r="Q1466" s="2">
        <v>46009</v>
      </c>
      <c r="R1466" s="2">
        <v>46231</v>
      </c>
      <c r="S1466" s="2">
        <v>45942</v>
      </c>
      <c r="T1466" s="2"/>
      <c r="U1466" t="str">
        <f t="shared" si="154"/>
        <v>No</v>
      </c>
      <c r="W14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6" t="str">
        <f t="shared" ca="1" si="155"/>
        <v>Due/Open</v>
      </c>
      <c r="Y1466" t="str">
        <f t="shared" si="156"/>
        <v>Open</v>
      </c>
      <c r="Z1466" t="str">
        <f t="shared" si="157"/>
        <v>Sep-2025</v>
      </c>
      <c r="AA1466" t="str">
        <f t="shared" si="158"/>
        <v>Q3 2025</v>
      </c>
      <c r="AB1466" s="4">
        <f t="shared" ca="1" si="159"/>
        <v>282</v>
      </c>
      <c r="AC1466" t="str">
        <f t="shared" si="160"/>
        <v>Medium</v>
      </c>
    </row>
    <row r="1467" spans="1:29">
      <c r="A1467" t="s">
        <v>5210</v>
      </c>
      <c r="B1467" s="2">
        <v>46057</v>
      </c>
      <c r="C1467" t="s">
        <v>635</v>
      </c>
      <c r="D1467" t="s">
        <v>547</v>
      </c>
      <c r="E1467" t="s">
        <v>5211</v>
      </c>
      <c r="F1467" t="s">
        <v>5212</v>
      </c>
      <c r="G1467" t="s">
        <v>69</v>
      </c>
      <c r="H1467" t="s">
        <v>200</v>
      </c>
      <c r="I1467" t="s">
        <v>98</v>
      </c>
      <c r="J1467" t="s">
        <v>124</v>
      </c>
      <c r="K1467" t="s">
        <v>71</v>
      </c>
      <c r="L1467" t="s">
        <v>72</v>
      </c>
      <c r="M1467" t="s">
        <v>166</v>
      </c>
      <c r="N1467" t="s">
        <v>167</v>
      </c>
      <c r="O1467" s="3">
        <v>135000</v>
      </c>
      <c r="P1467" s="4">
        <v>65</v>
      </c>
      <c r="Q1467" s="2">
        <v>46142</v>
      </c>
      <c r="R1467" s="2">
        <v>46238</v>
      </c>
      <c r="S1467" s="2">
        <v>46084</v>
      </c>
      <c r="T1467" s="2"/>
      <c r="U1467" t="str">
        <f t="shared" si="154"/>
        <v>No</v>
      </c>
      <c r="W14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7" t="str">
        <f t="shared" ca="1" si="155"/>
        <v>Due/Open</v>
      </c>
      <c r="Y1467" t="str">
        <f t="shared" si="156"/>
        <v>Open</v>
      </c>
      <c r="Z1467" t="str">
        <f t="shared" si="157"/>
        <v>Feb-2026</v>
      </c>
      <c r="AA1467" t="str">
        <f t="shared" si="158"/>
        <v>Q1 2026</v>
      </c>
      <c r="AB1467" s="4">
        <f t="shared" ca="1" si="159"/>
        <v>142</v>
      </c>
      <c r="AC1467" t="str">
        <f t="shared" si="160"/>
        <v>Medium</v>
      </c>
    </row>
    <row r="1468" spans="1:29">
      <c r="A1468" t="s">
        <v>5213</v>
      </c>
      <c r="B1468" s="2">
        <v>46008</v>
      </c>
      <c r="C1468" t="s">
        <v>5214</v>
      </c>
      <c r="D1468" t="s">
        <v>1245</v>
      </c>
      <c r="E1468" t="s">
        <v>5215</v>
      </c>
      <c r="F1468" t="s">
        <v>5216</v>
      </c>
      <c r="G1468" t="s">
        <v>34</v>
      </c>
      <c r="H1468" t="s">
        <v>160</v>
      </c>
      <c r="I1468" t="s">
        <v>148</v>
      </c>
      <c r="J1468" t="s">
        <v>99</v>
      </c>
      <c r="K1468" t="s">
        <v>100</v>
      </c>
      <c r="L1468" t="s">
        <v>239</v>
      </c>
      <c r="M1468" t="s">
        <v>73</v>
      </c>
      <c r="N1468" t="s">
        <v>73</v>
      </c>
      <c r="O1468" s="3">
        <v>650000</v>
      </c>
      <c r="P1468" s="4">
        <v>75</v>
      </c>
      <c r="Q1468" s="2">
        <v>46087</v>
      </c>
      <c r="R1468" s="2">
        <v>46238</v>
      </c>
      <c r="S1468" s="2">
        <v>46034</v>
      </c>
      <c r="T1468" s="2"/>
      <c r="U1468" t="str">
        <f t="shared" si="154"/>
        <v>No</v>
      </c>
      <c r="W14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68" t="str">
        <f t="shared" ca="1" si="155"/>
        <v>Due/Open</v>
      </c>
      <c r="Y1468" t="str">
        <f t="shared" si="156"/>
        <v>Open</v>
      </c>
      <c r="Z1468" t="str">
        <f t="shared" si="157"/>
        <v>Dec-2025</v>
      </c>
      <c r="AA1468" t="str">
        <f t="shared" si="158"/>
        <v>Q4 2025</v>
      </c>
      <c r="AB1468" s="4">
        <f t="shared" ca="1" si="159"/>
        <v>191</v>
      </c>
      <c r="AC1468" t="str">
        <f t="shared" si="160"/>
        <v>High</v>
      </c>
    </row>
    <row r="1469" spans="1:29">
      <c r="A1469" t="s">
        <v>5217</v>
      </c>
      <c r="B1469" s="2">
        <v>45736</v>
      </c>
      <c r="C1469" t="s">
        <v>4329</v>
      </c>
      <c r="D1469" t="s">
        <v>1717</v>
      </c>
      <c r="E1469" t="s">
        <v>5218</v>
      </c>
      <c r="F1469" t="s">
        <v>5219</v>
      </c>
      <c r="G1469" t="s">
        <v>69</v>
      </c>
      <c r="H1469" t="s">
        <v>270</v>
      </c>
      <c r="I1469" t="s">
        <v>98</v>
      </c>
      <c r="J1469" t="s">
        <v>131</v>
      </c>
      <c r="K1469" t="s">
        <v>51</v>
      </c>
      <c r="L1469" t="s">
        <v>39</v>
      </c>
      <c r="M1469" t="s">
        <v>40</v>
      </c>
      <c r="N1469" t="s">
        <v>41</v>
      </c>
      <c r="O1469" s="3">
        <v>335000</v>
      </c>
      <c r="P1469" s="4">
        <v>100</v>
      </c>
      <c r="Q1469" s="2">
        <v>45793</v>
      </c>
      <c r="R1469" s="2"/>
      <c r="S1469" s="2">
        <v>45763</v>
      </c>
      <c r="T1469" s="2">
        <v>45793</v>
      </c>
      <c r="U1469" t="str">
        <f t="shared" si="154"/>
        <v>Yes</v>
      </c>
      <c r="W14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1469" t="str">
        <f t="shared" ca="1" si="155"/>
        <v>Closed</v>
      </c>
      <c r="Y1469" t="str">
        <f t="shared" si="156"/>
        <v>Closed</v>
      </c>
      <c r="Z1469" t="str">
        <f t="shared" si="157"/>
        <v>Mar-2025</v>
      </c>
      <c r="AA1469" t="str">
        <f t="shared" si="158"/>
        <v>Q1 2025</v>
      </c>
      <c r="AB1469" s="4">
        <f t="shared" ca="1" si="159"/>
        <v>463</v>
      </c>
      <c r="AC1469" t="str">
        <f t="shared" si="160"/>
        <v>High</v>
      </c>
    </row>
    <row r="1470" spans="1:29">
      <c r="A1470" t="s">
        <v>5220</v>
      </c>
      <c r="B1470" s="2">
        <v>45768</v>
      </c>
      <c r="C1470" t="s">
        <v>383</v>
      </c>
      <c r="D1470" t="s">
        <v>887</v>
      </c>
      <c r="E1470" t="s">
        <v>5221</v>
      </c>
      <c r="F1470" t="s">
        <v>5222</v>
      </c>
      <c r="G1470" t="s">
        <v>79</v>
      </c>
      <c r="H1470" t="s">
        <v>97</v>
      </c>
      <c r="I1470" t="s">
        <v>36</v>
      </c>
      <c r="J1470" t="s">
        <v>37</v>
      </c>
      <c r="K1470" t="s">
        <v>194</v>
      </c>
      <c r="L1470" t="s">
        <v>142</v>
      </c>
      <c r="M1470" t="s">
        <v>53</v>
      </c>
      <c r="N1470" t="s">
        <v>54</v>
      </c>
      <c r="O1470" s="3">
        <v>180000</v>
      </c>
      <c r="P1470" s="4">
        <v>35</v>
      </c>
      <c r="Q1470" s="2">
        <v>45838</v>
      </c>
      <c r="R1470" s="2">
        <v>46231</v>
      </c>
      <c r="S1470" s="2">
        <v>45789</v>
      </c>
      <c r="T1470" s="2"/>
      <c r="U1470" t="str">
        <f t="shared" si="154"/>
        <v>No</v>
      </c>
      <c r="W14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0" t="str">
        <f t="shared" ca="1" si="155"/>
        <v>Due/Open</v>
      </c>
      <c r="Y1470" t="str">
        <f t="shared" si="156"/>
        <v>Open</v>
      </c>
      <c r="Z1470" t="str">
        <f t="shared" si="157"/>
        <v>Apr-2025</v>
      </c>
      <c r="AA1470" t="str">
        <f t="shared" si="158"/>
        <v>Q2 2025</v>
      </c>
      <c r="AB1470" s="4">
        <f t="shared" ca="1" si="159"/>
        <v>431</v>
      </c>
      <c r="AC1470" t="str">
        <f t="shared" si="160"/>
        <v>Medium</v>
      </c>
    </row>
    <row r="1471" spans="1:29">
      <c r="A1471" t="s">
        <v>5223</v>
      </c>
      <c r="B1471" s="2">
        <v>45869</v>
      </c>
      <c r="C1471" t="s">
        <v>2126</v>
      </c>
      <c r="D1471" t="s">
        <v>366</v>
      </c>
      <c r="E1471" t="s">
        <v>5224</v>
      </c>
      <c r="F1471" t="s">
        <v>5225</v>
      </c>
      <c r="G1471" t="s">
        <v>47</v>
      </c>
      <c r="H1471" t="s">
        <v>122</v>
      </c>
      <c r="I1471" t="s">
        <v>98</v>
      </c>
      <c r="J1471" t="s">
        <v>37</v>
      </c>
      <c r="K1471" t="s">
        <v>194</v>
      </c>
      <c r="L1471" t="s">
        <v>154</v>
      </c>
      <c r="M1471" t="s">
        <v>90</v>
      </c>
      <c r="N1471" t="s">
        <v>91</v>
      </c>
      <c r="O1471" s="3">
        <v>175000</v>
      </c>
      <c r="P1471" s="4">
        <v>40</v>
      </c>
      <c r="Q1471" s="2">
        <v>45920</v>
      </c>
      <c r="R1471" s="2">
        <v>46154</v>
      </c>
      <c r="S1471" s="2">
        <v>45894</v>
      </c>
      <c r="T1471" s="2"/>
      <c r="U1471" t="str">
        <f t="shared" si="154"/>
        <v>No</v>
      </c>
      <c r="W14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1" t="str">
        <f t="shared" ca="1" si="155"/>
        <v>Overdue</v>
      </c>
      <c r="Y1471" t="str">
        <f t="shared" si="156"/>
        <v>Open</v>
      </c>
      <c r="Z1471" t="str">
        <f t="shared" si="157"/>
        <v>Jul-2025</v>
      </c>
      <c r="AA1471" t="str">
        <f t="shared" si="158"/>
        <v>Q3 2025</v>
      </c>
      <c r="AB1471" s="4">
        <f t="shared" ca="1" si="159"/>
        <v>330</v>
      </c>
      <c r="AC1471" t="str">
        <f t="shared" si="160"/>
        <v>Medium</v>
      </c>
    </row>
    <row r="1472" spans="1:29">
      <c r="A1472" t="s">
        <v>5226</v>
      </c>
      <c r="B1472" s="2">
        <v>45890</v>
      </c>
      <c r="C1472" t="s">
        <v>489</v>
      </c>
      <c r="D1472" t="s">
        <v>1254</v>
      </c>
      <c r="E1472" t="s">
        <v>5227</v>
      </c>
      <c r="F1472" t="s">
        <v>5228</v>
      </c>
      <c r="G1472" t="s">
        <v>47</v>
      </c>
      <c r="H1472" t="s">
        <v>89</v>
      </c>
      <c r="I1472" t="s">
        <v>36</v>
      </c>
      <c r="J1472" t="s">
        <v>50</v>
      </c>
      <c r="K1472" t="s">
        <v>100</v>
      </c>
      <c r="L1472" t="s">
        <v>125</v>
      </c>
      <c r="M1472" t="s">
        <v>116</v>
      </c>
      <c r="N1472" t="s">
        <v>54</v>
      </c>
      <c r="O1472" s="3">
        <v>405000</v>
      </c>
      <c r="P1472" s="4">
        <v>20</v>
      </c>
      <c r="Q1472" s="2">
        <v>45968</v>
      </c>
      <c r="R1472" s="2">
        <v>46203</v>
      </c>
      <c r="S1472" s="2">
        <v>45894</v>
      </c>
      <c r="T1472" s="2"/>
      <c r="U1472" t="str">
        <f t="shared" si="154"/>
        <v>No</v>
      </c>
      <c r="W14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2" t="str">
        <f t="shared" ca="1" si="155"/>
        <v>Due/Open</v>
      </c>
      <c r="Y1472" t="str">
        <f t="shared" si="156"/>
        <v>Open</v>
      </c>
      <c r="Z1472" t="str">
        <f t="shared" si="157"/>
        <v>Aug-2025</v>
      </c>
      <c r="AA1472" t="str">
        <f t="shared" si="158"/>
        <v>Q3 2025</v>
      </c>
      <c r="AB1472" s="4">
        <f t="shared" ca="1" si="159"/>
        <v>309</v>
      </c>
      <c r="AC1472" t="str">
        <f t="shared" si="160"/>
        <v>High</v>
      </c>
    </row>
    <row r="1473" spans="1:29">
      <c r="A1473" t="s">
        <v>5229</v>
      </c>
      <c r="B1473" s="2">
        <v>45887</v>
      </c>
      <c r="C1473" t="s">
        <v>3874</v>
      </c>
      <c r="D1473" t="s">
        <v>1662</v>
      </c>
      <c r="E1473" t="s">
        <v>5230</v>
      </c>
      <c r="F1473" t="s">
        <v>5231</v>
      </c>
      <c r="G1473" t="s">
        <v>34</v>
      </c>
      <c r="H1473" t="s">
        <v>60</v>
      </c>
      <c r="I1473" t="s">
        <v>141</v>
      </c>
      <c r="J1473" t="s">
        <v>131</v>
      </c>
      <c r="K1473" t="s">
        <v>38</v>
      </c>
      <c r="L1473" t="s">
        <v>39</v>
      </c>
      <c r="M1473" t="s">
        <v>210</v>
      </c>
      <c r="N1473" t="s">
        <v>134</v>
      </c>
      <c r="O1473" s="3">
        <v>310000</v>
      </c>
      <c r="P1473" s="4">
        <v>0</v>
      </c>
      <c r="Q1473" s="2">
        <v>45933</v>
      </c>
      <c r="R1473" s="2"/>
      <c r="S1473" s="2">
        <v>45892</v>
      </c>
      <c r="T1473" s="2">
        <v>45933</v>
      </c>
      <c r="U1473" t="str">
        <f t="shared" si="154"/>
        <v>No</v>
      </c>
      <c r="V1473" t="s">
        <v>452</v>
      </c>
      <c r="W147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1473" t="str">
        <f t="shared" ca="1" si="155"/>
        <v>Closed</v>
      </c>
      <c r="Y1473" t="str">
        <f t="shared" si="156"/>
        <v>Closed</v>
      </c>
      <c r="Z1473" t="str">
        <f t="shared" si="157"/>
        <v>Aug-2025</v>
      </c>
      <c r="AA1473" t="str">
        <f t="shared" si="158"/>
        <v>Q3 2025</v>
      </c>
      <c r="AB1473" s="4">
        <f t="shared" ca="1" si="159"/>
        <v>312</v>
      </c>
      <c r="AC1473" t="str">
        <f t="shared" si="160"/>
        <v>High</v>
      </c>
    </row>
    <row r="1474" spans="1:29">
      <c r="A1474" t="s">
        <v>5232</v>
      </c>
      <c r="B1474" s="2">
        <v>46173</v>
      </c>
      <c r="C1474" t="s">
        <v>1102</v>
      </c>
      <c r="D1474" t="s">
        <v>1722</v>
      </c>
      <c r="E1474" t="s">
        <v>5233</v>
      </c>
      <c r="F1474" t="s">
        <v>5234</v>
      </c>
      <c r="G1474" t="s">
        <v>47</v>
      </c>
      <c r="H1474" t="s">
        <v>48</v>
      </c>
      <c r="I1474" t="s">
        <v>49</v>
      </c>
      <c r="J1474" t="s">
        <v>99</v>
      </c>
      <c r="K1474" t="s">
        <v>114</v>
      </c>
      <c r="L1474" t="s">
        <v>81</v>
      </c>
      <c r="M1474" t="s">
        <v>166</v>
      </c>
      <c r="N1474" t="s">
        <v>167</v>
      </c>
      <c r="O1474" s="3">
        <v>665000</v>
      </c>
      <c r="P1474" s="4">
        <v>60</v>
      </c>
      <c r="Q1474" s="2">
        <v>46249</v>
      </c>
      <c r="R1474" s="2">
        <v>46206</v>
      </c>
      <c r="S1474" s="2">
        <v>46184</v>
      </c>
      <c r="T1474" s="2"/>
      <c r="U1474" t="str">
        <f t="shared" ref="U1474:U1537" si="161">IF(M1474="Converted","Yes","No")</f>
        <v>No</v>
      </c>
      <c r="W14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4" t="str">
        <f t="shared" ref="X1474:X1537" ca="1" si="162">IF(OR(M1474="Converted",M1474="Lost",M1474="Not Interested"),"Closed",IF(R1474&lt;TODAY(),"Overdue","Due/Open"))</f>
        <v>Due/Open</v>
      </c>
      <c r="Y1474" t="str">
        <f t="shared" ref="Y1474:Y1537" si="163">IF(OR(M1474="Converted",M1474="Lost",M1474="Not Interested"),"Closed","Open")</f>
        <v>Open</v>
      </c>
      <c r="Z1474" t="str">
        <f t="shared" ref="Z1474:Z1537" si="164">TEXT(B1474,"mmm-yyyy")</f>
        <v>May-2026</v>
      </c>
      <c r="AA1474" t="str">
        <f t="shared" ref="AA1474:AA1537" si="165">"Q"&amp;ROUNDUP(MONTH(B1474)/3,0)&amp;" "&amp;YEAR(B1474)</f>
        <v>Q2 2026</v>
      </c>
      <c r="AB1474" s="4">
        <f t="shared" ref="AB1474:AB1537" ca="1" si="166">TODAY()-B1474</f>
        <v>26</v>
      </c>
      <c r="AC1474" t="str">
        <f t="shared" ref="AC1474:AC1537" si="167">IF(O1474&gt;=300000,"High",IF(O1474&gt;=120000,"Medium","Low"))</f>
        <v>High</v>
      </c>
    </row>
    <row r="1475" spans="1:29">
      <c r="A1475" t="s">
        <v>5235</v>
      </c>
      <c r="B1475" s="2">
        <v>45966</v>
      </c>
      <c r="C1475" t="s">
        <v>43</v>
      </c>
      <c r="D1475" t="s">
        <v>909</v>
      </c>
      <c r="E1475" t="s">
        <v>5236</v>
      </c>
      <c r="F1475" t="s">
        <v>5237</v>
      </c>
      <c r="G1475" t="s">
        <v>179</v>
      </c>
      <c r="H1475" t="s">
        <v>186</v>
      </c>
      <c r="I1475" t="s">
        <v>141</v>
      </c>
      <c r="J1475" t="s">
        <v>124</v>
      </c>
      <c r="K1475" t="s">
        <v>114</v>
      </c>
      <c r="L1475" t="s">
        <v>142</v>
      </c>
      <c r="M1475" t="s">
        <v>53</v>
      </c>
      <c r="N1475" t="s">
        <v>54</v>
      </c>
      <c r="O1475" s="3">
        <v>200000</v>
      </c>
      <c r="P1475" s="4">
        <v>30</v>
      </c>
      <c r="Q1475" s="2">
        <v>46023</v>
      </c>
      <c r="R1475" s="2">
        <v>46228</v>
      </c>
      <c r="S1475" s="2">
        <v>45968</v>
      </c>
      <c r="T1475" s="2"/>
      <c r="U1475" t="str">
        <f t="shared" si="161"/>
        <v>No</v>
      </c>
      <c r="W14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5" t="str">
        <f t="shared" ca="1" si="162"/>
        <v>Due/Open</v>
      </c>
      <c r="Y1475" t="str">
        <f t="shared" si="163"/>
        <v>Open</v>
      </c>
      <c r="Z1475" t="str">
        <f t="shared" si="164"/>
        <v>Nov-2025</v>
      </c>
      <c r="AA1475" t="str">
        <f t="shared" si="165"/>
        <v>Q4 2025</v>
      </c>
      <c r="AB1475" s="4">
        <f t="shared" ca="1" si="166"/>
        <v>233</v>
      </c>
      <c r="AC1475" t="str">
        <f t="shared" si="167"/>
        <v>Medium</v>
      </c>
    </row>
    <row r="1476" spans="1:29">
      <c r="A1476" t="s">
        <v>5238</v>
      </c>
      <c r="B1476" s="2">
        <v>45967</v>
      </c>
      <c r="C1476" t="s">
        <v>4822</v>
      </c>
      <c r="D1476" t="s">
        <v>207</v>
      </c>
      <c r="E1476" t="s">
        <v>5239</v>
      </c>
      <c r="F1476" t="s">
        <v>5240</v>
      </c>
      <c r="G1476" t="s">
        <v>79</v>
      </c>
      <c r="H1476" t="s">
        <v>80</v>
      </c>
      <c r="I1476" t="s">
        <v>141</v>
      </c>
      <c r="J1476" t="s">
        <v>62</v>
      </c>
      <c r="K1476" t="s">
        <v>194</v>
      </c>
      <c r="L1476" t="s">
        <v>81</v>
      </c>
      <c r="M1476" t="s">
        <v>90</v>
      </c>
      <c r="N1476" t="s">
        <v>91</v>
      </c>
      <c r="O1476" s="3">
        <v>410000</v>
      </c>
      <c r="P1476" s="4">
        <v>55</v>
      </c>
      <c r="Q1476" s="2">
        <v>46008</v>
      </c>
      <c r="R1476" s="2">
        <v>46203</v>
      </c>
      <c r="S1476" s="2">
        <v>45984</v>
      </c>
      <c r="T1476" s="2"/>
      <c r="U1476" t="str">
        <f t="shared" si="161"/>
        <v>No</v>
      </c>
      <c r="W14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6" t="str">
        <f t="shared" ca="1" si="162"/>
        <v>Due/Open</v>
      </c>
      <c r="Y1476" t="str">
        <f t="shared" si="163"/>
        <v>Open</v>
      </c>
      <c r="Z1476" t="str">
        <f t="shared" si="164"/>
        <v>Nov-2025</v>
      </c>
      <c r="AA1476" t="str">
        <f t="shared" si="165"/>
        <v>Q4 2025</v>
      </c>
      <c r="AB1476" s="4">
        <f t="shared" ca="1" si="166"/>
        <v>232</v>
      </c>
      <c r="AC1476" t="str">
        <f t="shared" si="167"/>
        <v>High</v>
      </c>
    </row>
    <row r="1477" spans="1:29">
      <c r="A1477" t="s">
        <v>5241</v>
      </c>
      <c r="B1477" s="2">
        <v>45727</v>
      </c>
      <c r="C1477" t="s">
        <v>3410</v>
      </c>
      <c r="D1477" t="s">
        <v>138</v>
      </c>
      <c r="E1477" t="s">
        <v>5242</v>
      </c>
      <c r="F1477" t="s">
        <v>5243</v>
      </c>
      <c r="G1477" t="s">
        <v>34</v>
      </c>
      <c r="H1477" t="s">
        <v>446</v>
      </c>
      <c r="I1477" t="s">
        <v>148</v>
      </c>
      <c r="J1477" t="s">
        <v>62</v>
      </c>
      <c r="K1477" t="s">
        <v>100</v>
      </c>
      <c r="L1477" t="s">
        <v>239</v>
      </c>
      <c r="M1477" t="s">
        <v>53</v>
      </c>
      <c r="N1477" t="s">
        <v>54</v>
      </c>
      <c r="O1477" s="3">
        <v>380000</v>
      </c>
      <c r="P1477" s="4">
        <v>35</v>
      </c>
      <c r="Q1477" s="2">
        <v>45789</v>
      </c>
      <c r="R1477" s="2">
        <v>46173</v>
      </c>
      <c r="S1477" s="2">
        <v>45751</v>
      </c>
      <c r="T1477" s="2"/>
      <c r="U1477" t="str">
        <f t="shared" si="161"/>
        <v>No</v>
      </c>
      <c r="W14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7" t="str">
        <f t="shared" ca="1" si="162"/>
        <v>Overdue</v>
      </c>
      <c r="Y1477" t="str">
        <f t="shared" si="163"/>
        <v>Open</v>
      </c>
      <c r="Z1477" t="str">
        <f t="shared" si="164"/>
        <v>Mar-2025</v>
      </c>
      <c r="AA1477" t="str">
        <f t="shared" si="165"/>
        <v>Q1 2025</v>
      </c>
      <c r="AB1477" s="4">
        <f t="shared" ca="1" si="166"/>
        <v>472</v>
      </c>
      <c r="AC1477" t="str">
        <f t="shared" si="167"/>
        <v>High</v>
      </c>
    </row>
    <row r="1478" spans="1:29">
      <c r="A1478" t="s">
        <v>5244</v>
      </c>
      <c r="B1478" s="2">
        <v>46104</v>
      </c>
      <c r="C1478" t="s">
        <v>1705</v>
      </c>
      <c r="D1478" t="s">
        <v>2143</v>
      </c>
      <c r="E1478" t="s">
        <v>5245</v>
      </c>
      <c r="F1478" t="s">
        <v>5246</v>
      </c>
      <c r="G1478" t="s">
        <v>179</v>
      </c>
      <c r="H1478" t="s">
        <v>318</v>
      </c>
      <c r="I1478" t="s">
        <v>98</v>
      </c>
      <c r="J1478" t="s">
        <v>124</v>
      </c>
      <c r="K1478" t="s">
        <v>71</v>
      </c>
      <c r="L1478" t="s">
        <v>63</v>
      </c>
      <c r="M1478" t="s">
        <v>40</v>
      </c>
      <c r="N1478" t="s">
        <v>41</v>
      </c>
      <c r="O1478" s="3">
        <v>125000</v>
      </c>
      <c r="P1478" s="4">
        <v>100</v>
      </c>
      <c r="Q1478" s="2">
        <v>46123</v>
      </c>
      <c r="R1478" s="2"/>
      <c r="S1478" s="2">
        <v>46123</v>
      </c>
      <c r="T1478" s="2">
        <v>46123</v>
      </c>
      <c r="U1478" t="str">
        <f t="shared" si="161"/>
        <v>Yes</v>
      </c>
      <c r="W147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1478" t="str">
        <f t="shared" ca="1" si="162"/>
        <v>Closed</v>
      </c>
      <c r="Y1478" t="str">
        <f t="shared" si="163"/>
        <v>Closed</v>
      </c>
      <c r="Z1478" t="str">
        <f t="shared" si="164"/>
        <v>Mar-2026</v>
      </c>
      <c r="AA1478" t="str">
        <f t="shared" si="165"/>
        <v>Q1 2026</v>
      </c>
      <c r="AB1478" s="4">
        <f t="shared" ca="1" si="166"/>
        <v>95</v>
      </c>
      <c r="AC1478" t="str">
        <f t="shared" si="167"/>
        <v>Medium</v>
      </c>
    </row>
    <row r="1479" spans="1:29">
      <c r="A1479" t="s">
        <v>5247</v>
      </c>
      <c r="B1479" s="2">
        <v>45700</v>
      </c>
      <c r="C1479" t="s">
        <v>393</v>
      </c>
      <c r="D1479" t="s">
        <v>197</v>
      </c>
      <c r="E1479" t="s">
        <v>5248</v>
      </c>
      <c r="F1479" t="s">
        <v>5249</v>
      </c>
      <c r="G1479" t="s">
        <v>34</v>
      </c>
      <c r="H1479" t="s">
        <v>238</v>
      </c>
      <c r="I1479" t="s">
        <v>187</v>
      </c>
      <c r="J1479" t="s">
        <v>124</v>
      </c>
      <c r="K1479" t="s">
        <v>51</v>
      </c>
      <c r="L1479" t="s">
        <v>132</v>
      </c>
      <c r="M1479" t="s">
        <v>166</v>
      </c>
      <c r="N1479" t="s">
        <v>167</v>
      </c>
      <c r="O1479" s="3">
        <v>295000</v>
      </c>
      <c r="P1479" s="4">
        <v>70</v>
      </c>
      <c r="Q1479" s="2">
        <v>45772</v>
      </c>
      <c r="R1479" s="2">
        <v>46215</v>
      </c>
      <c r="S1479" s="2">
        <v>45722</v>
      </c>
      <c r="T1479" s="2"/>
      <c r="U1479" t="str">
        <f t="shared" si="161"/>
        <v>No</v>
      </c>
      <c r="W14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79" t="str">
        <f t="shared" ca="1" si="162"/>
        <v>Due/Open</v>
      </c>
      <c r="Y1479" t="str">
        <f t="shared" si="163"/>
        <v>Open</v>
      </c>
      <c r="Z1479" t="str">
        <f t="shared" si="164"/>
        <v>Feb-2025</v>
      </c>
      <c r="AA1479" t="str">
        <f t="shared" si="165"/>
        <v>Q1 2025</v>
      </c>
      <c r="AB1479" s="4">
        <f t="shared" ca="1" si="166"/>
        <v>499</v>
      </c>
      <c r="AC1479" t="str">
        <f t="shared" si="167"/>
        <v>Medium</v>
      </c>
    </row>
    <row r="1480" spans="1:29">
      <c r="A1480" t="s">
        <v>5250</v>
      </c>
      <c r="B1480" s="2">
        <v>45903</v>
      </c>
      <c r="C1480" t="s">
        <v>1789</v>
      </c>
      <c r="D1480" t="s">
        <v>1876</v>
      </c>
      <c r="E1480" t="s">
        <v>5251</v>
      </c>
      <c r="F1480" t="s">
        <v>5252</v>
      </c>
      <c r="G1480" t="s">
        <v>34</v>
      </c>
      <c r="H1480" t="s">
        <v>160</v>
      </c>
      <c r="I1480" t="s">
        <v>98</v>
      </c>
      <c r="J1480" t="s">
        <v>50</v>
      </c>
      <c r="K1480" t="s">
        <v>71</v>
      </c>
      <c r="L1480" t="s">
        <v>132</v>
      </c>
      <c r="M1480" t="s">
        <v>53</v>
      </c>
      <c r="N1480" t="s">
        <v>54</v>
      </c>
      <c r="O1480" s="3">
        <v>540000</v>
      </c>
      <c r="P1480" s="4">
        <v>30</v>
      </c>
      <c r="Q1480" s="2">
        <v>45981</v>
      </c>
      <c r="R1480" s="2">
        <v>46215</v>
      </c>
      <c r="S1480" s="2">
        <v>45920</v>
      </c>
      <c r="T1480" s="2"/>
      <c r="U1480" t="str">
        <f t="shared" si="161"/>
        <v>No</v>
      </c>
      <c r="W14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0" t="str">
        <f t="shared" ca="1" si="162"/>
        <v>Due/Open</v>
      </c>
      <c r="Y1480" t="str">
        <f t="shared" si="163"/>
        <v>Open</v>
      </c>
      <c r="Z1480" t="str">
        <f t="shared" si="164"/>
        <v>Sep-2025</v>
      </c>
      <c r="AA1480" t="str">
        <f t="shared" si="165"/>
        <v>Q3 2025</v>
      </c>
      <c r="AB1480" s="4">
        <f t="shared" ca="1" si="166"/>
        <v>296</v>
      </c>
      <c r="AC1480" t="str">
        <f t="shared" si="167"/>
        <v>High</v>
      </c>
    </row>
    <row r="1481" spans="1:29">
      <c r="A1481" t="s">
        <v>5253</v>
      </c>
      <c r="B1481" s="2">
        <v>46122</v>
      </c>
      <c r="C1481" t="s">
        <v>2389</v>
      </c>
      <c r="D1481" t="s">
        <v>76</v>
      </c>
      <c r="E1481" t="s">
        <v>5254</v>
      </c>
      <c r="F1481" t="s">
        <v>5255</v>
      </c>
      <c r="G1481" t="s">
        <v>34</v>
      </c>
      <c r="H1481" t="s">
        <v>238</v>
      </c>
      <c r="I1481" t="s">
        <v>36</v>
      </c>
      <c r="J1481" t="s">
        <v>124</v>
      </c>
      <c r="K1481" t="s">
        <v>100</v>
      </c>
      <c r="L1481" t="s">
        <v>239</v>
      </c>
      <c r="M1481" t="s">
        <v>210</v>
      </c>
      <c r="N1481" t="s">
        <v>134</v>
      </c>
      <c r="O1481" s="3">
        <v>195000</v>
      </c>
      <c r="P1481" s="4">
        <v>0</v>
      </c>
      <c r="Q1481" s="2">
        <v>46184</v>
      </c>
      <c r="R1481" s="2"/>
      <c r="S1481" s="2">
        <v>46150</v>
      </c>
      <c r="T1481" s="2">
        <v>46184</v>
      </c>
      <c r="U1481" t="str">
        <f t="shared" si="161"/>
        <v>No</v>
      </c>
      <c r="V1481" t="s">
        <v>319</v>
      </c>
      <c r="W14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62</v>
      </c>
      <c r="X1481" t="str">
        <f t="shared" ca="1" si="162"/>
        <v>Closed</v>
      </c>
      <c r="Y1481" t="str">
        <f t="shared" si="163"/>
        <v>Closed</v>
      </c>
      <c r="Z1481" t="str">
        <f t="shared" si="164"/>
        <v>Apr-2026</v>
      </c>
      <c r="AA1481" t="str">
        <f t="shared" si="165"/>
        <v>Q2 2026</v>
      </c>
      <c r="AB1481" s="4">
        <f t="shared" ca="1" si="166"/>
        <v>77</v>
      </c>
      <c r="AC1481" t="str">
        <f t="shared" si="167"/>
        <v>Medium</v>
      </c>
    </row>
    <row r="1482" spans="1:29">
      <c r="A1482" t="s">
        <v>5256</v>
      </c>
      <c r="B1482" s="2">
        <v>45703</v>
      </c>
      <c r="C1482" t="s">
        <v>2396</v>
      </c>
      <c r="D1482" t="s">
        <v>315</v>
      </c>
      <c r="E1482" t="s">
        <v>5257</v>
      </c>
      <c r="F1482" t="s">
        <v>5258</v>
      </c>
      <c r="G1482" t="s">
        <v>34</v>
      </c>
      <c r="H1482" t="s">
        <v>173</v>
      </c>
      <c r="I1482" t="s">
        <v>141</v>
      </c>
      <c r="J1482" t="s">
        <v>37</v>
      </c>
      <c r="K1482" t="s">
        <v>38</v>
      </c>
      <c r="L1482" t="s">
        <v>39</v>
      </c>
      <c r="M1482" t="s">
        <v>90</v>
      </c>
      <c r="N1482" t="s">
        <v>91</v>
      </c>
      <c r="O1482" s="3">
        <v>125000</v>
      </c>
      <c r="P1482" s="4">
        <v>50</v>
      </c>
      <c r="Q1482" s="2">
        <v>45764</v>
      </c>
      <c r="R1482" s="2">
        <v>46240</v>
      </c>
      <c r="S1482" s="2">
        <v>45729</v>
      </c>
      <c r="T1482" s="2"/>
      <c r="U1482" t="str">
        <f t="shared" si="161"/>
        <v>No</v>
      </c>
      <c r="W14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2" t="str">
        <f t="shared" ca="1" si="162"/>
        <v>Due/Open</v>
      </c>
      <c r="Y1482" t="str">
        <f t="shared" si="163"/>
        <v>Open</v>
      </c>
      <c r="Z1482" t="str">
        <f t="shared" si="164"/>
        <v>Feb-2025</v>
      </c>
      <c r="AA1482" t="str">
        <f t="shared" si="165"/>
        <v>Q1 2025</v>
      </c>
      <c r="AB1482" s="4">
        <f t="shared" ca="1" si="166"/>
        <v>496</v>
      </c>
      <c r="AC1482" t="str">
        <f t="shared" si="167"/>
        <v>Medium</v>
      </c>
    </row>
    <row r="1483" spans="1:29">
      <c r="A1483" t="s">
        <v>5259</v>
      </c>
      <c r="B1483" s="2">
        <v>45979</v>
      </c>
      <c r="C1483" t="s">
        <v>1261</v>
      </c>
      <c r="D1483" t="s">
        <v>273</v>
      </c>
      <c r="E1483" t="s">
        <v>5260</v>
      </c>
      <c r="F1483" t="s">
        <v>5261</v>
      </c>
      <c r="G1483" t="s">
        <v>69</v>
      </c>
      <c r="H1483" t="s">
        <v>270</v>
      </c>
      <c r="I1483" t="s">
        <v>141</v>
      </c>
      <c r="J1483" t="s">
        <v>131</v>
      </c>
      <c r="K1483" t="s">
        <v>38</v>
      </c>
      <c r="L1483" t="s">
        <v>52</v>
      </c>
      <c r="M1483" t="s">
        <v>40</v>
      </c>
      <c r="N1483" t="s">
        <v>41</v>
      </c>
      <c r="O1483" s="3">
        <v>340000</v>
      </c>
      <c r="P1483" s="4">
        <v>100</v>
      </c>
      <c r="Q1483" s="2">
        <v>46059</v>
      </c>
      <c r="R1483" s="2"/>
      <c r="S1483" s="2">
        <v>45990</v>
      </c>
      <c r="T1483" s="2">
        <v>46059</v>
      </c>
      <c r="U1483" t="str">
        <f t="shared" si="161"/>
        <v>Yes</v>
      </c>
      <c r="W14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1483" t="str">
        <f t="shared" ca="1" si="162"/>
        <v>Closed</v>
      </c>
      <c r="Y1483" t="str">
        <f t="shared" si="163"/>
        <v>Closed</v>
      </c>
      <c r="Z1483" t="str">
        <f t="shared" si="164"/>
        <v>Nov-2025</v>
      </c>
      <c r="AA1483" t="str">
        <f t="shared" si="165"/>
        <v>Q4 2025</v>
      </c>
      <c r="AB1483" s="4">
        <f t="shared" ca="1" si="166"/>
        <v>220</v>
      </c>
      <c r="AC1483" t="str">
        <f t="shared" si="167"/>
        <v>High</v>
      </c>
    </row>
    <row r="1484" spans="1:29">
      <c r="A1484" t="s">
        <v>5262</v>
      </c>
      <c r="B1484" s="2">
        <v>46090</v>
      </c>
      <c r="C1484" t="s">
        <v>899</v>
      </c>
      <c r="D1484" t="s">
        <v>969</v>
      </c>
      <c r="E1484" t="s">
        <v>5263</v>
      </c>
      <c r="F1484" t="s">
        <v>5264</v>
      </c>
      <c r="G1484" t="s">
        <v>34</v>
      </c>
      <c r="H1484" t="s">
        <v>35</v>
      </c>
      <c r="I1484" t="s">
        <v>49</v>
      </c>
      <c r="J1484" t="s">
        <v>131</v>
      </c>
      <c r="K1484" t="s">
        <v>100</v>
      </c>
      <c r="L1484" t="s">
        <v>239</v>
      </c>
      <c r="M1484" t="s">
        <v>166</v>
      </c>
      <c r="N1484" t="s">
        <v>167</v>
      </c>
      <c r="O1484" s="3">
        <v>350000</v>
      </c>
      <c r="P1484" s="4">
        <v>70</v>
      </c>
      <c r="Q1484" s="2">
        <v>46158</v>
      </c>
      <c r="R1484" s="2">
        <v>46237</v>
      </c>
      <c r="S1484" s="2">
        <v>46111</v>
      </c>
      <c r="T1484" s="2"/>
      <c r="U1484" t="str">
        <f t="shared" si="161"/>
        <v>No</v>
      </c>
      <c r="W14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4" t="str">
        <f t="shared" ca="1" si="162"/>
        <v>Due/Open</v>
      </c>
      <c r="Y1484" t="str">
        <f t="shared" si="163"/>
        <v>Open</v>
      </c>
      <c r="Z1484" t="str">
        <f t="shared" si="164"/>
        <v>Mar-2026</v>
      </c>
      <c r="AA1484" t="str">
        <f t="shared" si="165"/>
        <v>Q1 2026</v>
      </c>
      <c r="AB1484" s="4">
        <f t="shared" ca="1" si="166"/>
        <v>109</v>
      </c>
      <c r="AC1484" t="str">
        <f t="shared" si="167"/>
        <v>High</v>
      </c>
    </row>
    <row r="1485" spans="1:29">
      <c r="A1485" t="s">
        <v>5265</v>
      </c>
      <c r="B1485" s="2">
        <v>46040</v>
      </c>
      <c r="C1485" t="s">
        <v>1420</v>
      </c>
      <c r="D1485" t="s">
        <v>423</v>
      </c>
      <c r="E1485" t="s">
        <v>5266</v>
      </c>
      <c r="F1485" t="s">
        <v>5267</v>
      </c>
      <c r="G1485" t="s">
        <v>34</v>
      </c>
      <c r="H1485" t="s">
        <v>173</v>
      </c>
      <c r="I1485" t="s">
        <v>98</v>
      </c>
      <c r="J1485" t="s">
        <v>124</v>
      </c>
      <c r="K1485" t="s">
        <v>71</v>
      </c>
      <c r="L1485" t="s">
        <v>239</v>
      </c>
      <c r="M1485" t="s">
        <v>90</v>
      </c>
      <c r="N1485" t="s">
        <v>91</v>
      </c>
      <c r="O1485" s="3">
        <v>325000</v>
      </c>
      <c r="P1485" s="4">
        <v>50</v>
      </c>
      <c r="Q1485" s="2">
        <v>46126</v>
      </c>
      <c r="R1485" s="2">
        <v>46180</v>
      </c>
      <c r="S1485" s="2">
        <v>46043</v>
      </c>
      <c r="T1485" s="2"/>
      <c r="U1485" t="str">
        <f t="shared" si="161"/>
        <v>No</v>
      </c>
      <c r="W14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5" t="str">
        <f t="shared" ca="1" si="162"/>
        <v>Overdue</v>
      </c>
      <c r="Y1485" t="str">
        <f t="shared" si="163"/>
        <v>Open</v>
      </c>
      <c r="Z1485" t="str">
        <f t="shared" si="164"/>
        <v>Jan-2026</v>
      </c>
      <c r="AA1485" t="str">
        <f t="shared" si="165"/>
        <v>Q1 2026</v>
      </c>
      <c r="AB1485" s="4">
        <f t="shared" ca="1" si="166"/>
        <v>159</v>
      </c>
      <c r="AC1485" t="str">
        <f t="shared" si="167"/>
        <v>High</v>
      </c>
    </row>
    <row r="1486" spans="1:29">
      <c r="A1486" t="s">
        <v>5268</v>
      </c>
      <c r="B1486" s="2">
        <v>45777</v>
      </c>
      <c r="C1486" t="s">
        <v>530</v>
      </c>
      <c r="D1486" t="s">
        <v>1416</v>
      </c>
      <c r="E1486" t="s">
        <v>5269</v>
      </c>
      <c r="F1486" t="s">
        <v>5270</v>
      </c>
      <c r="G1486" t="s">
        <v>34</v>
      </c>
      <c r="H1486" t="s">
        <v>173</v>
      </c>
      <c r="I1486" t="s">
        <v>148</v>
      </c>
      <c r="J1486" t="s">
        <v>99</v>
      </c>
      <c r="K1486" t="s">
        <v>51</v>
      </c>
      <c r="L1486" t="s">
        <v>72</v>
      </c>
      <c r="M1486" t="s">
        <v>90</v>
      </c>
      <c r="N1486" t="s">
        <v>91</v>
      </c>
      <c r="O1486" s="3">
        <v>605000</v>
      </c>
      <c r="P1486" s="4">
        <v>50</v>
      </c>
      <c r="Q1486" s="2">
        <v>45847</v>
      </c>
      <c r="R1486" s="2">
        <v>46203</v>
      </c>
      <c r="S1486" s="2">
        <v>45789</v>
      </c>
      <c r="T1486" s="2"/>
      <c r="U1486" t="str">
        <f t="shared" si="161"/>
        <v>No</v>
      </c>
      <c r="W14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6" t="str">
        <f t="shared" ca="1" si="162"/>
        <v>Due/Open</v>
      </c>
      <c r="Y1486" t="str">
        <f t="shared" si="163"/>
        <v>Open</v>
      </c>
      <c r="Z1486" t="str">
        <f t="shared" si="164"/>
        <v>Apr-2025</v>
      </c>
      <c r="AA1486" t="str">
        <f t="shared" si="165"/>
        <v>Q2 2025</v>
      </c>
      <c r="AB1486" s="4">
        <f t="shared" ca="1" si="166"/>
        <v>422</v>
      </c>
      <c r="AC1486" t="str">
        <f t="shared" si="167"/>
        <v>High</v>
      </c>
    </row>
    <row r="1487" spans="1:29">
      <c r="A1487" t="s">
        <v>5271</v>
      </c>
      <c r="B1487" s="2">
        <v>45861</v>
      </c>
      <c r="C1487" t="s">
        <v>169</v>
      </c>
      <c r="D1487" t="s">
        <v>1052</v>
      </c>
      <c r="E1487" t="s">
        <v>5272</v>
      </c>
      <c r="F1487" t="s">
        <v>5273</v>
      </c>
      <c r="G1487" t="s">
        <v>69</v>
      </c>
      <c r="H1487" t="s">
        <v>312</v>
      </c>
      <c r="I1487" t="s">
        <v>36</v>
      </c>
      <c r="J1487" t="s">
        <v>124</v>
      </c>
      <c r="K1487" t="s">
        <v>51</v>
      </c>
      <c r="L1487" t="s">
        <v>154</v>
      </c>
      <c r="M1487" t="s">
        <v>53</v>
      </c>
      <c r="N1487" t="s">
        <v>54</v>
      </c>
      <c r="O1487" s="3">
        <v>280000</v>
      </c>
      <c r="P1487" s="4">
        <v>35</v>
      </c>
      <c r="Q1487" s="2">
        <v>45919</v>
      </c>
      <c r="R1487" s="2">
        <v>46212</v>
      </c>
      <c r="S1487" s="2">
        <v>45889</v>
      </c>
      <c r="T1487" s="2"/>
      <c r="U1487" t="str">
        <f t="shared" si="161"/>
        <v>No</v>
      </c>
      <c r="W14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7" t="str">
        <f t="shared" ca="1" si="162"/>
        <v>Due/Open</v>
      </c>
      <c r="Y1487" t="str">
        <f t="shared" si="163"/>
        <v>Open</v>
      </c>
      <c r="Z1487" t="str">
        <f t="shared" si="164"/>
        <v>Jul-2025</v>
      </c>
      <c r="AA1487" t="str">
        <f t="shared" si="165"/>
        <v>Q3 2025</v>
      </c>
      <c r="AB1487" s="4">
        <f t="shared" ca="1" si="166"/>
        <v>338</v>
      </c>
      <c r="AC1487" t="str">
        <f t="shared" si="167"/>
        <v>Medium</v>
      </c>
    </row>
    <row r="1488" spans="1:29">
      <c r="A1488" t="s">
        <v>5274</v>
      </c>
      <c r="B1488" s="2">
        <v>45977</v>
      </c>
      <c r="C1488" t="s">
        <v>2155</v>
      </c>
      <c r="D1488" t="s">
        <v>590</v>
      </c>
      <c r="E1488" t="s">
        <v>5275</v>
      </c>
      <c r="F1488" t="s">
        <v>5276</v>
      </c>
      <c r="G1488" t="s">
        <v>179</v>
      </c>
      <c r="H1488" t="s">
        <v>296</v>
      </c>
      <c r="I1488" t="s">
        <v>36</v>
      </c>
      <c r="J1488" t="s">
        <v>62</v>
      </c>
      <c r="K1488" t="s">
        <v>51</v>
      </c>
      <c r="L1488" t="s">
        <v>81</v>
      </c>
      <c r="M1488" t="s">
        <v>90</v>
      </c>
      <c r="N1488" t="s">
        <v>91</v>
      </c>
      <c r="O1488" s="3">
        <v>210000</v>
      </c>
      <c r="P1488" s="4">
        <v>55</v>
      </c>
      <c r="Q1488" s="2">
        <v>46015</v>
      </c>
      <c r="R1488" s="2">
        <v>46166</v>
      </c>
      <c r="S1488" s="2">
        <v>45986</v>
      </c>
      <c r="T1488" s="2"/>
      <c r="U1488" t="str">
        <f t="shared" si="161"/>
        <v>No</v>
      </c>
      <c r="W14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88" t="str">
        <f t="shared" ca="1" si="162"/>
        <v>Overdue</v>
      </c>
      <c r="Y1488" t="str">
        <f t="shared" si="163"/>
        <v>Open</v>
      </c>
      <c r="Z1488" t="str">
        <f t="shared" si="164"/>
        <v>Nov-2025</v>
      </c>
      <c r="AA1488" t="str">
        <f t="shared" si="165"/>
        <v>Q4 2025</v>
      </c>
      <c r="AB1488" s="4">
        <f t="shared" ca="1" si="166"/>
        <v>222</v>
      </c>
      <c r="AC1488" t="str">
        <f t="shared" si="167"/>
        <v>Medium</v>
      </c>
    </row>
    <row r="1489" spans="1:29">
      <c r="A1489" t="s">
        <v>5277</v>
      </c>
      <c r="B1489" s="2">
        <v>45741</v>
      </c>
      <c r="C1489" t="s">
        <v>292</v>
      </c>
      <c r="D1489" t="s">
        <v>705</v>
      </c>
      <c r="E1489" t="s">
        <v>5278</v>
      </c>
      <c r="F1489" t="s">
        <v>5279</v>
      </c>
      <c r="G1489" t="s">
        <v>79</v>
      </c>
      <c r="H1489" t="s">
        <v>106</v>
      </c>
      <c r="I1489" t="s">
        <v>187</v>
      </c>
      <c r="J1489" t="s">
        <v>99</v>
      </c>
      <c r="K1489" t="s">
        <v>100</v>
      </c>
      <c r="L1489" t="s">
        <v>39</v>
      </c>
      <c r="M1489" t="s">
        <v>40</v>
      </c>
      <c r="N1489" t="s">
        <v>41</v>
      </c>
      <c r="O1489" s="3">
        <v>395000</v>
      </c>
      <c r="P1489" s="4">
        <v>100</v>
      </c>
      <c r="Q1489" s="2">
        <v>45754</v>
      </c>
      <c r="R1489" s="2"/>
      <c r="S1489" s="2">
        <v>45753</v>
      </c>
      <c r="T1489" s="2">
        <v>45754</v>
      </c>
      <c r="U1489" t="str">
        <f t="shared" si="161"/>
        <v>Yes</v>
      </c>
      <c r="W14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13</v>
      </c>
      <c r="X1489" t="str">
        <f t="shared" ca="1" si="162"/>
        <v>Closed</v>
      </c>
      <c r="Y1489" t="str">
        <f t="shared" si="163"/>
        <v>Closed</v>
      </c>
      <c r="Z1489" t="str">
        <f t="shared" si="164"/>
        <v>Mar-2025</v>
      </c>
      <c r="AA1489" t="str">
        <f t="shared" si="165"/>
        <v>Q1 2025</v>
      </c>
      <c r="AB1489" s="4">
        <f t="shared" ca="1" si="166"/>
        <v>458</v>
      </c>
      <c r="AC1489" t="str">
        <f t="shared" si="167"/>
        <v>High</v>
      </c>
    </row>
    <row r="1490" spans="1:29">
      <c r="A1490" t="s">
        <v>5280</v>
      </c>
      <c r="B1490" s="2">
        <v>45877</v>
      </c>
      <c r="C1490" t="s">
        <v>5281</v>
      </c>
      <c r="D1490" t="s">
        <v>31</v>
      </c>
      <c r="E1490" t="s">
        <v>5282</v>
      </c>
      <c r="F1490" t="s">
        <v>5283</v>
      </c>
      <c r="G1490" t="s">
        <v>69</v>
      </c>
      <c r="H1490" t="s">
        <v>270</v>
      </c>
      <c r="I1490" t="s">
        <v>98</v>
      </c>
      <c r="J1490" t="s">
        <v>131</v>
      </c>
      <c r="K1490" t="s">
        <v>38</v>
      </c>
      <c r="L1490" t="s">
        <v>115</v>
      </c>
      <c r="M1490" t="s">
        <v>210</v>
      </c>
      <c r="N1490" t="s">
        <v>134</v>
      </c>
      <c r="O1490" s="3">
        <v>205000</v>
      </c>
      <c r="P1490" s="4">
        <v>0</v>
      </c>
      <c r="Q1490" s="2">
        <v>45909</v>
      </c>
      <c r="R1490" s="2"/>
      <c r="S1490" s="2">
        <v>45907</v>
      </c>
      <c r="T1490" s="2">
        <v>45909</v>
      </c>
      <c r="U1490" t="str">
        <f t="shared" si="161"/>
        <v>No</v>
      </c>
      <c r="V1490" t="s">
        <v>319</v>
      </c>
      <c r="W149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1490" t="str">
        <f t="shared" ca="1" si="162"/>
        <v>Closed</v>
      </c>
      <c r="Y1490" t="str">
        <f t="shared" si="163"/>
        <v>Closed</v>
      </c>
      <c r="Z1490" t="str">
        <f t="shared" si="164"/>
        <v>Aug-2025</v>
      </c>
      <c r="AA1490" t="str">
        <f t="shared" si="165"/>
        <v>Q3 2025</v>
      </c>
      <c r="AB1490" s="4">
        <f t="shared" ca="1" si="166"/>
        <v>322</v>
      </c>
      <c r="AC1490" t="str">
        <f t="shared" si="167"/>
        <v>Medium</v>
      </c>
    </row>
    <row r="1491" spans="1:29">
      <c r="A1491" t="s">
        <v>5284</v>
      </c>
      <c r="B1491" s="2">
        <v>45914</v>
      </c>
      <c r="C1491" t="s">
        <v>976</v>
      </c>
      <c r="D1491" t="s">
        <v>357</v>
      </c>
      <c r="E1491" t="s">
        <v>5285</v>
      </c>
      <c r="F1491" t="s">
        <v>5286</v>
      </c>
      <c r="G1491" t="s">
        <v>47</v>
      </c>
      <c r="H1491" t="s">
        <v>122</v>
      </c>
      <c r="I1491" t="s">
        <v>141</v>
      </c>
      <c r="J1491" t="s">
        <v>62</v>
      </c>
      <c r="K1491" t="s">
        <v>114</v>
      </c>
      <c r="L1491" t="s">
        <v>132</v>
      </c>
      <c r="M1491" t="s">
        <v>40</v>
      </c>
      <c r="N1491" t="s">
        <v>41</v>
      </c>
      <c r="O1491" s="3">
        <v>430000</v>
      </c>
      <c r="P1491" s="4">
        <v>100</v>
      </c>
      <c r="Q1491" s="2">
        <v>45934</v>
      </c>
      <c r="R1491" s="2"/>
      <c r="S1491" s="2">
        <v>45931</v>
      </c>
      <c r="T1491" s="2">
        <v>45934</v>
      </c>
      <c r="U1491" t="str">
        <f t="shared" si="161"/>
        <v>Yes</v>
      </c>
      <c r="W14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1491" t="str">
        <f t="shared" ca="1" si="162"/>
        <v>Closed</v>
      </c>
      <c r="Y1491" t="str">
        <f t="shared" si="163"/>
        <v>Closed</v>
      </c>
      <c r="Z1491" t="str">
        <f t="shared" si="164"/>
        <v>Sep-2025</v>
      </c>
      <c r="AA1491" t="str">
        <f t="shared" si="165"/>
        <v>Q3 2025</v>
      </c>
      <c r="AB1491" s="4">
        <f t="shared" ca="1" si="166"/>
        <v>285</v>
      </c>
      <c r="AC1491" t="str">
        <f t="shared" si="167"/>
        <v>High</v>
      </c>
    </row>
    <row r="1492" spans="1:29">
      <c r="A1492" t="s">
        <v>5287</v>
      </c>
      <c r="B1492" s="2">
        <v>45815</v>
      </c>
      <c r="C1492" t="s">
        <v>1494</v>
      </c>
      <c r="D1492" t="s">
        <v>676</v>
      </c>
      <c r="E1492" t="s">
        <v>5288</v>
      </c>
      <c r="F1492" t="s">
        <v>5289</v>
      </c>
      <c r="G1492" t="s">
        <v>79</v>
      </c>
      <c r="H1492" t="s">
        <v>217</v>
      </c>
      <c r="I1492" t="s">
        <v>61</v>
      </c>
      <c r="J1492" t="s">
        <v>124</v>
      </c>
      <c r="K1492" t="s">
        <v>38</v>
      </c>
      <c r="L1492" t="s">
        <v>154</v>
      </c>
      <c r="M1492" t="s">
        <v>53</v>
      </c>
      <c r="N1492" t="s">
        <v>54</v>
      </c>
      <c r="O1492" s="3">
        <v>150000</v>
      </c>
      <c r="P1492" s="4">
        <v>35</v>
      </c>
      <c r="Q1492" s="2">
        <v>45875</v>
      </c>
      <c r="R1492" s="2">
        <v>46203</v>
      </c>
      <c r="S1492" s="2">
        <v>45829</v>
      </c>
      <c r="T1492" s="2"/>
      <c r="U1492" t="str">
        <f t="shared" si="161"/>
        <v>No</v>
      </c>
      <c r="W14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2" t="str">
        <f t="shared" ca="1" si="162"/>
        <v>Due/Open</v>
      </c>
      <c r="Y1492" t="str">
        <f t="shared" si="163"/>
        <v>Open</v>
      </c>
      <c r="Z1492" t="str">
        <f t="shared" si="164"/>
        <v>Jun-2025</v>
      </c>
      <c r="AA1492" t="str">
        <f t="shared" si="165"/>
        <v>Q2 2025</v>
      </c>
      <c r="AB1492" s="4">
        <f t="shared" ca="1" si="166"/>
        <v>384</v>
      </c>
      <c r="AC1492" t="str">
        <f t="shared" si="167"/>
        <v>Medium</v>
      </c>
    </row>
    <row r="1493" spans="1:29">
      <c r="A1493" t="s">
        <v>5290</v>
      </c>
      <c r="B1493" s="2">
        <v>45869</v>
      </c>
      <c r="C1493" t="s">
        <v>2669</v>
      </c>
      <c r="D1493" t="s">
        <v>909</v>
      </c>
      <c r="E1493" t="s">
        <v>5291</v>
      </c>
      <c r="F1493" t="s">
        <v>5292</v>
      </c>
      <c r="G1493" t="s">
        <v>69</v>
      </c>
      <c r="H1493" t="s">
        <v>200</v>
      </c>
      <c r="I1493" t="s">
        <v>36</v>
      </c>
      <c r="J1493" t="s">
        <v>99</v>
      </c>
      <c r="K1493" t="s">
        <v>194</v>
      </c>
      <c r="L1493" t="s">
        <v>107</v>
      </c>
      <c r="M1493" t="s">
        <v>73</v>
      </c>
      <c r="N1493" t="s">
        <v>73</v>
      </c>
      <c r="O1493" s="3">
        <v>295000</v>
      </c>
      <c r="P1493" s="4">
        <v>85</v>
      </c>
      <c r="Q1493" s="2">
        <v>45928</v>
      </c>
      <c r="R1493" s="2">
        <v>46221</v>
      </c>
      <c r="S1493" s="2">
        <v>45879</v>
      </c>
      <c r="T1493" s="2"/>
      <c r="U1493" t="str">
        <f t="shared" si="161"/>
        <v>No</v>
      </c>
      <c r="W14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3" t="str">
        <f t="shared" ca="1" si="162"/>
        <v>Due/Open</v>
      </c>
      <c r="Y1493" t="str">
        <f t="shared" si="163"/>
        <v>Open</v>
      </c>
      <c r="Z1493" t="str">
        <f t="shared" si="164"/>
        <v>Jul-2025</v>
      </c>
      <c r="AA1493" t="str">
        <f t="shared" si="165"/>
        <v>Q3 2025</v>
      </c>
      <c r="AB1493" s="4">
        <f t="shared" ca="1" si="166"/>
        <v>330</v>
      </c>
      <c r="AC1493" t="str">
        <f t="shared" si="167"/>
        <v>Medium</v>
      </c>
    </row>
    <row r="1494" spans="1:29">
      <c r="A1494" t="s">
        <v>5293</v>
      </c>
      <c r="B1494" s="2">
        <v>46032</v>
      </c>
      <c r="C1494" t="s">
        <v>4164</v>
      </c>
      <c r="D1494" t="s">
        <v>1183</v>
      </c>
      <c r="E1494" t="s">
        <v>5294</v>
      </c>
      <c r="F1494" t="s">
        <v>5295</v>
      </c>
      <c r="G1494" t="s">
        <v>79</v>
      </c>
      <c r="H1494" t="s">
        <v>106</v>
      </c>
      <c r="I1494" t="s">
        <v>36</v>
      </c>
      <c r="J1494" t="s">
        <v>37</v>
      </c>
      <c r="K1494" t="s">
        <v>51</v>
      </c>
      <c r="L1494" t="s">
        <v>125</v>
      </c>
      <c r="M1494" t="s">
        <v>210</v>
      </c>
      <c r="N1494" t="s">
        <v>134</v>
      </c>
      <c r="O1494" s="3">
        <v>100000</v>
      </c>
      <c r="P1494" s="4">
        <v>0</v>
      </c>
      <c r="Q1494" s="2">
        <v>46063</v>
      </c>
      <c r="R1494" s="2"/>
      <c r="S1494" s="2">
        <v>46038</v>
      </c>
      <c r="T1494" s="2">
        <v>46063</v>
      </c>
      <c r="U1494" t="str">
        <f t="shared" si="161"/>
        <v>No</v>
      </c>
      <c r="V1494" t="s">
        <v>276</v>
      </c>
      <c r="W14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494" t="str">
        <f t="shared" ca="1" si="162"/>
        <v>Closed</v>
      </c>
      <c r="Y1494" t="str">
        <f t="shared" si="163"/>
        <v>Closed</v>
      </c>
      <c r="Z1494" t="str">
        <f t="shared" si="164"/>
        <v>Jan-2026</v>
      </c>
      <c r="AA1494" t="str">
        <f t="shared" si="165"/>
        <v>Q1 2026</v>
      </c>
      <c r="AB1494" s="4">
        <f t="shared" ca="1" si="166"/>
        <v>167</v>
      </c>
      <c r="AC1494" t="str">
        <f t="shared" si="167"/>
        <v>Low</v>
      </c>
    </row>
    <row r="1495" spans="1:29">
      <c r="A1495" t="s">
        <v>5296</v>
      </c>
      <c r="B1495" s="2">
        <v>46104</v>
      </c>
      <c r="C1495" t="s">
        <v>499</v>
      </c>
      <c r="D1495" t="s">
        <v>315</v>
      </c>
      <c r="E1495" t="s">
        <v>5297</v>
      </c>
      <c r="F1495" t="s">
        <v>5298</v>
      </c>
      <c r="G1495" t="s">
        <v>34</v>
      </c>
      <c r="H1495" t="s">
        <v>238</v>
      </c>
      <c r="I1495" t="s">
        <v>187</v>
      </c>
      <c r="J1495" t="s">
        <v>50</v>
      </c>
      <c r="K1495" t="s">
        <v>71</v>
      </c>
      <c r="L1495" t="s">
        <v>125</v>
      </c>
      <c r="M1495" t="s">
        <v>166</v>
      </c>
      <c r="N1495" t="s">
        <v>167</v>
      </c>
      <c r="O1495" s="3">
        <v>135000</v>
      </c>
      <c r="P1495" s="4">
        <v>65</v>
      </c>
      <c r="Q1495" s="2">
        <v>46165</v>
      </c>
      <c r="R1495" s="2">
        <v>46232</v>
      </c>
      <c r="S1495" s="2">
        <v>46129</v>
      </c>
      <c r="T1495" s="2"/>
      <c r="U1495" t="str">
        <f t="shared" si="161"/>
        <v>No</v>
      </c>
      <c r="W14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5" t="str">
        <f t="shared" ca="1" si="162"/>
        <v>Due/Open</v>
      </c>
      <c r="Y1495" t="str">
        <f t="shared" si="163"/>
        <v>Open</v>
      </c>
      <c r="Z1495" t="str">
        <f t="shared" si="164"/>
        <v>Mar-2026</v>
      </c>
      <c r="AA1495" t="str">
        <f t="shared" si="165"/>
        <v>Q1 2026</v>
      </c>
      <c r="AB1495" s="4">
        <f t="shared" ca="1" si="166"/>
        <v>95</v>
      </c>
      <c r="AC1495" t="str">
        <f t="shared" si="167"/>
        <v>Medium</v>
      </c>
    </row>
    <row r="1496" spans="1:29">
      <c r="A1496" t="s">
        <v>5299</v>
      </c>
      <c r="B1496" s="2">
        <v>45855</v>
      </c>
      <c r="C1496" t="s">
        <v>1334</v>
      </c>
      <c r="D1496" t="s">
        <v>1052</v>
      </c>
      <c r="E1496" t="s">
        <v>5300</v>
      </c>
      <c r="F1496" t="s">
        <v>5301</v>
      </c>
      <c r="G1496" t="s">
        <v>34</v>
      </c>
      <c r="H1496" t="s">
        <v>60</v>
      </c>
      <c r="I1496" t="s">
        <v>36</v>
      </c>
      <c r="J1496" t="s">
        <v>50</v>
      </c>
      <c r="K1496" t="s">
        <v>38</v>
      </c>
      <c r="L1496" t="s">
        <v>52</v>
      </c>
      <c r="M1496" t="s">
        <v>133</v>
      </c>
      <c r="N1496" t="s">
        <v>134</v>
      </c>
      <c r="O1496" s="3">
        <v>360000</v>
      </c>
      <c r="P1496" s="4">
        <v>0</v>
      </c>
      <c r="Q1496" s="2">
        <v>45927</v>
      </c>
      <c r="R1496" s="2"/>
      <c r="S1496" s="2">
        <v>45872</v>
      </c>
      <c r="T1496" s="2">
        <v>45927</v>
      </c>
      <c r="U1496" t="str">
        <f t="shared" si="161"/>
        <v>No</v>
      </c>
      <c r="V1496" t="s">
        <v>135</v>
      </c>
      <c r="W149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496" t="str">
        <f t="shared" ca="1" si="162"/>
        <v>Closed</v>
      </c>
      <c r="Y1496" t="str">
        <f t="shared" si="163"/>
        <v>Closed</v>
      </c>
      <c r="Z1496" t="str">
        <f t="shared" si="164"/>
        <v>Jul-2025</v>
      </c>
      <c r="AA1496" t="str">
        <f t="shared" si="165"/>
        <v>Q3 2025</v>
      </c>
      <c r="AB1496" s="4">
        <f t="shared" ca="1" si="166"/>
        <v>344</v>
      </c>
      <c r="AC1496" t="str">
        <f t="shared" si="167"/>
        <v>High</v>
      </c>
    </row>
    <row r="1497" spans="1:29">
      <c r="A1497" t="s">
        <v>5302</v>
      </c>
      <c r="B1497" s="2">
        <v>45930</v>
      </c>
      <c r="C1497" t="s">
        <v>5057</v>
      </c>
      <c r="D1497" t="s">
        <v>394</v>
      </c>
      <c r="E1497" t="s">
        <v>5303</v>
      </c>
      <c r="F1497" t="s">
        <v>5304</v>
      </c>
      <c r="G1497" t="s">
        <v>47</v>
      </c>
      <c r="H1497" t="s">
        <v>113</v>
      </c>
      <c r="I1497" t="s">
        <v>141</v>
      </c>
      <c r="J1497" t="s">
        <v>50</v>
      </c>
      <c r="K1497" t="s">
        <v>100</v>
      </c>
      <c r="L1497" t="s">
        <v>107</v>
      </c>
      <c r="M1497" t="s">
        <v>116</v>
      </c>
      <c r="N1497" t="s">
        <v>54</v>
      </c>
      <c r="O1497" s="3">
        <v>330000</v>
      </c>
      <c r="P1497" s="4">
        <v>25</v>
      </c>
      <c r="Q1497" s="2">
        <v>45995</v>
      </c>
      <c r="R1497" s="2">
        <v>46206</v>
      </c>
      <c r="S1497" s="2">
        <v>45932</v>
      </c>
      <c r="T1497" s="2"/>
      <c r="U1497" t="str">
        <f t="shared" si="161"/>
        <v>No</v>
      </c>
      <c r="W14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7" t="str">
        <f t="shared" ca="1" si="162"/>
        <v>Due/Open</v>
      </c>
      <c r="Y1497" t="str">
        <f t="shared" si="163"/>
        <v>Open</v>
      </c>
      <c r="Z1497" t="str">
        <f t="shared" si="164"/>
        <v>Sep-2025</v>
      </c>
      <c r="AA1497" t="str">
        <f t="shared" si="165"/>
        <v>Q3 2025</v>
      </c>
      <c r="AB1497" s="4">
        <f t="shared" ca="1" si="166"/>
        <v>269</v>
      </c>
      <c r="AC1497" t="str">
        <f t="shared" si="167"/>
        <v>High</v>
      </c>
    </row>
    <row r="1498" spans="1:29">
      <c r="A1498" t="s">
        <v>5305</v>
      </c>
      <c r="B1498" s="2">
        <v>46069</v>
      </c>
      <c r="C1498" t="s">
        <v>3926</v>
      </c>
      <c r="D1498" t="s">
        <v>1183</v>
      </c>
      <c r="E1498" t="s">
        <v>4477</v>
      </c>
      <c r="F1498" t="s">
        <v>5306</v>
      </c>
      <c r="G1498" t="s">
        <v>69</v>
      </c>
      <c r="H1498" t="s">
        <v>200</v>
      </c>
      <c r="I1498" t="s">
        <v>141</v>
      </c>
      <c r="J1498" t="s">
        <v>131</v>
      </c>
      <c r="K1498" t="s">
        <v>38</v>
      </c>
      <c r="L1498" t="s">
        <v>125</v>
      </c>
      <c r="M1498" t="s">
        <v>90</v>
      </c>
      <c r="N1498" t="s">
        <v>91</v>
      </c>
      <c r="O1498" s="3">
        <v>320000</v>
      </c>
      <c r="P1498" s="4">
        <v>40</v>
      </c>
      <c r="Q1498" s="2">
        <v>46159</v>
      </c>
      <c r="R1498" s="2">
        <v>46208</v>
      </c>
      <c r="S1498" s="2">
        <v>46086</v>
      </c>
      <c r="T1498" s="2"/>
      <c r="U1498" t="str">
        <f t="shared" si="161"/>
        <v>No</v>
      </c>
      <c r="W14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498" t="str">
        <f t="shared" ca="1" si="162"/>
        <v>Due/Open</v>
      </c>
      <c r="Y1498" t="str">
        <f t="shared" si="163"/>
        <v>Open</v>
      </c>
      <c r="Z1498" t="str">
        <f t="shared" si="164"/>
        <v>Feb-2026</v>
      </c>
      <c r="AA1498" t="str">
        <f t="shared" si="165"/>
        <v>Q1 2026</v>
      </c>
      <c r="AB1498" s="4">
        <f t="shared" ca="1" si="166"/>
        <v>130</v>
      </c>
      <c r="AC1498" t="str">
        <f t="shared" si="167"/>
        <v>High</v>
      </c>
    </row>
    <row r="1499" spans="1:29">
      <c r="A1499" t="s">
        <v>5307</v>
      </c>
      <c r="B1499" s="2">
        <v>45961</v>
      </c>
      <c r="C1499" t="s">
        <v>2782</v>
      </c>
      <c r="D1499" t="s">
        <v>705</v>
      </c>
      <c r="E1499" t="s">
        <v>5308</v>
      </c>
      <c r="F1499" t="s">
        <v>5309</v>
      </c>
      <c r="G1499" t="s">
        <v>69</v>
      </c>
      <c r="H1499" t="s">
        <v>285</v>
      </c>
      <c r="I1499" t="s">
        <v>36</v>
      </c>
      <c r="J1499" t="s">
        <v>99</v>
      </c>
      <c r="K1499" t="s">
        <v>71</v>
      </c>
      <c r="L1499" t="s">
        <v>72</v>
      </c>
      <c r="M1499" t="s">
        <v>133</v>
      </c>
      <c r="N1499" t="s">
        <v>134</v>
      </c>
      <c r="O1499" s="3">
        <v>645000</v>
      </c>
      <c r="P1499" s="4">
        <v>0</v>
      </c>
      <c r="Q1499" s="2">
        <v>46035</v>
      </c>
      <c r="R1499" s="2"/>
      <c r="S1499" s="2">
        <v>45970</v>
      </c>
      <c r="T1499" s="2">
        <v>46035</v>
      </c>
      <c r="U1499" t="str">
        <f t="shared" si="161"/>
        <v>No</v>
      </c>
      <c r="V1499" t="s">
        <v>319</v>
      </c>
      <c r="W14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74</v>
      </c>
      <c r="X1499" t="str">
        <f t="shared" ca="1" si="162"/>
        <v>Closed</v>
      </c>
      <c r="Y1499" t="str">
        <f t="shared" si="163"/>
        <v>Closed</v>
      </c>
      <c r="Z1499" t="str">
        <f t="shared" si="164"/>
        <v>Oct-2025</v>
      </c>
      <c r="AA1499" t="str">
        <f t="shared" si="165"/>
        <v>Q4 2025</v>
      </c>
      <c r="AB1499" s="4">
        <f t="shared" ca="1" si="166"/>
        <v>238</v>
      </c>
      <c r="AC1499" t="str">
        <f t="shared" si="167"/>
        <v>High</v>
      </c>
    </row>
    <row r="1500" spans="1:29">
      <c r="A1500" t="s">
        <v>5310</v>
      </c>
      <c r="B1500" s="2">
        <v>45961</v>
      </c>
      <c r="C1500" t="s">
        <v>2669</v>
      </c>
      <c r="D1500" t="s">
        <v>909</v>
      </c>
      <c r="E1500" t="s">
        <v>5291</v>
      </c>
      <c r="F1500" t="s">
        <v>5311</v>
      </c>
      <c r="G1500" t="s">
        <v>79</v>
      </c>
      <c r="H1500" t="s">
        <v>260</v>
      </c>
      <c r="I1500" t="s">
        <v>49</v>
      </c>
      <c r="J1500" t="s">
        <v>131</v>
      </c>
      <c r="K1500" t="s">
        <v>100</v>
      </c>
      <c r="L1500" t="s">
        <v>239</v>
      </c>
      <c r="M1500" t="s">
        <v>53</v>
      </c>
      <c r="N1500" t="s">
        <v>54</v>
      </c>
      <c r="O1500" s="3">
        <v>340000</v>
      </c>
      <c r="P1500" s="4">
        <v>30</v>
      </c>
      <c r="Q1500" s="2">
        <v>46049</v>
      </c>
      <c r="R1500" s="2">
        <v>46162</v>
      </c>
      <c r="S1500" s="2">
        <v>45978</v>
      </c>
      <c r="T1500" s="2"/>
      <c r="U1500" t="str">
        <f t="shared" si="161"/>
        <v>No</v>
      </c>
      <c r="W15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0" t="str">
        <f t="shared" ca="1" si="162"/>
        <v>Overdue</v>
      </c>
      <c r="Y1500" t="str">
        <f t="shared" si="163"/>
        <v>Open</v>
      </c>
      <c r="Z1500" t="str">
        <f t="shared" si="164"/>
        <v>Oct-2025</v>
      </c>
      <c r="AA1500" t="str">
        <f t="shared" si="165"/>
        <v>Q4 2025</v>
      </c>
      <c r="AB1500" s="4">
        <f t="shared" ca="1" si="166"/>
        <v>238</v>
      </c>
      <c r="AC1500" t="str">
        <f t="shared" si="167"/>
        <v>High</v>
      </c>
    </row>
    <row r="1501" spans="1:29">
      <c r="A1501" t="s">
        <v>5312</v>
      </c>
      <c r="B1501" s="2">
        <v>46161</v>
      </c>
      <c r="C1501" t="s">
        <v>1850</v>
      </c>
      <c r="D1501" t="s">
        <v>1132</v>
      </c>
      <c r="E1501" t="s">
        <v>5313</v>
      </c>
      <c r="F1501" t="s">
        <v>5314</v>
      </c>
      <c r="G1501" t="s">
        <v>34</v>
      </c>
      <c r="H1501" t="s">
        <v>60</v>
      </c>
      <c r="I1501" t="s">
        <v>123</v>
      </c>
      <c r="J1501" t="s">
        <v>62</v>
      </c>
      <c r="K1501" t="s">
        <v>194</v>
      </c>
      <c r="L1501" t="s">
        <v>63</v>
      </c>
      <c r="M1501" t="s">
        <v>40</v>
      </c>
      <c r="N1501" t="s">
        <v>41</v>
      </c>
      <c r="O1501" s="3">
        <v>285000</v>
      </c>
      <c r="P1501" s="4">
        <v>100</v>
      </c>
      <c r="Q1501" s="2">
        <v>46188</v>
      </c>
      <c r="R1501" s="2"/>
      <c r="S1501" s="2">
        <v>46178</v>
      </c>
      <c r="T1501" s="2">
        <v>46188</v>
      </c>
      <c r="U1501" t="str">
        <f t="shared" si="161"/>
        <v>Yes</v>
      </c>
      <c r="W150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1501" t="str">
        <f t="shared" ca="1" si="162"/>
        <v>Closed</v>
      </c>
      <c r="Y1501" t="str">
        <f t="shared" si="163"/>
        <v>Closed</v>
      </c>
      <c r="Z1501" t="str">
        <f t="shared" si="164"/>
        <v>May-2026</v>
      </c>
      <c r="AA1501" t="str">
        <f t="shared" si="165"/>
        <v>Q2 2026</v>
      </c>
      <c r="AB1501" s="4">
        <f t="shared" ca="1" si="166"/>
        <v>38</v>
      </c>
      <c r="AC1501" t="str">
        <f t="shared" si="167"/>
        <v>Medium</v>
      </c>
    </row>
    <row r="1502" spans="1:29">
      <c r="A1502" t="s">
        <v>5315</v>
      </c>
      <c r="B1502" s="2">
        <v>45866</v>
      </c>
      <c r="C1502" t="s">
        <v>3569</v>
      </c>
      <c r="D1502" t="s">
        <v>909</v>
      </c>
      <c r="E1502" t="s">
        <v>5316</v>
      </c>
      <c r="F1502" t="s">
        <v>5317</v>
      </c>
      <c r="G1502" t="s">
        <v>79</v>
      </c>
      <c r="H1502" t="s">
        <v>260</v>
      </c>
      <c r="I1502" t="s">
        <v>49</v>
      </c>
      <c r="J1502" t="s">
        <v>131</v>
      </c>
      <c r="K1502" t="s">
        <v>194</v>
      </c>
      <c r="L1502" t="s">
        <v>132</v>
      </c>
      <c r="M1502" t="s">
        <v>116</v>
      </c>
      <c r="N1502" t="s">
        <v>54</v>
      </c>
      <c r="O1502" s="3">
        <v>265000</v>
      </c>
      <c r="P1502" s="4">
        <v>20</v>
      </c>
      <c r="Q1502" s="2">
        <v>45940</v>
      </c>
      <c r="R1502" s="2">
        <v>46158</v>
      </c>
      <c r="S1502" s="2">
        <v>45871</v>
      </c>
      <c r="T1502" s="2"/>
      <c r="U1502" t="str">
        <f t="shared" si="161"/>
        <v>No</v>
      </c>
      <c r="W15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2" t="str">
        <f t="shared" ca="1" si="162"/>
        <v>Overdue</v>
      </c>
      <c r="Y1502" t="str">
        <f t="shared" si="163"/>
        <v>Open</v>
      </c>
      <c r="Z1502" t="str">
        <f t="shared" si="164"/>
        <v>Jul-2025</v>
      </c>
      <c r="AA1502" t="str">
        <f t="shared" si="165"/>
        <v>Q3 2025</v>
      </c>
      <c r="AB1502" s="4">
        <f t="shared" ca="1" si="166"/>
        <v>333</v>
      </c>
      <c r="AC1502" t="str">
        <f t="shared" si="167"/>
        <v>Medium</v>
      </c>
    </row>
    <row r="1503" spans="1:29">
      <c r="A1503" t="s">
        <v>5318</v>
      </c>
      <c r="B1503" s="2">
        <v>45932</v>
      </c>
      <c r="C1503" t="s">
        <v>965</v>
      </c>
      <c r="D1503" t="s">
        <v>552</v>
      </c>
      <c r="E1503" t="s">
        <v>5319</v>
      </c>
      <c r="F1503" t="s">
        <v>5320</v>
      </c>
      <c r="G1503" t="s">
        <v>179</v>
      </c>
      <c r="H1503" t="s">
        <v>180</v>
      </c>
      <c r="I1503" t="s">
        <v>123</v>
      </c>
      <c r="J1503" t="s">
        <v>37</v>
      </c>
      <c r="K1503" t="s">
        <v>114</v>
      </c>
      <c r="L1503" t="s">
        <v>142</v>
      </c>
      <c r="M1503" t="s">
        <v>40</v>
      </c>
      <c r="N1503" t="s">
        <v>41</v>
      </c>
      <c r="O1503" s="3">
        <v>115000</v>
      </c>
      <c r="P1503" s="4">
        <v>100</v>
      </c>
      <c r="Q1503" s="2">
        <v>45988</v>
      </c>
      <c r="R1503" s="2"/>
      <c r="S1503" s="2">
        <v>45937</v>
      </c>
      <c r="T1503" s="2">
        <v>45988</v>
      </c>
      <c r="U1503" t="str">
        <f t="shared" si="161"/>
        <v>Yes</v>
      </c>
      <c r="W150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1503" t="str">
        <f t="shared" ca="1" si="162"/>
        <v>Closed</v>
      </c>
      <c r="Y1503" t="str">
        <f t="shared" si="163"/>
        <v>Closed</v>
      </c>
      <c r="Z1503" t="str">
        <f t="shared" si="164"/>
        <v>Oct-2025</v>
      </c>
      <c r="AA1503" t="str">
        <f t="shared" si="165"/>
        <v>Q4 2025</v>
      </c>
      <c r="AB1503" s="4">
        <f t="shared" ca="1" si="166"/>
        <v>267</v>
      </c>
      <c r="AC1503" t="str">
        <f t="shared" si="167"/>
        <v>Low</v>
      </c>
    </row>
    <row r="1504" spans="1:29">
      <c r="A1504" t="s">
        <v>5321</v>
      </c>
      <c r="B1504" s="2">
        <v>46027</v>
      </c>
      <c r="C1504" t="s">
        <v>1306</v>
      </c>
      <c r="D1504" t="s">
        <v>1343</v>
      </c>
      <c r="E1504" t="s">
        <v>5322</v>
      </c>
      <c r="F1504" t="s">
        <v>5323</v>
      </c>
      <c r="G1504" t="s">
        <v>69</v>
      </c>
      <c r="H1504" t="s">
        <v>200</v>
      </c>
      <c r="I1504" t="s">
        <v>36</v>
      </c>
      <c r="J1504" t="s">
        <v>37</v>
      </c>
      <c r="K1504" t="s">
        <v>38</v>
      </c>
      <c r="L1504" t="s">
        <v>52</v>
      </c>
      <c r="M1504" t="s">
        <v>90</v>
      </c>
      <c r="N1504" t="s">
        <v>91</v>
      </c>
      <c r="O1504" s="3">
        <v>65000</v>
      </c>
      <c r="P1504" s="4">
        <v>50</v>
      </c>
      <c r="Q1504" s="2">
        <v>46073</v>
      </c>
      <c r="R1504" s="2">
        <v>46159</v>
      </c>
      <c r="S1504" s="2">
        <v>46051</v>
      </c>
      <c r="T1504" s="2"/>
      <c r="U1504" t="str">
        <f t="shared" si="161"/>
        <v>No</v>
      </c>
      <c r="W15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4" t="str">
        <f t="shared" ca="1" si="162"/>
        <v>Overdue</v>
      </c>
      <c r="Y1504" t="str">
        <f t="shared" si="163"/>
        <v>Open</v>
      </c>
      <c r="Z1504" t="str">
        <f t="shared" si="164"/>
        <v>Jan-2026</v>
      </c>
      <c r="AA1504" t="str">
        <f t="shared" si="165"/>
        <v>Q1 2026</v>
      </c>
      <c r="AB1504" s="4">
        <f t="shared" ca="1" si="166"/>
        <v>172</v>
      </c>
      <c r="AC1504" t="str">
        <f t="shared" si="167"/>
        <v>Low</v>
      </c>
    </row>
    <row r="1505" spans="1:29">
      <c r="A1505" t="s">
        <v>5324</v>
      </c>
      <c r="B1505" s="2">
        <v>45792</v>
      </c>
      <c r="C1505" t="s">
        <v>5325</v>
      </c>
      <c r="D1505" t="s">
        <v>895</v>
      </c>
      <c r="E1505" t="s">
        <v>5326</v>
      </c>
      <c r="F1505" t="s">
        <v>5327</v>
      </c>
      <c r="G1505" t="s">
        <v>69</v>
      </c>
      <c r="H1505" t="s">
        <v>193</v>
      </c>
      <c r="I1505" t="s">
        <v>123</v>
      </c>
      <c r="J1505" t="s">
        <v>50</v>
      </c>
      <c r="K1505" t="s">
        <v>38</v>
      </c>
      <c r="L1505" t="s">
        <v>39</v>
      </c>
      <c r="M1505" t="s">
        <v>116</v>
      </c>
      <c r="N1505" t="s">
        <v>54</v>
      </c>
      <c r="O1505" s="3">
        <v>200000</v>
      </c>
      <c r="P1505" s="4">
        <v>15</v>
      </c>
      <c r="Q1505" s="2">
        <v>45861</v>
      </c>
      <c r="R1505" s="2">
        <v>46205</v>
      </c>
      <c r="S1505" s="2">
        <v>45804</v>
      </c>
      <c r="T1505" s="2"/>
      <c r="U1505" t="str">
        <f t="shared" si="161"/>
        <v>No</v>
      </c>
      <c r="W15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5" t="str">
        <f t="shared" ca="1" si="162"/>
        <v>Due/Open</v>
      </c>
      <c r="Y1505" t="str">
        <f t="shared" si="163"/>
        <v>Open</v>
      </c>
      <c r="Z1505" t="str">
        <f t="shared" si="164"/>
        <v>May-2025</v>
      </c>
      <c r="AA1505" t="str">
        <f t="shared" si="165"/>
        <v>Q2 2025</v>
      </c>
      <c r="AB1505" s="4">
        <f t="shared" ca="1" si="166"/>
        <v>407</v>
      </c>
      <c r="AC1505" t="str">
        <f t="shared" si="167"/>
        <v>Medium</v>
      </c>
    </row>
    <row r="1506" spans="1:29">
      <c r="A1506" t="s">
        <v>5328</v>
      </c>
      <c r="B1506" s="2">
        <v>45812</v>
      </c>
      <c r="C1506" t="s">
        <v>1310</v>
      </c>
      <c r="D1506" t="s">
        <v>197</v>
      </c>
      <c r="E1506" t="s">
        <v>5329</v>
      </c>
      <c r="F1506" t="s">
        <v>5330</v>
      </c>
      <c r="G1506" t="s">
        <v>47</v>
      </c>
      <c r="H1506" t="s">
        <v>493</v>
      </c>
      <c r="I1506" t="s">
        <v>141</v>
      </c>
      <c r="J1506" t="s">
        <v>37</v>
      </c>
      <c r="K1506" t="s">
        <v>100</v>
      </c>
      <c r="L1506" t="s">
        <v>81</v>
      </c>
      <c r="M1506" t="s">
        <v>82</v>
      </c>
      <c r="N1506" t="s">
        <v>83</v>
      </c>
      <c r="O1506" s="3">
        <v>145000</v>
      </c>
      <c r="P1506" s="4">
        <v>5</v>
      </c>
      <c r="Q1506" s="2">
        <v>45900</v>
      </c>
      <c r="R1506" s="2">
        <v>46221</v>
      </c>
      <c r="S1506" s="2">
        <v>45814</v>
      </c>
      <c r="T1506" s="2"/>
      <c r="U1506" t="str">
        <f t="shared" si="161"/>
        <v>No</v>
      </c>
      <c r="W15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6" t="str">
        <f t="shared" ca="1" si="162"/>
        <v>Due/Open</v>
      </c>
      <c r="Y1506" t="str">
        <f t="shared" si="163"/>
        <v>Open</v>
      </c>
      <c r="Z1506" t="str">
        <f t="shared" si="164"/>
        <v>Jun-2025</v>
      </c>
      <c r="AA1506" t="str">
        <f t="shared" si="165"/>
        <v>Q2 2025</v>
      </c>
      <c r="AB1506" s="4">
        <f t="shared" ca="1" si="166"/>
        <v>387</v>
      </c>
      <c r="AC1506" t="str">
        <f t="shared" si="167"/>
        <v>Medium</v>
      </c>
    </row>
    <row r="1507" spans="1:29">
      <c r="A1507" t="s">
        <v>5331</v>
      </c>
      <c r="B1507" s="2">
        <v>45766</v>
      </c>
      <c r="C1507" t="s">
        <v>1215</v>
      </c>
      <c r="D1507" t="s">
        <v>225</v>
      </c>
      <c r="E1507" t="s">
        <v>5332</v>
      </c>
      <c r="F1507" t="s">
        <v>5333</v>
      </c>
      <c r="G1507" t="s">
        <v>47</v>
      </c>
      <c r="H1507" t="s">
        <v>89</v>
      </c>
      <c r="I1507" t="s">
        <v>98</v>
      </c>
      <c r="J1507" t="s">
        <v>99</v>
      </c>
      <c r="K1507" t="s">
        <v>100</v>
      </c>
      <c r="L1507" t="s">
        <v>72</v>
      </c>
      <c r="M1507" t="s">
        <v>73</v>
      </c>
      <c r="N1507" t="s">
        <v>73</v>
      </c>
      <c r="O1507" s="3">
        <v>300000</v>
      </c>
      <c r="P1507" s="4">
        <v>80</v>
      </c>
      <c r="Q1507" s="2">
        <v>45839</v>
      </c>
      <c r="R1507" s="2">
        <v>46205</v>
      </c>
      <c r="S1507" s="2">
        <v>45794</v>
      </c>
      <c r="T1507" s="2"/>
      <c r="U1507" t="str">
        <f t="shared" si="161"/>
        <v>No</v>
      </c>
      <c r="W15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7" t="str">
        <f t="shared" ca="1" si="162"/>
        <v>Due/Open</v>
      </c>
      <c r="Y1507" t="str">
        <f t="shared" si="163"/>
        <v>Open</v>
      </c>
      <c r="Z1507" t="str">
        <f t="shared" si="164"/>
        <v>Apr-2025</v>
      </c>
      <c r="AA1507" t="str">
        <f t="shared" si="165"/>
        <v>Q2 2025</v>
      </c>
      <c r="AB1507" s="4">
        <f t="shared" ca="1" si="166"/>
        <v>433</v>
      </c>
      <c r="AC1507" t="str">
        <f t="shared" si="167"/>
        <v>High</v>
      </c>
    </row>
    <row r="1508" spans="1:29">
      <c r="A1508" t="s">
        <v>5334</v>
      </c>
      <c r="B1508" s="2">
        <v>46162</v>
      </c>
      <c r="C1508" t="s">
        <v>1867</v>
      </c>
      <c r="D1508" t="s">
        <v>337</v>
      </c>
      <c r="E1508" t="s">
        <v>5335</v>
      </c>
      <c r="F1508" t="s">
        <v>5336</v>
      </c>
      <c r="G1508" t="s">
        <v>179</v>
      </c>
      <c r="H1508" t="s">
        <v>186</v>
      </c>
      <c r="I1508" t="s">
        <v>49</v>
      </c>
      <c r="J1508" t="s">
        <v>62</v>
      </c>
      <c r="K1508" t="s">
        <v>51</v>
      </c>
      <c r="L1508" t="s">
        <v>107</v>
      </c>
      <c r="M1508" t="s">
        <v>53</v>
      </c>
      <c r="N1508" t="s">
        <v>54</v>
      </c>
      <c r="O1508" s="3">
        <v>365000</v>
      </c>
      <c r="P1508" s="4">
        <v>25</v>
      </c>
      <c r="Q1508" s="2">
        <v>46216</v>
      </c>
      <c r="R1508" s="2">
        <v>46210</v>
      </c>
      <c r="S1508" s="2">
        <v>46180</v>
      </c>
      <c r="T1508" s="2"/>
      <c r="U1508" t="str">
        <f t="shared" si="161"/>
        <v>No</v>
      </c>
      <c r="W15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8" t="str">
        <f t="shared" ca="1" si="162"/>
        <v>Due/Open</v>
      </c>
      <c r="Y1508" t="str">
        <f t="shared" si="163"/>
        <v>Open</v>
      </c>
      <c r="Z1508" t="str">
        <f t="shared" si="164"/>
        <v>May-2026</v>
      </c>
      <c r="AA1508" t="str">
        <f t="shared" si="165"/>
        <v>Q2 2026</v>
      </c>
      <c r="AB1508" s="4">
        <f t="shared" ca="1" si="166"/>
        <v>37</v>
      </c>
      <c r="AC1508" t="str">
        <f t="shared" si="167"/>
        <v>High</v>
      </c>
    </row>
    <row r="1509" spans="1:29">
      <c r="A1509" t="s">
        <v>5337</v>
      </c>
      <c r="B1509" s="2">
        <v>46121</v>
      </c>
      <c r="C1509" t="s">
        <v>1682</v>
      </c>
      <c r="D1509" t="s">
        <v>207</v>
      </c>
      <c r="E1509" t="s">
        <v>5338</v>
      </c>
      <c r="F1509" t="s">
        <v>5339</v>
      </c>
      <c r="G1509" t="s">
        <v>79</v>
      </c>
      <c r="H1509" t="s">
        <v>228</v>
      </c>
      <c r="I1509" t="s">
        <v>36</v>
      </c>
      <c r="J1509" t="s">
        <v>62</v>
      </c>
      <c r="K1509" t="s">
        <v>194</v>
      </c>
      <c r="L1509" t="s">
        <v>63</v>
      </c>
      <c r="M1509" t="s">
        <v>73</v>
      </c>
      <c r="N1509" t="s">
        <v>73</v>
      </c>
      <c r="O1509" s="3">
        <v>390000</v>
      </c>
      <c r="P1509" s="4">
        <v>85</v>
      </c>
      <c r="Q1509" s="2">
        <v>46143</v>
      </c>
      <c r="R1509" s="2">
        <v>46215</v>
      </c>
      <c r="S1509" s="2">
        <v>46140</v>
      </c>
      <c r="T1509" s="2"/>
      <c r="U1509" t="str">
        <f t="shared" si="161"/>
        <v>No</v>
      </c>
      <c r="W15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09" t="str">
        <f t="shared" ca="1" si="162"/>
        <v>Due/Open</v>
      </c>
      <c r="Y1509" t="str">
        <f t="shared" si="163"/>
        <v>Open</v>
      </c>
      <c r="Z1509" t="str">
        <f t="shared" si="164"/>
        <v>Apr-2026</v>
      </c>
      <c r="AA1509" t="str">
        <f t="shared" si="165"/>
        <v>Q2 2026</v>
      </c>
      <c r="AB1509" s="4">
        <f t="shared" ca="1" si="166"/>
        <v>78</v>
      </c>
      <c r="AC1509" t="str">
        <f t="shared" si="167"/>
        <v>High</v>
      </c>
    </row>
    <row r="1510" spans="1:29">
      <c r="A1510" t="s">
        <v>5340</v>
      </c>
      <c r="B1510" s="2">
        <v>45930</v>
      </c>
      <c r="C1510" t="s">
        <v>1726</v>
      </c>
      <c r="D1510" t="s">
        <v>2143</v>
      </c>
      <c r="E1510" t="s">
        <v>5341</v>
      </c>
      <c r="F1510" t="s">
        <v>5342</v>
      </c>
      <c r="G1510" t="s">
        <v>47</v>
      </c>
      <c r="H1510" t="s">
        <v>493</v>
      </c>
      <c r="I1510" t="s">
        <v>98</v>
      </c>
      <c r="J1510" t="s">
        <v>131</v>
      </c>
      <c r="K1510" t="s">
        <v>51</v>
      </c>
      <c r="L1510" t="s">
        <v>81</v>
      </c>
      <c r="M1510" t="s">
        <v>116</v>
      </c>
      <c r="N1510" t="s">
        <v>54</v>
      </c>
      <c r="O1510" s="3">
        <v>235000</v>
      </c>
      <c r="P1510" s="4">
        <v>15</v>
      </c>
      <c r="Q1510" s="2">
        <v>46021</v>
      </c>
      <c r="R1510" s="2">
        <v>46172</v>
      </c>
      <c r="S1510" s="2">
        <v>45936</v>
      </c>
      <c r="T1510" s="2"/>
      <c r="U1510" t="str">
        <f t="shared" si="161"/>
        <v>No</v>
      </c>
      <c r="W15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0" t="str">
        <f t="shared" ca="1" si="162"/>
        <v>Overdue</v>
      </c>
      <c r="Y1510" t="str">
        <f t="shared" si="163"/>
        <v>Open</v>
      </c>
      <c r="Z1510" t="str">
        <f t="shared" si="164"/>
        <v>Sep-2025</v>
      </c>
      <c r="AA1510" t="str">
        <f t="shared" si="165"/>
        <v>Q3 2025</v>
      </c>
      <c r="AB1510" s="4">
        <f t="shared" ca="1" si="166"/>
        <v>269</v>
      </c>
      <c r="AC1510" t="str">
        <f t="shared" si="167"/>
        <v>Medium</v>
      </c>
    </row>
    <row r="1511" spans="1:29">
      <c r="A1511" t="s">
        <v>5343</v>
      </c>
      <c r="B1511" s="2">
        <v>46061</v>
      </c>
      <c r="C1511" t="s">
        <v>2420</v>
      </c>
      <c r="D1511" t="s">
        <v>138</v>
      </c>
      <c r="E1511" t="s">
        <v>5344</v>
      </c>
      <c r="F1511" t="s">
        <v>5345</v>
      </c>
      <c r="G1511" t="s">
        <v>69</v>
      </c>
      <c r="H1511" t="s">
        <v>285</v>
      </c>
      <c r="I1511" t="s">
        <v>36</v>
      </c>
      <c r="J1511" t="s">
        <v>99</v>
      </c>
      <c r="K1511" t="s">
        <v>71</v>
      </c>
      <c r="L1511" t="s">
        <v>154</v>
      </c>
      <c r="M1511" t="s">
        <v>53</v>
      </c>
      <c r="N1511" t="s">
        <v>54</v>
      </c>
      <c r="O1511" s="3">
        <v>595000</v>
      </c>
      <c r="P1511" s="4">
        <v>25</v>
      </c>
      <c r="Q1511" s="2">
        <v>46131</v>
      </c>
      <c r="R1511" s="2">
        <v>46199</v>
      </c>
      <c r="S1511" s="2">
        <v>46080</v>
      </c>
      <c r="T1511" s="2"/>
      <c r="U1511" t="str">
        <f t="shared" si="161"/>
        <v>No</v>
      </c>
      <c r="W15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1" t="str">
        <f t="shared" ca="1" si="162"/>
        <v>Due/Open</v>
      </c>
      <c r="Y1511" t="str">
        <f t="shared" si="163"/>
        <v>Open</v>
      </c>
      <c r="Z1511" t="str">
        <f t="shared" si="164"/>
        <v>Feb-2026</v>
      </c>
      <c r="AA1511" t="str">
        <f t="shared" si="165"/>
        <v>Q1 2026</v>
      </c>
      <c r="AB1511" s="4">
        <f t="shared" ca="1" si="166"/>
        <v>138</v>
      </c>
      <c r="AC1511" t="str">
        <f t="shared" si="167"/>
        <v>High</v>
      </c>
    </row>
    <row r="1512" spans="1:29">
      <c r="A1512" t="s">
        <v>5346</v>
      </c>
      <c r="B1512" s="2">
        <v>45916</v>
      </c>
      <c r="C1512" t="s">
        <v>2581</v>
      </c>
      <c r="D1512" t="s">
        <v>895</v>
      </c>
      <c r="E1512" t="s">
        <v>5347</v>
      </c>
      <c r="F1512" t="s">
        <v>5348</v>
      </c>
      <c r="G1512" t="s">
        <v>69</v>
      </c>
      <c r="H1512" t="s">
        <v>285</v>
      </c>
      <c r="I1512" t="s">
        <v>148</v>
      </c>
      <c r="J1512" t="s">
        <v>50</v>
      </c>
      <c r="K1512" t="s">
        <v>51</v>
      </c>
      <c r="L1512" t="s">
        <v>107</v>
      </c>
      <c r="M1512" t="s">
        <v>40</v>
      </c>
      <c r="N1512" t="s">
        <v>41</v>
      </c>
      <c r="O1512" s="3">
        <v>255000</v>
      </c>
      <c r="P1512" s="4">
        <v>100</v>
      </c>
      <c r="Q1512" s="2">
        <v>45979</v>
      </c>
      <c r="R1512" s="2"/>
      <c r="S1512" s="2">
        <v>45941</v>
      </c>
      <c r="T1512" s="2">
        <v>45979</v>
      </c>
      <c r="U1512" t="str">
        <f t="shared" si="161"/>
        <v>Yes</v>
      </c>
      <c r="W15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63</v>
      </c>
      <c r="X1512" t="str">
        <f t="shared" ca="1" si="162"/>
        <v>Closed</v>
      </c>
      <c r="Y1512" t="str">
        <f t="shared" si="163"/>
        <v>Closed</v>
      </c>
      <c r="Z1512" t="str">
        <f t="shared" si="164"/>
        <v>Sep-2025</v>
      </c>
      <c r="AA1512" t="str">
        <f t="shared" si="165"/>
        <v>Q3 2025</v>
      </c>
      <c r="AB1512" s="4">
        <f t="shared" ca="1" si="166"/>
        <v>283</v>
      </c>
      <c r="AC1512" t="str">
        <f t="shared" si="167"/>
        <v>Medium</v>
      </c>
    </row>
    <row r="1513" spans="1:29">
      <c r="A1513" t="s">
        <v>5349</v>
      </c>
      <c r="B1513" s="2">
        <v>46041</v>
      </c>
      <c r="C1513" t="s">
        <v>432</v>
      </c>
      <c r="D1513" t="s">
        <v>2211</v>
      </c>
      <c r="E1513" t="s">
        <v>5350</v>
      </c>
      <c r="F1513" t="s">
        <v>5351</v>
      </c>
      <c r="G1513" t="s">
        <v>179</v>
      </c>
      <c r="H1513" t="s">
        <v>487</v>
      </c>
      <c r="I1513" t="s">
        <v>141</v>
      </c>
      <c r="J1513" t="s">
        <v>50</v>
      </c>
      <c r="K1513" t="s">
        <v>71</v>
      </c>
      <c r="L1513" t="s">
        <v>125</v>
      </c>
      <c r="M1513" t="s">
        <v>90</v>
      </c>
      <c r="N1513" t="s">
        <v>91</v>
      </c>
      <c r="O1513" s="3">
        <v>130000</v>
      </c>
      <c r="P1513" s="4">
        <v>50</v>
      </c>
      <c r="Q1513" s="2">
        <v>46068</v>
      </c>
      <c r="R1513" s="2">
        <v>46201</v>
      </c>
      <c r="S1513" s="2">
        <v>46067</v>
      </c>
      <c r="T1513" s="2"/>
      <c r="U1513" t="str">
        <f t="shared" si="161"/>
        <v>No</v>
      </c>
      <c r="W15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3" t="str">
        <f t="shared" ca="1" si="162"/>
        <v>Due/Open</v>
      </c>
      <c r="Y1513" t="str">
        <f t="shared" si="163"/>
        <v>Open</v>
      </c>
      <c r="Z1513" t="str">
        <f t="shared" si="164"/>
        <v>Jan-2026</v>
      </c>
      <c r="AA1513" t="str">
        <f t="shared" si="165"/>
        <v>Q1 2026</v>
      </c>
      <c r="AB1513" s="4">
        <f t="shared" ca="1" si="166"/>
        <v>158</v>
      </c>
      <c r="AC1513" t="str">
        <f t="shared" si="167"/>
        <v>Medium</v>
      </c>
    </row>
    <row r="1514" spans="1:29">
      <c r="A1514" t="s">
        <v>5352</v>
      </c>
      <c r="B1514" s="2">
        <v>45736</v>
      </c>
      <c r="C1514" t="s">
        <v>3194</v>
      </c>
      <c r="D1514" t="s">
        <v>471</v>
      </c>
      <c r="E1514" t="s">
        <v>5353</v>
      </c>
      <c r="F1514" t="s">
        <v>5354</v>
      </c>
      <c r="G1514" t="s">
        <v>34</v>
      </c>
      <c r="H1514" t="s">
        <v>238</v>
      </c>
      <c r="I1514" t="s">
        <v>148</v>
      </c>
      <c r="J1514" t="s">
        <v>124</v>
      </c>
      <c r="K1514" t="s">
        <v>71</v>
      </c>
      <c r="L1514" t="s">
        <v>132</v>
      </c>
      <c r="M1514" t="s">
        <v>166</v>
      </c>
      <c r="N1514" t="s">
        <v>167</v>
      </c>
      <c r="O1514" s="3">
        <v>145000</v>
      </c>
      <c r="P1514" s="4">
        <v>70</v>
      </c>
      <c r="Q1514" s="2">
        <v>45820</v>
      </c>
      <c r="R1514" s="2">
        <v>46228</v>
      </c>
      <c r="S1514" s="2">
        <v>45743</v>
      </c>
      <c r="T1514" s="2"/>
      <c r="U1514" t="str">
        <f t="shared" si="161"/>
        <v>No</v>
      </c>
      <c r="W15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4" t="str">
        <f t="shared" ca="1" si="162"/>
        <v>Due/Open</v>
      </c>
      <c r="Y1514" t="str">
        <f t="shared" si="163"/>
        <v>Open</v>
      </c>
      <c r="Z1514" t="str">
        <f t="shared" si="164"/>
        <v>Mar-2025</v>
      </c>
      <c r="AA1514" t="str">
        <f t="shared" si="165"/>
        <v>Q1 2025</v>
      </c>
      <c r="AB1514" s="4">
        <f t="shared" ca="1" si="166"/>
        <v>463</v>
      </c>
      <c r="AC1514" t="str">
        <f t="shared" si="167"/>
        <v>Medium</v>
      </c>
    </row>
    <row r="1515" spans="1:29">
      <c r="A1515" t="s">
        <v>5355</v>
      </c>
      <c r="B1515" s="2">
        <v>45903</v>
      </c>
      <c r="C1515" t="s">
        <v>1428</v>
      </c>
      <c r="D1515" t="s">
        <v>573</v>
      </c>
      <c r="E1515" t="s">
        <v>5356</v>
      </c>
      <c r="F1515" t="s">
        <v>5357</v>
      </c>
      <c r="G1515" t="s">
        <v>47</v>
      </c>
      <c r="H1515" t="s">
        <v>493</v>
      </c>
      <c r="I1515" t="s">
        <v>123</v>
      </c>
      <c r="J1515" t="s">
        <v>99</v>
      </c>
      <c r="K1515" t="s">
        <v>100</v>
      </c>
      <c r="L1515" t="s">
        <v>107</v>
      </c>
      <c r="M1515" t="s">
        <v>116</v>
      </c>
      <c r="N1515" t="s">
        <v>54</v>
      </c>
      <c r="O1515" s="3">
        <v>165000</v>
      </c>
      <c r="P1515" s="4">
        <v>25</v>
      </c>
      <c r="Q1515" s="2">
        <v>45939</v>
      </c>
      <c r="R1515" s="2">
        <v>46213</v>
      </c>
      <c r="S1515" s="2">
        <v>45929</v>
      </c>
      <c r="T1515" s="2"/>
      <c r="U1515" t="str">
        <f t="shared" si="161"/>
        <v>No</v>
      </c>
      <c r="W15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5" t="str">
        <f t="shared" ca="1" si="162"/>
        <v>Due/Open</v>
      </c>
      <c r="Y1515" t="str">
        <f t="shared" si="163"/>
        <v>Open</v>
      </c>
      <c r="Z1515" t="str">
        <f t="shared" si="164"/>
        <v>Sep-2025</v>
      </c>
      <c r="AA1515" t="str">
        <f t="shared" si="165"/>
        <v>Q3 2025</v>
      </c>
      <c r="AB1515" s="4">
        <f t="shared" ca="1" si="166"/>
        <v>296</v>
      </c>
      <c r="AC1515" t="str">
        <f t="shared" si="167"/>
        <v>Medium</v>
      </c>
    </row>
    <row r="1516" spans="1:29">
      <c r="A1516" t="s">
        <v>5358</v>
      </c>
      <c r="B1516" s="2">
        <v>45804</v>
      </c>
      <c r="C1516" t="s">
        <v>196</v>
      </c>
      <c r="D1516" t="s">
        <v>337</v>
      </c>
      <c r="E1516" t="s">
        <v>5359</v>
      </c>
      <c r="F1516" t="s">
        <v>5360</v>
      </c>
      <c r="G1516" t="s">
        <v>47</v>
      </c>
      <c r="H1516" t="s">
        <v>493</v>
      </c>
      <c r="I1516" t="s">
        <v>98</v>
      </c>
      <c r="J1516" t="s">
        <v>131</v>
      </c>
      <c r="K1516" t="s">
        <v>114</v>
      </c>
      <c r="L1516" t="s">
        <v>72</v>
      </c>
      <c r="M1516" t="s">
        <v>73</v>
      </c>
      <c r="N1516" t="s">
        <v>73</v>
      </c>
      <c r="O1516" s="3">
        <v>205000</v>
      </c>
      <c r="P1516" s="4">
        <v>75</v>
      </c>
      <c r="Q1516" s="2">
        <v>45898</v>
      </c>
      <c r="R1516" s="2">
        <v>46233</v>
      </c>
      <c r="S1516" s="2">
        <v>45821</v>
      </c>
      <c r="T1516" s="2"/>
      <c r="U1516" t="str">
        <f t="shared" si="161"/>
        <v>No</v>
      </c>
      <c r="W15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6" t="str">
        <f t="shared" ca="1" si="162"/>
        <v>Due/Open</v>
      </c>
      <c r="Y1516" t="str">
        <f t="shared" si="163"/>
        <v>Open</v>
      </c>
      <c r="Z1516" t="str">
        <f t="shared" si="164"/>
        <v>May-2025</v>
      </c>
      <c r="AA1516" t="str">
        <f t="shared" si="165"/>
        <v>Q2 2025</v>
      </c>
      <c r="AB1516" s="4">
        <f t="shared" ca="1" si="166"/>
        <v>395</v>
      </c>
      <c r="AC1516" t="str">
        <f t="shared" si="167"/>
        <v>Medium</v>
      </c>
    </row>
    <row r="1517" spans="1:29">
      <c r="A1517" t="s">
        <v>5361</v>
      </c>
      <c r="B1517" s="2">
        <v>46096</v>
      </c>
      <c r="C1517" t="s">
        <v>667</v>
      </c>
      <c r="D1517" t="s">
        <v>2231</v>
      </c>
      <c r="E1517" t="s">
        <v>5362</v>
      </c>
      <c r="F1517" t="s">
        <v>5363</v>
      </c>
      <c r="G1517" t="s">
        <v>179</v>
      </c>
      <c r="H1517" t="s">
        <v>436</v>
      </c>
      <c r="I1517" t="s">
        <v>49</v>
      </c>
      <c r="J1517" t="s">
        <v>124</v>
      </c>
      <c r="K1517" t="s">
        <v>51</v>
      </c>
      <c r="L1517" t="s">
        <v>81</v>
      </c>
      <c r="M1517" t="s">
        <v>90</v>
      </c>
      <c r="N1517" t="s">
        <v>91</v>
      </c>
      <c r="O1517" s="3">
        <v>310000</v>
      </c>
      <c r="P1517" s="4">
        <v>55</v>
      </c>
      <c r="Q1517" s="2">
        <v>46137</v>
      </c>
      <c r="R1517" s="2">
        <v>46206</v>
      </c>
      <c r="S1517" s="2">
        <v>46115</v>
      </c>
      <c r="T1517" s="2"/>
      <c r="U1517" t="str">
        <f t="shared" si="161"/>
        <v>No</v>
      </c>
      <c r="W15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7" t="str">
        <f t="shared" ca="1" si="162"/>
        <v>Due/Open</v>
      </c>
      <c r="Y1517" t="str">
        <f t="shared" si="163"/>
        <v>Open</v>
      </c>
      <c r="Z1517" t="str">
        <f t="shared" si="164"/>
        <v>Mar-2026</v>
      </c>
      <c r="AA1517" t="str">
        <f t="shared" si="165"/>
        <v>Q1 2026</v>
      </c>
      <c r="AB1517" s="4">
        <f t="shared" ca="1" si="166"/>
        <v>103</v>
      </c>
      <c r="AC1517" t="str">
        <f t="shared" si="167"/>
        <v>High</v>
      </c>
    </row>
    <row r="1518" spans="1:29">
      <c r="A1518" t="s">
        <v>5364</v>
      </c>
      <c r="B1518" s="2">
        <v>46033</v>
      </c>
      <c r="C1518" t="s">
        <v>4085</v>
      </c>
      <c r="D1518" t="s">
        <v>389</v>
      </c>
      <c r="E1518" t="s">
        <v>5365</v>
      </c>
      <c r="F1518" t="s">
        <v>5366</v>
      </c>
      <c r="G1518" t="s">
        <v>69</v>
      </c>
      <c r="H1518" t="s">
        <v>285</v>
      </c>
      <c r="I1518" t="s">
        <v>187</v>
      </c>
      <c r="J1518" t="s">
        <v>50</v>
      </c>
      <c r="K1518" t="s">
        <v>51</v>
      </c>
      <c r="L1518" t="s">
        <v>63</v>
      </c>
      <c r="M1518" t="s">
        <v>133</v>
      </c>
      <c r="N1518" t="s">
        <v>134</v>
      </c>
      <c r="O1518" s="3">
        <v>380000</v>
      </c>
      <c r="P1518" s="4">
        <v>0</v>
      </c>
      <c r="Q1518" s="2">
        <v>46044</v>
      </c>
      <c r="R1518" s="2"/>
      <c r="S1518" s="2">
        <v>46049</v>
      </c>
      <c r="T1518" s="2">
        <v>46044</v>
      </c>
      <c r="U1518" t="str">
        <f t="shared" si="161"/>
        <v>No</v>
      </c>
      <c r="V1518" t="s">
        <v>135</v>
      </c>
      <c r="W151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1518" t="str">
        <f t="shared" ca="1" si="162"/>
        <v>Closed</v>
      </c>
      <c r="Y1518" t="str">
        <f t="shared" si="163"/>
        <v>Closed</v>
      </c>
      <c r="Z1518" t="str">
        <f t="shared" si="164"/>
        <v>Jan-2026</v>
      </c>
      <c r="AA1518" t="str">
        <f t="shared" si="165"/>
        <v>Q1 2026</v>
      </c>
      <c r="AB1518" s="4">
        <f t="shared" ca="1" si="166"/>
        <v>166</v>
      </c>
      <c r="AC1518" t="str">
        <f t="shared" si="167"/>
        <v>High</v>
      </c>
    </row>
    <row r="1519" spans="1:29">
      <c r="A1519" t="s">
        <v>5367</v>
      </c>
      <c r="B1519" s="2">
        <v>46115</v>
      </c>
      <c r="C1519" t="s">
        <v>1440</v>
      </c>
      <c r="D1519" t="s">
        <v>1021</v>
      </c>
      <c r="E1519" t="s">
        <v>5368</v>
      </c>
      <c r="F1519" t="s">
        <v>5369</v>
      </c>
      <c r="G1519" t="s">
        <v>79</v>
      </c>
      <c r="H1519" t="s">
        <v>80</v>
      </c>
      <c r="I1519" t="s">
        <v>141</v>
      </c>
      <c r="J1519" t="s">
        <v>37</v>
      </c>
      <c r="K1519" t="s">
        <v>71</v>
      </c>
      <c r="L1519" t="s">
        <v>132</v>
      </c>
      <c r="M1519" t="s">
        <v>73</v>
      </c>
      <c r="N1519" t="s">
        <v>73</v>
      </c>
      <c r="O1519" s="3">
        <v>50000</v>
      </c>
      <c r="P1519" s="4">
        <v>85</v>
      </c>
      <c r="Q1519" s="2">
        <v>46141</v>
      </c>
      <c r="R1519" s="2">
        <v>46227</v>
      </c>
      <c r="S1519" s="2">
        <v>46128</v>
      </c>
      <c r="T1519" s="2"/>
      <c r="U1519" t="str">
        <f t="shared" si="161"/>
        <v>No</v>
      </c>
      <c r="W15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19" t="str">
        <f t="shared" ca="1" si="162"/>
        <v>Due/Open</v>
      </c>
      <c r="Y1519" t="str">
        <f t="shared" si="163"/>
        <v>Open</v>
      </c>
      <c r="Z1519" t="str">
        <f t="shared" si="164"/>
        <v>Apr-2026</v>
      </c>
      <c r="AA1519" t="str">
        <f t="shared" si="165"/>
        <v>Q2 2026</v>
      </c>
      <c r="AB1519" s="4">
        <f t="shared" ca="1" si="166"/>
        <v>84</v>
      </c>
      <c r="AC1519" t="str">
        <f t="shared" si="167"/>
        <v>Low</v>
      </c>
    </row>
    <row r="1520" spans="1:29">
      <c r="A1520" t="s">
        <v>5370</v>
      </c>
      <c r="B1520" s="2">
        <v>46051</v>
      </c>
      <c r="C1520" t="s">
        <v>860</v>
      </c>
      <c r="D1520" t="s">
        <v>1052</v>
      </c>
      <c r="E1520" t="s">
        <v>5371</v>
      </c>
      <c r="F1520" t="s">
        <v>5372</v>
      </c>
      <c r="G1520" t="s">
        <v>47</v>
      </c>
      <c r="H1520" t="s">
        <v>48</v>
      </c>
      <c r="I1520" t="s">
        <v>98</v>
      </c>
      <c r="J1520" t="s">
        <v>124</v>
      </c>
      <c r="K1520" t="s">
        <v>114</v>
      </c>
      <c r="L1520" t="s">
        <v>132</v>
      </c>
      <c r="M1520" t="s">
        <v>116</v>
      </c>
      <c r="N1520" t="s">
        <v>54</v>
      </c>
      <c r="O1520" s="3">
        <v>100000</v>
      </c>
      <c r="P1520" s="4">
        <v>25</v>
      </c>
      <c r="Q1520" s="2">
        <v>46138</v>
      </c>
      <c r="R1520" s="2">
        <v>46161</v>
      </c>
      <c r="S1520" s="2">
        <v>46072</v>
      </c>
      <c r="T1520" s="2"/>
      <c r="U1520" t="str">
        <f t="shared" si="161"/>
        <v>No</v>
      </c>
      <c r="W15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0" t="str">
        <f t="shared" ca="1" si="162"/>
        <v>Overdue</v>
      </c>
      <c r="Y1520" t="str">
        <f t="shared" si="163"/>
        <v>Open</v>
      </c>
      <c r="Z1520" t="str">
        <f t="shared" si="164"/>
        <v>Jan-2026</v>
      </c>
      <c r="AA1520" t="str">
        <f t="shared" si="165"/>
        <v>Q1 2026</v>
      </c>
      <c r="AB1520" s="4">
        <f t="shared" ca="1" si="166"/>
        <v>148</v>
      </c>
      <c r="AC1520" t="str">
        <f t="shared" si="167"/>
        <v>Low</v>
      </c>
    </row>
    <row r="1521" spans="1:29">
      <c r="A1521" t="s">
        <v>5373</v>
      </c>
      <c r="B1521" s="2">
        <v>45924</v>
      </c>
      <c r="C1521" t="s">
        <v>458</v>
      </c>
      <c r="D1521" t="s">
        <v>176</v>
      </c>
      <c r="E1521" t="s">
        <v>5374</v>
      </c>
      <c r="F1521" t="s">
        <v>5375</v>
      </c>
      <c r="G1521" t="s">
        <v>79</v>
      </c>
      <c r="H1521" t="s">
        <v>217</v>
      </c>
      <c r="I1521" t="s">
        <v>36</v>
      </c>
      <c r="J1521" t="s">
        <v>37</v>
      </c>
      <c r="K1521" t="s">
        <v>100</v>
      </c>
      <c r="L1521" t="s">
        <v>132</v>
      </c>
      <c r="M1521" t="s">
        <v>116</v>
      </c>
      <c r="N1521" t="s">
        <v>54</v>
      </c>
      <c r="O1521" s="3">
        <v>95000</v>
      </c>
      <c r="P1521" s="4">
        <v>15</v>
      </c>
      <c r="Q1521" s="2">
        <v>45975</v>
      </c>
      <c r="R1521" s="2">
        <v>46167</v>
      </c>
      <c r="S1521" s="2">
        <v>45937</v>
      </c>
      <c r="T1521" s="2"/>
      <c r="U1521" t="str">
        <f t="shared" si="161"/>
        <v>No</v>
      </c>
      <c r="W15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1" t="str">
        <f t="shared" ca="1" si="162"/>
        <v>Overdue</v>
      </c>
      <c r="Y1521" t="str">
        <f t="shared" si="163"/>
        <v>Open</v>
      </c>
      <c r="Z1521" t="str">
        <f t="shared" si="164"/>
        <v>Sep-2025</v>
      </c>
      <c r="AA1521" t="str">
        <f t="shared" si="165"/>
        <v>Q3 2025</v>
      </c>
      <c r="AB1521" s="4">
        <f t="shared" ca="1" si="166"/>
        <v>275</v>
      </c>
      <c r="AC1521" t="str">
        <f t="shared" si="167"/>
        <v>Low</v>
      </c>
    </row>
    <row r="1522" spans="1:29">
      <c r="A1522" t="s">
        <v>5376</v>
      </c>
      <c r="B1522" s="2">
        <v>46091</v>
      </c>
      <c r="C1522" t="s">
        <v>3778</v>
      </c>
      <c r="D1522" t="s">
        <v>1030</v>
      </c>
      <c r="E1522" t="s">
        <v>5377</v>
      </c>
      <c r="F1522" t="s">
        <v>5378</v>
      </c>
      <c r="G1522" t="s">
        <v>179</v>
      </c>
      <c r="H1522" t="s">
        <v>487</v>
      </c>
      <c r="I1522" t="s">
        <v>123</v>
      </c>
      <c r="J1522" t="s">
        <v>124</v>
      </c>
      <c r="K1522" t="s">
        <v>114</v>
      </c>
      <c r="L1522" t="s">
        <v>39</v>
      </c>
      <c r="M1522" t="s">
        <v>90</v>
      </c>
      <c r="N1522" t="s">
        <v>91</v>
      </c>
      <c r="O1522" s="3">
        <v>215000</v>
      </c>
      <c r="P1522" s="4">
        <v>40</v>
      </c>
      <c r="Q1522" s="2">
        <v>46172</v>
      </c>
      <c r="R1522" s="2">
        <v>46234</v>
      </c>
      <c r="S1522" s="2">
        <v>46108</v>
      </c>
      <c r="T1522" s="2"/>
      <c r="U1522" t="str">
        <f t="shared" si="161"/>
        <v>No</v>
      </c>
      <c r="W15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2" t="str">
        <f t="shared" ca="1" si="162"/>
        <v>Due/Open</v>
      </c>
      <c r="Y1522" t="str">
        <f t="shared" si="163"/>
        <v>Open</v>
      </c>
      <c r="Z1522" t="str">
        <f t="shared" si="164"/>
        <v>Mar-2026</v>
      </c>
      <c r="AA1522" t="str">
        <f t="shared" si="165"/>
        <v>Q1 2026</v>
      </c>
      <c r="AB1522" s="4">
        <f t="shared" ca="1" si="166"/>
        <v>108</v>
      </c>
      <c r="AC1522" t="str">
        <f t="shared" si="167"/>
        <v>Medium</v>
      </c>
    </row>
    <row r="1523" spans="1:29">
      <c r="A1523" t="s">
        <v>5379</v>
      </c>
      <c r="B1523" s="2">
        <v>46183</v>
      </c>
      <c r="C1523" t="s">
        <v>3194</v>
      </c>
      <c r="D1523" t="s">
        <v>1178</v>
      </c>
      <c r="E1523" t="s">
        <v>5380</v>
      </c>
      <c r="F1523" t="s">
        <v>5381</v>
      </c>
      <c r="G1523" t="s">
        <v>47</v>
      </c>
      <c r="H1523" t="s">
        <v>48</v>
      </c>
      <c r="I1523" t="s">
        <v>98</v>
      </c>
      <c r="J1523" t="s">
        <v>131</v>
      </c>
      <c r="K1523" t="s">
        <v>100</v>
      </c>
      <c r="L1523" t="s">
        <v>239</v>
      </c>
      <c r="M1523" t="s">
        <v>116</v>
      </c>
      <c r="N1523" t="s">
        <v>54</v>
      </c>
      <c r="O1523" s="3">
        <v>105000</v>
      </c>
      <c r="P1523" s="4">
        <v>20</v>
      </c>
      <c r="Q1523" s="2">
        <v>46220</v>
      </c>
      <c r="R1523" s="2">
        <v>46230</v>
      </c>
      <c r="S1523" s="2">
        <v>46192</v>
      </c>
      <c r="T1523" s="2"/>
      <c r="U1523" t="str">
        <f t="shared" si="161"/>
        <v>No</v>
      </c>
      <c r="W15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3" t="str">
        <f t="shared" ca="1" si="162"/>
        <v>Due/Open</v>
      </c>
      <c r="Y1523" t="str">
        <f t="shared" si="163"/>
        <v>Open</v>
      </c>
      <c r="Z1523" t="str">
        <f t="shared" si="164"/>
        <v>Jun-2026</v>
      </c>
      <c r="AA1523" t="str">
        <f t="shared" si="165"/>
        <v>Q2 2026</v>
      </c>
      <c r="AB1523" s="4">
        <f t="shared" ca="1" si="166"/>
        <v>16</v>
      </c>
      <c r="AC1523" t="str">
        <f t="shared" si="167"/>
        <v>Low</v>
      </c>
    </row>
    <row r="1524" spans="1:29">
      <c r="A1524" t="s">
        <v>5382</v>
      </c>
      <c r="B1524" s="2">
        <v>45908</v>
      </c>
      <c r="C1524" t="s">
        <v>3069</v>
      </c>
      <c r="D1524" t="s">
        <v>1012</v>
      </c>
      <c r="E1524" t="s">
        <v>5383</v>
      </c>
      <c r="F1524" t="s">
        <v>5384</v>
      </c>
      <c r="G1524" t="s">
        <v>34</v>
      </c>
      <c r="H1524" t="s">
        <v>35</v>
      </c>
      <c r="I1524" t="s">
        <v>187</v>
      </c>
      <c r="J1524" t="s">
        <v>124</v>
      </c>
      <c r="K1524" t="s">
        <v>38</v>
      </c>
      <c r="L1524" t="s">
        <v>154</v>
      </c>
      <c r="M1524" t="s">
        <v>116</v>
      </c>
      <c r="N1524" t="s">
        <v>54</v>
      </c>
      <c r="O1524" s="3">
        <v>95000</v>
      </c>
      <c r="P1524" s="4">
        <v>25</v>
      </c>
      <c r="Q1524" s="2">
        <v>45947</v>
      </c>
      <c r="R1524" s="2">
        <v>46224</v>
      </c>
      <c r="S1524" s="2">
        <v>45909</v>
      </c>
      <c r="T1524" s="2"/>
      <c r="U1524" t="str">
        <f t="shared" si="161"/>
        <v>No</v>
      </c>
      <c r="W15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4" t="str">
        <f t="shared" ca="1" si="162"/>
        <v>Due/Open</v>
      </c>
      <c r="Y1524" t="str">
        <f t="shared" si="163"/>
        <v>Open</v>
      </c>
      <c r="Z1524" t="str">
        <f t="shared" si="164"/>
        <v>Sep-2025</v>
      </c>
      <c r="AA1524" t="str">
        <f t="shared" si="165"/>
        <v>Q3 2025</v>
      </c>
      <c r="AB1524" s="4">
        <f t="shared" ca="1" si="166"/>
        <v>291</v>
      </c>
      <c r="AC1524" t="str">
        <f t="shared" si="167"/>
        <v>Low</v>
      </c>
    </row>
    <row r="1525" spans="1:29">
      <c r="A1525" t="s">
        <v>5385</v>
      </c>
      <c r="B1525" s="2">
        <v>45987</v>
      </c>
      <c r="C1525" t="s">
        <v>5386</v>
      </c>
      <c r="D1525" t="s">
        <v>561</v>
      </c>
      <c r="E1525" t="s">
        <v>5387</v>
      </c>
      <c r="F1525" t="s">
        <v>5388</v>
      </c>
      <c r="G1525" t="s">
        <v>79</v>
      </c>
      <c r="H1525" t="s">
        <v>217</v>
      </c>
      <c r="I1525" t="s">
        <v>49</v>
      </c>
      <c r="J1525" t="s">
        <v>62</v>
      </c>
      <c r="K1525" t="s">
        <v>51</v>
      </c>
      <c r="L1525" t="s">
        <v>154</v>
      </c>
      <c r="M1525" t="s">
        <v>166</v>
      </c>
      <c r="N1525" t="s">
        <v>167</v>
      </c>
      <c r="O1525" s="3">
        <v>130000</v>
      </c>
      <c r="P1525" s="4">
        <v>60</v>
      </c>
      <c r="Q1525" s="2">
        <v>46027</v>
      </c>
      <c r="R1525" s="2">
        <v>46204</v>
      </c>
      <c r="S1525" s="2">
        <v>45992</v>
      </c>
      <c r="T1525" s="2"/>
      <c r="U1525" t="str">
        <f t="shared" si="161"/>
        <v>No</v>
      </c>
      <c r="W15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5" t="str">
        <f t="shared" ca="1" si="162"/>
        <v>Due/Open</v>
      </c>
      <c r="Y1525" t="str">
        <f t="shared" si="163"/>
        <v>Open</v>
      </c>
      <c r="Z1525" t="str">
        <f t="shared" si="164"/>
        <v>Nov-2025</v>
      </c>
      <c r="AA1525" t="str">
        <f t="shared" si="165"/>
        <v>Q4 2025</v>
      </c>
      <c r="AB1525" s="4">
        <f t="shared" ca="1" si="166"/>
        <v>212</v>
      </c>
      <c r="AC1525" t="str">
        <f t="shared" si="167"/>
        <v>Medium</v>
      </c>
    </row>
    <row r="1526" spans="1:29">
      <c r="A1526" t="s">
        <v>5389</v>
      </c>
      <c r="B1526" s="2">
        <v>45736</v>
      </c>
      <c r="C1526" t="s">
        <v>5390</v>
      </c>
      <c r="D1526" t="s">
        <v>257</v>
      </c>
      <c r="E1526" t="s">
        <v>5391</v>
      </c>
      <c r="F1526" t="s">
        <v>5392</v>
      </c>
      <c r="G1526" t="s">
        <v>34</v>
      </c>
      <c r="H1526" t="s">
        <v>160</v>
      </c>
      <c r="I1526" t="s">
        <v>49</v>
      </c>
      <c r="J1526" t="s">
        <v>124</v>
      </c>
      <c r="K1526" t="s">
        <v>100</v>
      </c>
      <c r="L1526" t="s">
        <v>132</v>
      </c>
      <c r="M1526" t="s">
        <v>210</v>
      </c>
      <c r="N1526" t="s">
        <v>134</v>
      </c>
      <c r="O1526" s="3">
        <v>350000</v>
      </c>
      <c r="P1526" s="4">
        <v>0</v>
      </c>
      <c r="Q1526" s="2">
        <v>45805</v>
      </c>
      <c r="R1526" s="2"/>
      <c r="S1526" s="2">
        <v>45750</v>
      </c>
      <c r="T1526" s="2">
        <v>45805</v>
      </c>
      <c r="U1526" t="str">
        <f t="shared" si="161"/>
        <v>No</v>
      </c>
      <c r="V1526" t="s">
        <v>452</v>
      </c>
      <c r="W152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69</v>
      </c>
      <c r="X1526" t="str">
        <f t="shared" ca="1" si="162"/>
        <v>Closed</v>
      </c>
      <c r="Y1526" t="str">
        <f t="shared" si="163"/>
        <v>Closed</v>
      </c>
      <c r="Z1526" t="str">
        <f t="shared" si="164"/>
        <v>Mar-2025</v>
      </c>
      <c r="AA1526" t="str">
        <f t="shared" si="165"/>
        <v>Q1 2025</v>
      </c>
      <c r="AB1526" s="4">
        <f t="shared" ca="1" si="166"/>
        <v>463</v>
      </c>
      <c r="AC1526" t="str">
        <f t="shared" si="167"/>
        <v>High</v>
      </c>
    </row>
    <row r="1527" spans="1:29">
      <c r="A1527" t="s">
        <v>5393</v>
      </c>
      <c r="B1527" s="2">
        <v>46106</v>
      </c>
      <c r="C1527" t="s">
        <v>5394</v>
      </c>
      <c r="D1527" t="s">
        <v>384</v>
      </c>
      <c r="E1527" t="s">
        <v>5395</v>
      </c>
      <c r="F1527" t="s">
        <v>5396</v>
      </c>
      <c r="G1527" t="s">
        <v>34</v>
      </c>
      <c r="H1527" t="s">
        <v>160</v>
      </c>
      <c r="I1527" t="s">
        <v>36</v>
      </c>
      <c r="J1527" t="s">
        <v>50</v>
      </c>
      <c r="K1527" t="s">
        <v>114</v>
      </c>
      <c r="L1527" t="s">
        <v>142</v>
      </c>
      <c r="M1527" t="s">
        <v>53</v>
      </c>
      <c r="N1527" t="s">
        <v>54</v>
      </c>
      <c r="O1527" s="3">
        <v>495000</v>
      </c>
      <c r="P1527" s="4">
        <v>25</v>
      </c>
      <c r="Q1527" s="2">
        <v>46191</v>
      </c>
      <c r="R1527" s="2">
        <v>46226</v>
      </c>
      <c r="S1527" s="2">
        <v>46116</v>
      </c>
      <c r="T1527" s="2"/>
      <c r="U1527" t="str">
        <f t="shared" si="161"/>
        <v>No</v>
      </c>
      <c r="W15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7" t="str">
        <f t="shared" ca="1" si="162"/>
        <v>Due/Open</v>
      </c>
      <c r="Y1527" t="str">
        <f t="shared" si="163"/>
        <v>Open</v>
      </c>
      <c r="Z1527" t="str">
        <f t="shared" si="164"/>
        <v>Mar-2026</v>
      </c>
      <c r="AA1527" t="str">
        <f t="shared" si="165"/>
        <v>Q1 2026</v>
      </c>
      <c r="AB1527" s="4">
        <f t="shared" ca="1" si="166"/>
        <v>93</v>
      </c>
      <c r="AC1527" t="str">
        <f t="shared" si="167"/>
        <v>High</v>
      </c>
    </row>
    <row r="1528" spans="1:29">
      <c r="A1528" t="s">
        <v>5397</v>
      </c>
      <c r="B1528" s="2">
        <v>45689</v>
      </c>
      <c r="C1528" t="s">
        <v>4219</v>
      </c>
      <c r="D1528" t="s">
        <v>561</v>
      </c>
      <c r="E1528" t="s">
        <v>5398</v>
      </c>
      <c r="F1528" t="s">
        <v>5399</v>
      </c>
      <c r="G1528" t="s">
        <v>34</v>
      </c>
      <c r="H1528" t="s">
        <v>60</v>
      </c>
      <c r="I1528" t="s">
        <v>36</v>
      </c>
      <c r="J1528" t="s">
        <v>124</v>
      </c>
      <c r="K1528" t="s">
        <v>71</v>
      </c>
      <c r="L1528" t="s">
        <v>72</v>
      </c>
      <c r="M1528" t="s">
        <v>116</v>
      </c>
      <c r="N1528" t="s">
        <v>54</v>
      </c>
      <c r="O1528" s="3">
        <v>195000</v>
      </c>
      <c r="P1528" s="4">
        <v>20</v>
      </c>
      <c r="Q1528" s="2">
        <v>45722</v>
      </c>
      <c r="R1528" s="2">
        <v>46174</v>
      </c>
      <c r="S1528" s="2">
        <v>45718</v>
      </c>
      <c r="T1528" s="2"/>
      <c r="U1528" t="str">
        <f t="shared" si="161"/>
        <v>No</v>
      </c>
      <c r="W15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8" t="str">
        <f t="shared" ca="1" si="162"/>
        <v>Overdue</v>
      </c>
      <c r="Y1528" t="str">
        <f t="shared" si="163"/>
        <v>Open</v>
      </c>
      <c r="Z1528" t="str">
        <f t="shared" si="164"/>
        <v>Feb-2025</v>
      </c>
      <c r="AA1528" t="str">
        <f t="shared" si="165"/>
        <v>Q1 2025</v>
      </c>
      <c r="AB1528" s="4">
        <f t="shared" ca="1" si="166"/>
        <v>510</v>
      </c>
      <c r="AC1528" t="str">
        <f t="shared" si="167"/>
        <v>Medium</v>
      </c>
    </row>
    <row r="1529" spans="1:29">
      <c r="A1529" t="s">
        <v>5400</v>
      </c>
      <c r="B1529" s="2">
        <v>45810</v>
      </c>
      <c r="C1529" t="s">
        <v>1448</v>
      </c>
      <c r="D1529" t="s">
        <v>969</v>
      </c>
      <c r="E1529" t="s">
        <v>5401</v>
      </c>
      <c r="F1529" t="s">
        <v>5402</v>
      </c>
      <c r="G1529" t="s">
        <v>79</v>
      </c>
      <c r="H1529" t="s">
        <v>260</v>
      </c>
      <c r="I1529" t="s">
        <v>141</v>
      </c>
      <c r="J1529" t="s">
        <v>99</v>
      </c>
      <c r="K1529" t="s">
        <v>71</v>
      </c>
      <c r="L1529" t="s">
        <v>52</v>
      </c>
      <c r="M1529" t="s">
        <v>116</v>
      </c>
      <c r="N1529" t="s">
        <v>54</v>
      </c>
      <c r="O1529" s="3">
        <v>390000</v>
      </c>
      <c r="P1529" s="4">
        <v>15</v>
      </c>
      <c r="Q1529" s="2">
        <v>45836</v>
      </c>
      <c r="R1529" s="2">
        <v>46157</v>
      </c>
      <c r="S1529" s="2">
        <v>45818</v>
      </c>
      <c r="T1529" s="2"/>
      <c r="U1529" t="str">
        <f t="shared" si="161"/>
        <v>No</v>
      </c>
      <c r="W15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29" t="str">
        <f t="shared" ca="1" si="162"/>
        <v>Overdue</v>
      </c>
      <c r="Y1529" t="str">
        <f t="shared" si="163"/>
        <v>Open</v>
      </c>
      <c r="Z1529" t="str">
        <f t="shared" si="164"/>
        <v>Jun-2025</v>
      </c>
      <c r="AA1529" t="str">
        <f t="shared" si="165"/>
        <v>Q2 2025</v>
      </c>
      <c r="AB1529" s="4">
        <f t="shared" ca="1" si="166"/>
        <v>389</v>
      </c>
      <c r="AC1529" t="str">
        <f t="shared" si="167"/>
        <v>High</v>
      </c>
    </row>
    <row r="1530" spans="1:29">
      <c r="A1530" t="s">
        <v>5403</v>
      </c>
      <c r="B1530" s="2">
        <v>45988</v>
      </c>
      <c r="C1530" t="s">
        <v>899</v>
      </c>
      <c r="D1530" t="s">
        <v>247</v>
      </c>
      <c r="E1530" t="s">
        <v>5404</v>
      </c>
      <c r="F1530" t="s">
        <v>5405</v>
      </c>
      <c r="G1530" t="s">
        <v>34</v>
      </c>
      <c r="H1530" t="s">
        <v>446</v>
      </c>
      <c r="I1530" t="s">
        <v>141</v>
      </c>
      <c r="J1530" t="s">
        <v>124</v>
      </c>
      <c r="K1530" t="s">
        <v>51</v>
      </c>
      <c r="L1530" t="s">
        <v>125</v>
      </c>
      <c r="M1530" t="s">
        <v>73</v>
      </c>
      <c r="N1530" t="s">
        <v>73</v>
      </c>
      <c r="O1530" s="3">
        <v>315000</v>
      </c>
      <c r="P1530" s="4">
        <v>75</v>
      </c>
      <c r="Q1530" s="2">
        <v>46048</v>
      </c>
      <c r="R1530" s="2">
        <v>46218</v>
      </c>
      <c r="S1530" s="2">
        <v>45999</v>
      </c>
      <c r="T1530" s="2"/>
      <c r="U1530" t="str">
        <f t="shared" si="161"/>
        <v>No</v>
      </c>
      <c r="W15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0" t="str">
        <f t="shared" ca="1" si="162"/>
        <v>Due/Open</v>
      </c>
      <c r="Y1530" t="str">
        <f t="shared" si="163"/>
        <v>Open</v>
      </c>
      <c r="Z1530" t="str">
        <f t="shared" si="164"/>
        <v>Nov-2025</v>
      </c>
      <c r="AA1530" t="str">
        <f t="shared" si="165"/>
        <v>Q4 2025</v>
      </c>
      <c r="AB1530" s="4">
        <f t="shared" ca="1" si="166"/>
        <v>211</v>
      </c>
      <c r="AC1530" t="str">
        <f t="shared" si="167"/>
        <v>High</v>
      </c>
    </row>
    <row r="1531" spans="1:29">
      <c r="A1531" t="s">
        <v>5406</v>
      </c>
      <c r="B1531" s="2">
        <v>46065</v>
      </c>
      <c r="C1531" t="s">
        <v>660</v>
      </c>
      <c r="D1531" t="s">
        <v>1876</v>
      </c>
      <c r="E1531" t="s">
        <v>5407</v>
      </c>
      <c r="F1531" t="s">
        <v>5408</v>
      </c>
      <c r="G1531" t="s">
        <v>34</v>
      </c>
      <c r="H1531" t="s">
        <v>35</v>
      </c>
      <c r="I1531" t="s">
        <v>98</v>
      </c>
      <c r="J1531" t="s">
        <v>131</v>
      </c>
      <c r="K1531" t="s">
        <v>71</v>
      </c>
      <c r="L1531" t="s">
        <v>107</v>
      </c>
      <c r="M1531" t="s">
        <v>82</v>
      </c>
      <c r="N1531" t="s">
        <v>83</v>
      </c>
      <c r="O1531" s="3">
        <v>345000</v>
      </c>
      <c r="P1531" s="4">
        <v>5</v>
      </c>
      <c r="Q1531" s="2">
        <v>46153</v>
      </c>
      <c r="R1531" s="2">
        <v>46214</v>
      </c>
      <c r="S1531" s="2">
        <v>46069</v>
      </c>
      <c r="T1531" s="2"/>
      <c r="U1531" t="str">
        <f t="shared" si="161"/>
        <v>No</v>
      </c>
      <c r="W15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1" t="str">
        <f t="shared" ca="1" si="162"/>
        <v>Due/Open</v>
      </c>
      <c r="Y1531" t="str">
        <f t="shared" si="163"/>
        <v>Open</v>
      </c>
      <c r="Z1531" t="str">
        <f t="shared" si="164"/>
        <v>Feb-2026</v>
      </c>
      <c r="AA1531" t="str">
        <f t="shared" si="165"/>
        <v>Q1 2026</v>
      </c>
      <c r="AB1531" s="4">
        <f t="shared" ca="1" si="166"/>
        <v>134</v>
      </c>
      <c r="AC1531" t="str">
        <f t="shared" si="167"/>
        <v>High</v>
      </c>
    </row>
    <row r="1532" spans="1:29">
      <c r="A1532" t="s">
        <v>5409</v>
      </c>
      <c r="B1532" s="2">
        <v>46014</v>
      </c>
      <c r="C1532" t="s">
        <v>1314</v>
      </c>
      <c r="D1532" t="s">
        <v>490</v>
      </c>
      <c r="E1532" t="s">
        <v>5410</v>
      </c>
      <c r="F1532" t="s">
        <v>5411</v>
      </c>
      <c r="G1532" t="s">
        <v>34</v>
      </c>
      <c r="H1532" t="s">
        <v>446</v>
      </c>
      <c r="I1532" t="s">
        <v>36</v>
      </c>
      <c r="J1532" t="s">
        <v>131</v>
      </c>
      <c r="K1532" t="s">
        <v>194</v>
      </c>
      <c r="L1532" t="s">
        <v>154</v>
      </c>
      <c r="M1532" t="s">
        <v>40</v>
      </c>
      <c r="N1532" t="s">
        <v>41</v>
      </c>
      <c r="O1532" s="3">
        <v>370000</v>
      </c>
      <c r="P1532" s="4">
        <v>100</v>
      </c>
      <c r="Q1532" s="2">
        <v>46086</v>
      </c>
      <c r="R1532" s="2"/>
      <c r="S1532" s="2">
        <v>46042</v>
      </c>
      <c r="T1532" s="2">
        <v>46086</v>
      </c>
      <c r="U1532" t="str">
        <f t="shared" si="161"/>
        <v>Yes</v>
      </c>
      <c r="W153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72</v>
      </c>
      <c r="X1532" t="str">
        <f t="shared" ca="1" si="162"/>
        <v>Closed</v>
      </c>
      <c r="Y1532" t="str">
        <f t="shared" si="163"/>
        <v>Closed</v>
      </c>
      <c r="Z1532" t="str">
        <f t="shared" si="164"/>
        <v>Dec-2025</v>
      </c>
      <c r="AA1532" t="str">
        <f t="shared" si="165"/>
        <v>Q4 2025</v>
      </c>
      <c r="AB1532" s="4">
        <f t="shared" ca="1" si="166"/>
        <v>185</v>
      </c>
      <c r="AC1532" t="str">
        <f t="shared" si="167"/>
        <v>High</v>
      </c>
    </row>
    <row r="1533" spans="1:29">
      <c r="A1533" t="s">
        <v>5412</v>
      </c>
      <c r="B1533" s="2">
        <v>45921</v>
      </c>
      <c r="C1533" t="s">
        <v>346</v>
      </c>
      <c r="D1533" t="s">
        <v>1132</v>
      </c>
      <c r="E1533" t="s">
        <v>5413</v>
      </c>
      <c r="F1533" t="s">
        <v>5414</v>
      </c>
      <c r="G1533" t="s">
        <v>69</v>
      </c>
      <c r="H1533" t="s">
        <v>70</v>
      </c>
      <c r="I1533" t="s">
        <v>36</v>
      </c>
      <c r="J1533" t="s">
        <v>37</v>
      </c>
      <c r="K1533" t="s">
        <v>71</v>
      </c>
      <c r="L1533" t="s">
        <v>125</v>
      </c>
      <c r="M1533" t="s">
        <v>116</v>
      </c>
      <c r="N1533" t="s">
        <v>54</v>
      </c>
      <c r="O1533" s="3">
        <v>170000</v>
      </c>
      <c r="P1533" s="4">
        <v>25</v>
      </c>
      <c r="Q1533" s="2">
        <v>45977</v>
      </c>
      <c r="R1533" s="2">
        <v>46240</v>
      </c>
      <c r="S1533" s="2">
        <v>45939</v>
      </c>
      <c r="T1533" s="2"/>
      <c r="U1533" t="str">
        <f t="shared" si="161"/>
        <v>No</v>
      </c>
      <c r="W15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3" t="str">
        <f t="shared" ca="1" si="162"/>
        <v>Due/Open</v>
      </c>
      <c r="Y1533" t="str">
        <f t="shared" si="163"/>
        <v>Open</v>
      </c>
      <c r="Z1533" t="str">
        <f t="shared" si="164"/>
        <v>Sep-2025</v>
      </c>
      <c r="AA1533" t="str">
        <f t="shared" si="165"/>
        <v>Q3 2025</v>
      </c>
      <c r="AB1533" s="4">
        <f t="shared" ca="1" si="166"/>
        <v>278</v>
      </c>
      <c r="AC1533" t="str">
        <f t="shared" si="167"/>
        <v>Medium</v>
      </c>
    </row>
    <row r="1534" spans="1:29">
      <c r="A1534" t="s">
        <v>5415</v>
      </c>
      <c r="B1534" s="2">
        <v>46000</v>
      </c>
      <c r="C1534" t="s">
        <v>4414</v>
      </c>
      <c r="D1534" t="s">
        <v>443</v>
      </c>
      <c r="E1534" t="s">
        <v>5416</v>
      </c>
      <c r="F1534" t="s">
        <v>5417</v>
      </c>
      <c r="G1534" t="s">
        <v>47</v>
      </c>
      <c r="H1534" t="s">
        <v>493</v>
      </c>
      <c r="I1534" t="s">
        <v>98</v>
      </c>
      <c r="J1534" t="s">
        <v>37</v>
      </c>
      <c r="K1534" t="s">
        <v>114</v>
      </c>
      <c r="L1534" t="s">
        <v>52</v>
      </c>
      <c r="M1534" t="s">
        <v>53</v>
      </c>
      <c r="N1534" t="s">
        <v>54</v>
      </c>
      <c r="O1534" s="3">
        <v>160000</v>
      </c>
      <c r="P1534" s="4">
        <v>30</v>
      </c>
      <c r="Q1534" s="2">
        <v>46085</v>
      </c>
      <c r="R1534" s="2">
        <v>46229</v>
      </c>
      <c r="S1534" s="2">
        <v>46005</v>
      </c>
      <c r="T1534" s="2"/>
      <c r="U1534" t="str">
        <f t="shared" si="161"/>
        <v>No</v>
      </c>
      <c r="W15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4" t="str">
        <f t="shared" ca="1" si="162"/>
        <v>Due/Open</v>
      </c>
      <c r="Y1534" t="str">
        <f t="shared" si="163"/>
        <v>Open</v>
      </c>
      <c r="Z1534" t="str">
        <f t="shared" si="164"/>
        <v>Dec-2025</v>
      </c>
      <c r="AA1534" t="str">
        <f t="shared" si="165"/>
        <v>Q4 2025</v>
      </c>
      <c r="AB1534" s="4">
        <f t="shared" ca="1" si="166"/>
        <v>199</v>
      </c>
      <c r="AC1534" t="str">
        <f t="shared" si="167"/>
        <v>Medium</v>
      </c>
    </row>
    <row r="1535" spans="1:29">
      <c r="A1535" t="s">
        <v>5418</v>
      </c>
      <c r="B1535" s="2">
        <v>45983</v>
      </c>
      <c r="C1535" t="s">
        <v>1747</v>
      </c>
      <c r="D1535" t="s">
        <v>263</v>
      </c>
      <c r="E1535" t="s">
        <v>5419</v>
      </c>
      <c r="F1535" t="s">
        <v>5420</v>
      </c>
      <c r="G1535" t="s">
        <v>47</v>
      </c>
      <c r="H1535" t="s">
        <v>418</v>
      </c>
      <c r="I1535" t="s">
        <v>141</v>
      </c>
      <c r="J1535" t="s">
        <v>62</v>
      </c>
      <c r="K1535" t="s">
        <v>194</v>
      </c>
      <c r="L1535" t="s">
        <v>63</v>
      </c>
      <c r="M1535" t="s">
        <v>133</v>
      </c>
      <c r="N1535" t="s">
        <v>134</v>
      </c>
      <c r="O1535" s="3">
        <v>150000</v>
      </c>
      <c r="P1535" s="4">
        <v>0</v>
      </c>
      <c r="Q1535" s="2">
        <v>46020</v>
      </c>
      <c r="R1535" s="2"/>
      <c r="S1535" s="2">
        <v>46005</v>
      </c>
      <c r="T1535" s="2">
        <v>46020</v>
      </c>
      <c r="U1535" t="str">
        <f t="shared" si="161"/>
        <v>No</v>
      </c>
      <c r="V1535" t="s">
        <v>1105</v>
      </c>
      <c r="W153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535" t="str">
        <f t="shared" ca="1" si="162"/>
        <v>Closed</v>
      </c>
      <c r="Y1535" t="str">
        <f t="shared" si="163"/>
        <v>Closed</v>
      </c>
      <c r="Z1535" t="str">
        <f t="shared" si="164"/>
        <v>Nov-2025</v>
      </c>
      <c r="AA1535" t="str">
        <f t="shared" si="165"/>
        <v>Q4 2025</v>
      </c>
      <c r="AB1535" s="4">
        <f t="shared" ca="1" si="166"/>
        <v>216</v>
      </c>
      <c r="AC1535" t="str">
        <f t="shared" si="167"/>
        <v>Medium</v>
      </c>
    </row>
    <row r="1536" spans="1:29">
      <c r="A1536" t="s">
        <v>5421</v>
      </c>
      <c r="B1536" s="2">
        <v>45720</v>
      </c>
      <c r="C1536" t="s">
        <v>1928</v>
      </c>
      <c r="D1536" t="s">
        <v>2493</v>
      </c>
      <c r="E1536" t="s">
        <v>5422</v>
      </c>
      <c r="F1536" t="s">
        <v>5423</v>
      </c>
      <c r="G1536" t="s">
        <v>69</v>
      </c>
      <c r="H1536" t="s">
        <v>193</v>
      </c>
      <c r="I1536" t="s">
        <v>123</v>
      </c>
      <c r="J1536" t="s">
        <v>131</v>
      </c>
      <c r="K1536" t="s">
        <v>114</v>
      </c>
      <c r="L1536" t="s">
        <v>115</v>
      </c>
      <c r="M1536" t="s">
        <v>90</v>
      </c>
      <c r="N1536" t="s">
        <v>91</v>
      </c>
      <c r="O1536" s="3">
        <v>245000</v>
      </c>
      <c r="P1536" s="4">
        <v>55</v>
      </c>
      <c r="Q1536" s="2">
        <v>45813</v>
      </c>
      <c r="R1536" s="2">
        <v>46197</v>
      </c>
      <c r="S1536" s="2">
        <v>45724</v>
      </c>
      <c r="T1536" s="2"/>
      <c r="U1536" t="str">
        <f t="shared" si="161"/>
        <v>No</v>
      </c>
      <c r="W15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6" t="str">
        <f t="shared" ca="1" si="162"/>
        <v>Overdue</v>
      </c>
      <c r="Y1536" t="str">
        <f t="shared" si="163"/>
        <v>Open</v>
      </c>
      <c r="Z1536" t="str">
        <f t="shared" si="164"/>
        <v>Mar-2025</v>
      </c>
      <c r="AA1536" t="str">
        <f t="shared" si="165"/>
        <v>Q1 2025</v>
      </c>
      <c r="AB1536" s="4">
        <f t="shared" ca="1" si="166"/>
        <v>479</v>
      </c>
      <c r="AC1536" t="str">
        <f t="shared" si="167"/>
        <v>Medium</v>
      </c>
    </row>
    <row r="1537" spans="1:29">
      <c r="A1537" t="s">
        <v>5424</v>
      </c>
      <c r="B1537" s="2">
        <v>45812</v>
      </c>
      <c r="C1537" t="s">
        <v>1051</v>
      </c>
      <c r="D1537" t="s">
        <v>337</v>
      </c>
      <c r="E1537" t="s">
        <v>5425</v>
      </c>
      <c r="F1537" t="s">
        <v>5426</v>
      </c>
      <c r="G1537" t="s">
        <v>179</v>
      </c>
      <c r="H1537" t="s">
        <v>186</v>
      </c>
      <c r="I1537" t="s">
        <v>123</v>
      </c>
      <c r="J1537" t="s">
        <v>124</v>
      </c>
      <c r="K1537" t="s">
        <v>100</v>
      </c>
      <c r="L1537" t="s">
        <v>125</v>
      </c>
      <c r="M1537" t="s">
        <v>116</v>
      </c>
      <c r="N1537" t="s">
        <v>54</v>
      </c>
      <c r="O1537" s="3">
        <v>305000</v>
      </c>
      <c r="P1537" s="4">
        <v>25</v>
      </c>
      <c r="Q1537" s="2">
        <v>45872</v>
      </c>
      <c r="R1537" s="2">
        <v>46225</v>
      </c>
      <c r="S1537" s="2">
        <v>45828</v>
      </c>
      <c r="T1537" s="2"/>
      <c r="U1537" t="str">
        <f t="shared" si="161"/>
        <v>No</v>
      </c>
      <c r="W15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7" t="str">
        <f t="shared" ca="1" si="162"/>
        <v>Due/Open</v>
      </c>
      <c r="Y1537" t="str">
        <f t="shared" si="163"/>
        <v>Open</v>
      </c>
      <c r="Z1537" t="str">
        <f t="shared" si="164"/>
        <v>Jun-2025</v>
      </c>
      <c r="AA1537" t="str">
        <f t="shared" si="165"/>
        <v>Q2 2025</v>
      </c>
      <c r="AB1537" s="4">
        <f t="shared" ca="1" si="166"/>
        <v>387</v>
      </c>
      <c r="AC1537" t="str">
        <f t="shared" si="167"/>
        <v>High</v>
      </c>
    </row>
    <row r="1538" spans="1:29">
      <c r="A1538" t="s">
        <v>5427</v>
      </c>
      <c r="B1538" s="2">
        <v>46157</v>
      </c>
      <c r="C1538" t="s">
        <v>2741</v>
      </c>
      <c r="D1538" t="s">
        <v>257</v>
      </c>
      <c r="E1538" t="s">
        <v>5428</v>
      </c>
      <c r="F1538" t="s">
        <v>5429</v>
      </c>
      <c r="G1538" t="s">
        <v>47</v>
      </c>
      <c r="H1538" t="s">
        <v>48</v>
      </c>
      <c r="I1538" t="s">
        <v>36</v>
      </c>
      <c r="J1538" t="s">
        <v>37</v>
      </c>
      <c r="K1538" t="s">
        <v>38</v>
      </c>
      <c r="L1538" t="s">
        <v>115</v>
      </c>
      <c r="M1538" t="s">
        <v>90</v>
      </c>
      <c r="N1538" t="s">
        <v>91</v>
      </c>
      <c r="O1538" s="3">
        <v>165000</v>
      </c>
      <c r="P1538" s="4">
        <v>55</v>
      </c>
      <c r="Q1538" s="2">
        <v>46245</v>
      </c>
      <c r="R1538" s="2">
        <v>46223</v>
      </c>
      <c r="S1538" s="2">
        <v>46169</v>
      </c>
      <c r="T1538" s="2"/>
      <c r="U1538" t="str">
        <f t="shared" ref="U1538:U1601" si="168">IF(M1538="Converted","Yes","No")</f>
        <v>No</v>
      </c>
      <c r="W15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38" t="str">
        <f t="shared" ref="X1538:X1601" ca="1" si="169">IF(OR(M1538="Converted",M1538="Lost",M1538="Not Interested"),"Closed",IF(R1538&lt;TODAY(),"Overdue","Due/Open"))</f>
        <v>Due/Open</v>
      </c>
      <c r="Y1538" t="str">
        <f t="shared" ref="Y1538:Y1601" si="170">IF(OR(M1538="Converted",M1538="Lost",M1538="Not Interested"),"Closed","Open")</f>
        <v>Open</v>
      </c>
      <c r="Z1538" t="str">
        <f t="shared" ref="Z1538:Z1601" si="171">TEXT(B1538,"mmm-yyyy")</f>
        <v>May-2026</v>
      </c>
      <c r="AA1538" t="str">
        <f t="shared" ref="AA1538:AA1601" si="172">"Q"&amp;ROUNDUP(MONTH(B1538)/3,0)&amp;" "&amp;YEAR(B1538)</f>
        <v>Q2 2026</v>
      </c>
      <c r="AB1538" s="4">
        <f t="shared" ref="AB1538:AB1601" ca="1" si="173">TODAY()-B1538</f>
        <v>42</v>
      </c>
      <c r="AC1538" t="str">
        <f t="shared" ref="AC1538:AC1601" si="174">IF(O1538&gt;=300000,"High",IF(O1538&gt;=120000,"Medium","Low"))</f>
        <v>Medium</v>
      </c>
    </row>
    <row r="1539" spans="1:29">
      <c r="A1539" t="s">
        <v>5430</v>
      </c>
      <c r="B1539" s="2">
        <v>45891</v>
      </c>
      <c r="C1539" t="s">
        <v>3236</v>
      </c>
      <c r="D1539" t="s">
        <v>1600</v>
      </c>
      <c r="E1539" t="s">
        <v>5431</v>
      </c>
      <c r="F1539" t="s">
        <v>5432</v>
      </c>
      <c r="G1539" t="s">
        <v>34</v>
      </c>
      <c r="H1539" t="s">
        <v>173</v>
      </c>
      <c r="I1539" t="s">
        <v>36</v>
      </c>
      <c r="J1539" t="s">
        <v>37</v>
      </c>
      <c r="K1539" t="s">
        <v>194</v>
      </c>
      <c r="L1539" t="s">
        <v>39</v>
      </c>
      <c r="M1539" t="s">
        <v>133</v>
      </c>
      <c r="N1539" t="s">
        <v>134</v>
      </c>
      <c r="O1539" s="3">
        <v>175000</v>
      </c>
      <c r="P1539" s="4">
        <v>0</v>
      </c>
      <c r="Q1539" s="2">
        <v>45934</v>
      </c>
      <c r="R1539" s="2"/>
      <c r="S1539" s="2">
        <v>45898</v>
      </c>
      <c r="T1539" s="2">
        <v>45934</v>
      </c>
      <c r="U1539" t="str">
        <f t="shared" si="168"/>
        <v>No</v>
      </c>
      <c r="V1539" t="s">
        <v>211</v>
      </c>
      <c r="W153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43</v>
      </c>
      <c r="X1539" t="str">
        <f t="shared" ca="1" si="169"/>
        <v>Closed</v>
      </c>
      <c r="Y1539" t="str">
        <f t="shared" si="170"/>
        <v>Closed</v>
      </c>
      <c r="Z1539" t="str">
        <f t="shared" si="171"/>
        <v>Aug-2025</v>
      </c>
      <c r="AA1539" t="str">
        <f t="shared" si="172"/>
        <v>Q3 2025</v>
      </c>
      <c r="AB1539" s="4">
        <f t="shared" ca="1" si="173"/>
        <v>308</v>
      </c>
      <c r="AC1539" t="str">
        <f t="shared" si="174"/>
        <v>Medium</v>
      </c>
    </row>
    <row r="1540" spans="1:29">
      <c r="A1540" t="s">
        <v>5433</v>
      </c>
      <c r="B1540" s="2">
        <v>45885</v>
      </c>
      <c r="C1540" t="s">
        <v>1932</v>
      </c>
      <c r="D1540" t="s">
        <v>86</v>
      </c>
      <c r="E1540" t="s">
        <v>5434</v>
      </c>
      <c r="F1540" t="s">
        <v>5435</v>
      </c>
      <c r="G1540" t="s">
        <v>69</v>
      </c>
      <c r="H1540" t="s">
        <v>285</v>
      </c>
      <c r="I1540" t="s">
        <v>148</v>
      </c>
      <c r="J1540" t="s">
        <v>124</v>
      </c>
      <c r="K1540" t="s">
        <v>100</v>
      </c>
      <c r="L1540" t="s">
        <v>154</v>
      </c>
      <c r="M1540" t="s">
        <v>116</v>
      </c>
      <c r="N1540" t="s">
        <v>54</v>
      </c>
      <c r="O1540" s="3">
        <v>230000</v>
      </c>
      <c r="P1540" s="4">
        <v>15</v>
      </c>
      <c r="Q1540" s="2">
        <v>45967</v>
      </c>
      <c r="R1540" s="2">
        <v>46179</v>
      </c>
      <c r="S1540" s="2">
        <v>45909</v>
      </c>
      <c r="T1540" s="2"/>
      <c r="U1540" t="str">
        <f t="shared" si="168"/>
        <v>No</v>
      </c>
      <c r="W15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0" t="str">
        <f t="shared" ca="1" si="169"/>
        <v>Overdue</v>
      </c>
      <c r="Y1540" t="str">
        <f t="shared" si="170"/>
        <v>Open</v>
      </c>
      <c r="Z1540" t="str">
        <f t="shared" si="171"/>
        <v>Aug-2025</v>
      </c>
      <c r="AA1540" t="str">
        <f t="shared" si="172"/>
        <v>Q3 2025</v>
      </c>
      <c r="AB1540" s="4">
        <f t="shared" ca="1" si="173"/>
        <v>314</v>
      </c>
      <c r="AC1540" t="str">
        <f t="shared" si="174"/>
        <v>Medium</v>
      </c>
    </row>
    <row r="1541" spans="1:29">
      <c r="A1541" t="s">
        <v>5436</v>
      </c>
      <c r="B1541" s="2">
        <v>46107</v>
      </c>
      <c r="C1541" t="s">
        <v>1700</v>
      </c>
      <c r="D1541" t="s">
        <v>1132</v>
      </c>
      <c r="E1541" t="s">
        <v>5437</v>
      </c>
      <c r="F1541" t="s">
        <v>5438</v>
      </c>
      <c r="G1541" t="s">
        <v>34</v>
      </c>
      <c r="H1541" t="s">
        <v>60</v>
      </c>
      <c r="I1541" t="s">
        <v>36</v>
      </c>
      <c r="J1541" t="s">
        <v>50</v>
      </c>
      <c r="K1541" t="s">
        <v>38</v>
      </c>
      <c r="L1541" t="s">
        <v>142</v>
      </c>
      <c r="M1541" t="s">
        <v>53</v>
      </c>
      <c r="N1541" t="s">
        <v>54</v>
      </c>
      <c r="O1541" s="3">
        <v>255000</v>
      </c>
      <c r="P1541" s="4">
        <v>30</v>
      </c>
      <c r="Q1541" s="2">
        <v>46158</v>
      </c>
      <c r="R1541" s="2">
        <v>46204</v>
      </c>
      <c r="S1541" s="2">
        <v>46110</v>
      </c>
      <c r="T1541" s="2"/>
      <c r="U1541" t="str">
        <f t="shared" si="168"/>
        <v>No</v>
      </c>
      <c r="W15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1" t="str">
        <f t="shared" ca="1" si="169"/>
        <v>Due/Open</v>
      </c>
      <c r="Y1541" t="str">
        <f t="shared" si="170"/>
        <v>Open</v>
      </c>
      <c r="Z1541" t="str">
        <f t="shared" si="171"/>
        <v>Mar-2026</v>
      </c>
      <c r="AA1541" t="str">
        <f t="shared" si="172"/>
        <v>Q1 2026</v>
      </c>
      <c r="AB1541" s="4">
        <f t="shared" ca="1" si="173"/>
        <v>92</v>
      </c>
      <c r="AC1541" t="str">
        <f t="shared" si="174"/>
        <v>Medium</v>
      </c>
    </row>
    <row r="1542" spans="1:29">
      <c r="A1542" t="s">
        <v>5439</v>
      </c>
      <c r="B1542" s="2">
        <v>46111</v>
      </c>
      <c r="C1542" t="s">
        <v>346</v>
      </c>
      <c r="D1542" t="s">
        <v>1416</v>
      </c>
      <c r="E1542" t="s">
        <v>5440</v>
      </c>
      <c r="F1542" t="s">
        <v>5441</v>
      </c>
      <c r="G1542" t="s">
        <v>47</v>
      </c>
      <c r="H1542" t="s">
        <v>89</v>
      </c>
      <c r="I1542" t="s">
        <v>36</v>
      </c>
      <c r="J1542" t="s">
        <v>50</v>
      </c>
      <c r="K1542" t="s">
        <v>114</v>
      </c>
      <c r="L1542" t="s">
        <v>154</v>
      </c>
      <c r="M1542" t="s">
        <v>90</v>
      </c>
      <c r="N1542" t="s">
        <v>91</v>
      </c>
      <c r="O1542" s="3">
        <v>530000</v>
      </c>
      <c r="P1542" s="4">
        <v>40</v>
      </c>
      <c r="Q1542" s="2">
        <v>46169</v>
      </c>
      <c r="R1542" s="2">
        <v>46201</v>
      </c>
      <c r="S1542" s="2">
        <v>46124</v>
      </c>
      <c r="T1542" s="2"/>
      <c r="U1542" t="str">
        <f t="shared" si="168"/>
        <v>No</v>
      </c>
      <c r="W15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2" t="str">
        <f t="shared" ca="1" si="169"/>
        <v>Due/Open</v>
      </c>
      <c r="Y1542" t="str">
        <f t="shared" si="170"/>
        <v>Open</v>
      </c>
      <c r="Z1542" t="str">
        <f t="shared" si="171"/>
        <v>Mar-2026</v>
      </c>
      <c r="AA1542" t="str">
        <f t="shared" si="172"/>
        <v>Q1 2026</v>
      </c>
      <c r="AB1542" s="4">
        <f t="shared" ca="1" si="173"/>
        <v>88</v>
      </c>
      <c r="AC1542" t="str">
        <f t="shared" si="174"/>
        <v>High</v>
      </c>
    </row>
    <row r="1543" spans="1:29">
      <c r="A1543" t="s">
        <v>5442</v>
      </c>
      <c r="B1543" s="2">
        <v>46169</v>
      </c>
      <c r="C1543" t="s">
        <v>3556</v>
      </c>
      <c r="D1543" t="s">
        <v>352</v>
      </c>
      <c r="E1543" t="s">
        <v>5443</v>
      </c>
      <c r="F1543" t="s">
        <v>5444</v>
      </c>
      <c r="G1543" t="s">
        <v>34</v>
      </c>
      <c r="H1543" t="s">
        <v>160</v>
      </c>
      <c r="I1543" t="s">
        <v>98</v>
      </c>
      <c r="J1543" t="s">
        <v>37</v>
      </c>
      <c r="K1543" t="s">
        <v>194</v>
      </c>
      <c r="L1543" t="s">
        <v>63</v>
      </c>
      <c r="M1543" t="s">
        <v>82</v>
      </c>
      <c r="N1543" t="s">
        <v>83</v>
      </c>
      <c r="O1543" s="3">
        <v>110000</v>
      </c>
      <c r="P1543" s="4">
        <v>5</v>
      </c>
      <c r="Q1543" s="2">
        <v>46230</v>
      </c>
      <c r="R1543" s="2">
        <v>46238</v>
      </c>
      <c r="S1543" s="2">
        <v>46192</v>
      </c>
      <c r="T1543" s="2"/>
      <c r="U1543" t="str">
        <f t="shared" si="168"/>
        <v>No</v>
      </c>
      <c r="W15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3" t="str">
        <f t="shared" ca="1" si="169"/>
        <v>Due/Open</v>
      </c>
      <c r="Y1543" t="str">
        <f t="shared" si="170"/>
        <v>Open</v>
      </c>
      <c r="Z1543" t="str">
        <f t="shared" si="171"/>
        <v>May-2026</v>
      </c>
      <c r="AA1543" t="str">
        <f t="shared" si="172"/>
        <v>Q2 2026</v>
      </c>
      <c r="AB1543" s="4">
        <f t="shared" ca="1" si="173"/>
        <v>30</v>
      </c>
      <c r="AC1543" t="str">
        <f t="shared" si="174"/>
        <v>Low</v>
      </c>
    </row>
    <row r="1544" spans="1:29">
      <c r="A1544" t="s">
        <v>5445</v>
      </c>
      <c r="B1544" s="2">
        <v>46089</v>
      </c>
      <c r="C1544" t="s">
        <v>783</v>
      </c>
      <c r="D1544" t="s">
        <v>449</v>
      </c>
      <c r="E1544" t="s">
        <v>5446</v>
      </c>
      <c r="F1544" t="s">
        <v>5447</v>
      </c>
      <c r="G1544" t="s">
        <v>47</v>
      </c>
      <c r="H1544" t="s">
        <v>89</v>
      </c>
      <c r="I1544" t="s">
        <v>148</v>
      </c>
      <c r="J1544" t="s">
        <v>62</v>
      </c>
      <c r="K1544" t="s">
        <v>71</v>
      </c>
      <c r="L1544" t="s">
        <v>81</v>
      </c>
      <c r="M1544" t="s">
        <v>82</v>
      </c>
      <c r="N1544" t="s">
        <v>83</v>
      </c>
      <c r="O1544" s="3">
        <v>205000</v>
      </c>
      <c r="P1544" s="4">
        <v>10</v>
      </c>
      <c r="Q1544" s="2">
        <v>46132</v>
      </c>
      <c r="R1544" s="2">
        <v>46202</v>
      </c>
      <c r="S1544" s="2">
        <v>46096</v>
      </c>
      <c r="T1544" s="2"/>
      <c r="U1544" t="str">
        <f t="shared" si="168"/>
        <v>No</v>
      </c>
      <c r="W15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4" t="str">
        <f t="shared" ca="1" si="169"/>
        <v>Due/Open</v>
      </c>
      <c r="Y1544" t="str">
        <f t="shared" si="170"/>
        <v>Open</v>
      </c>
      <c r="Z1544" t="str">
        <f t="shared" si="171"/>
        <v>Mar-2026</v>
      </c>
      <c r="AA1544" t="str">
        <f t="shared" si="172"/>
        <v>Q1 2026</v>
      </c>
      <c r="AB1544" s="4">
        <f t="shared" ca="1" si="173"/>
        <v>110</v>
      </c>
      <c r="AC1544" t="str">
        <f t="shared" si="174"/>
        <v>Medium</v>
      </c>
    </row>
    <row r="1545" spans="1:29">
      <c r="A1545" t="s">
        <v>5448</v>
      </c>
      <c r="B1545" s="2">
        <v>45755</v>
      </c>
      <c r="C1545" t="s">
        <v>1806</v>
      </c>
      <c r="D1545" t="s">
        <v>1148</v>
      </c>
      <c r="E1545" t="s">
        <v>5449</v>
      </c>
      <c r="F1545" t="s">
        <v>5450</v>
      </c>
      <c r="G1545" t="s">
        <v>34</v>
      </c>
      <c r="H1545" t="s">
        <v>160</v>
      </c>
      <c r="I1545" t="s">
        <v>187</v>
      </c>
      <c r="J1545" t="s">
        <v>62</v>
      </c>
      <c r="K1545" t="s">
        <v>51</v>
      </c>
      <c r="L1545" t="s">
        <v>72</v>
      </c>
      <c r="M1545" t="s">
        <v>53</v>
      </c>
      <c r="N1545" t="s">
        <v>54</v>
      </c>
      <c r="O1545" s="3">
        <v>425000</v>
      </c>
      <c r="P1545" s="4">
        <v>25</v>
      </c>
      <c r="Q1545" s="2">
        <v>45818</v>
      </c>
      <c r="R1545" s="2">
        <v>46236</v>
      </c>
      <c r="S1545" s="2">
        <v>45761</v>
      </c>
      <c r="T1545" s="2"/>
      <c r="U1545" t="str">
        <f t="shared" si="168"/>
        <v>No</v>
      </c>
      <c r="W15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5" t="str">
        <f t="shared" ca="1" si="169"/>
        <v>Due/Open</v>
      </c>
      <c r="Y1545" t="str">
        <f t="shared" si="170"/>
        <v>Open</v>
      </c>
      <c r="Z1545" t="str">
        <f t="shared" si="171"/>
        <v>Apr-2025</v>
      </c>
      <c r="AA1545" t="str">
        <f t="shared" si="172"/>
        <v>Q2 2025</v>
      </c>
      <c r="AB1545" s="4">
        <f t="shared" ca="1" si="173"/>
        <v>444</v>
      </c>
      <c r="AC1545" t="str">
        <f t="shared" si="174"/>
        <v>High</v>
      </c>
    </row>
    <row r="1546" spans="1:29">
      <c r="A1546" t="s">
        <v>5451</v>
      </c>
      <c r="B1546" s="2">
        <v>45948</v>
      </c>
      <c r="C1546" t="s">
        <v>230</v>
      </c>
      <c r="D1546" t="s">
        <v>565</v>
      </c>
      <c r="E1546" t="s">
        <v>5452</v>
      </c>
      <c r="F1546" t="s">
        <v>5453</v>
      </c>
      <c r="G1546" t="s">
        <v>69</v>
      </c>
      <c r="H1546" t="s">
        <v>285</v>
      </c>
      <c r="I1546" t="s">
        <v>123</v>
      </c>
      <c r="J1546" t="s">
        <v>131</v>
      </c>
      <c r="K1546" t="s">
        <v>38</v>
      </c>
      <c r="L1546" t="s">
        <v>63</v>
      </c>
      <c r="M1546" t="s">
        <v>133</v>
      </c>
      <c r="N1546" t="s">
        <v>134</v>
      </c>
      <c r="O1546" s="3">
        <v>100000</v>
      </c>
      <c r="P1546" s="4">
        <v>0</v>
      </c>
      <c r="Q1546" s="2">
        <v>46018</v>
      </c>
      <c r="R1546" s="2"/>
      <c r="S1546" s="2">
        <v>45957</v>
      </c>
      <c r="T1546" s="2">
        <v>46018</v>
      </c>
      <c r="U1546" t="str">
        <f t="shared" si="168"/>
        <v>No</v>
      </c>
      <c r="V1546" t="s">
        <v>135</v>
      </c>
      <c r="W15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1546" t="str">
        <f t="shared" ca="1" si="169"/>
        <v>Closed</v>
      </c>
      <c r="Y1546" t="str">
        <f t="shared" si="170"/>
        <v>Closed</v>
      </c>
      <c r="Z1546" t="str">
        <f t="shared" si="171"/>
        <v>Oct-2025</v>
      </c>
      <c r="AA1546" t="str">
        <f t="shared" si="172"/>
        <v>Q4 2025</v>
      </c>
      <c r="AB1546" s="4">
        <f t="shared" ca="1" si="173"/>
        <v>251</v>
      </c>
      <c r="AC1546" t="str">
        <f t="shared" si="174"/>
        <v>Low</v>
      </c>
    </row>
    <row r="1547" spans="1:29">
      <c r="A1547" t="s">
        <v>5454</v>
      </c>
      <c r="B1547" s="2">
        <v>45877</v>
      </c>
      <c r="C1547" t="s">
        <v>2542</v>
      </c>
      <c r="D1547" t="s">
        <v>1017</v>
      </c>
      <c r="E1547" t="s">
        <v>5455</v>
      </c>
      <c r="F1547" t="s">
        <v>5456</v>
      </c>
      <c r="G1547" t="s">
        <v>47</v>
      </c>
      <c r="H1547" t="s">
        <v>122</v>
      </c>
      <c r="I1547" t="s">
        <v>141</v>
      </c>
      <c r="J1547" t="s">
        <v>124</v>
      </c>
      <c r="K1547" t="s">
        <v>71</v>
      </c>
      <c r="L1547" t="s">
        <v>63</v>
      </c>
      <c r="M1547" t="s">
        <v>133</v>
      </c>
      <c r="N1547" t="s">
        <v>134</v>
      </c>
      <c r="O1547" s="3">
        <v>90000</v>
      </c>
      <c r="P1547" s="4">
        <v>0</v>
      </c>
      <c r="Q1547" s="2">
        <v>45948</v>
      </c>
      <c r="R1547" s="2"/>
      <c r="S1547" s="2">
        <v>45892</v>
      </c>
      <c r="T1547" s="2">
        <v>45948</v>
      </c>
      <c r="U1547" t="str">
        <f t="shared" si="168"/>
        <v>No</v>
      </c>
      <c r="V1547" t="s">
        <v>452</v>
      </c>
      <c r="W15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71</v>
      </c>
      <c r="X1547" t="str">
        <f t="shared" ca="1" si="169"/>
        <v>Closed</v>
      </c>
      <c r="Y1547" t="str">
        <f t="shared" si="170"/>
        <v>Closed</v>
      </c>
      <c r="Z1547" t="str">
        <f t="shared" si="171"/>
        <v>Aug-2025</v>
      </c>
      <c r="AA1547" t="str">
        <f t="shared" si="172"/>
        <v>Q3 2025</v>
      </c>
      <c r="AB1547" s="4">
        <f t="shared" ca="1" si="173"/>
        <v>322</v>
      </c>
      <c r="AC1547" t="str">
        <f t="shared" si="174"/>
        <v>Low</v>
      </c>
    </row>
    <row r="1548" spans="1:29">
      <c r="A1548" t="s">
        <v>5457</v>
      </c>
      <c r="B1548" s="2">
        <v>45889</v>
      </c>
      <c r="C1548" t="s">
        <v>346</v>
      </c>
      <c r="D1548" t="s">
        <v>1183</v>
      </c>
      <c r="E1548" t="s">
        <v>5458</v>
      </c>
      <c r="F1548" t="s">
        <v>5459</v>
      </c>
      <c r="G1548" t="s">
        <v>47</v>
      </c>
      <c r="H1548" t="s">
        <v>418</v>
      </c>
      <c r="I1548" t="s">
        <v>49</v>
      </c>
      <c r="J1548" t="s">
        <v>50</v>
      </c>
      <c r="K1548" t="s">
        <v>51</v>
      </c>
      <c r="L1548" t="s">
        <v>107</v>
      </c>
      <c r="M1548" t="s">
        <v>166</v>
      </c>
      <c r="N1548" t="s">
        <v>167</v>
      </c>
      <c r="O1548" s="3">
        <v>275000</v>
      </c>
      <c r="P1548" s="4">
        <v>65</v>
      </c>
      <c r="Q1548" s="2">
        <v>45918</v>
      </c>
      <c r="R1548" s="2">
        <v>46170</v>
      </c>
      <c r="S1548" s="2">
        <v>45904</v>
      </c>
      <c r="T1548" s="2"/>
      <c r="U1548" t="str">
        <f t="shared" si="168"/>
        <v>No</v>
      </c>
      <c r="W15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8" t="str">
        <f t="shared" ca="1" si="169"/>
        <v>Overdue</v>
      </c>
      <c r="Y1548" t="str">
        <f t="shared" si="170"/>
        <v>Open</v>
      </c>
      <c r="Z1548" t="str">
        <f t="shared" si="171"/>
        <v>Aug-2025</v>
      </c>
      <c r="AA1548" t="str">
        <f t="shared" si="172"/>
        <v>Q3 2025</v>
      </c>
      <c r="AB1548" s="4">
        <f t="shared" ca="1" si="173"/>
        <v>310</v>
      </c>
      <c r="AC1548" t="str">
        <f t="shared" si="174"/>
        <v>Medium</v>
      </c>
    </row>
    <row r="1549" spans="1:29">
      <c r="A1549" t="s">
        <v>5460</v>
      </c>
      <c r="B1549" s="2">
        <v>46154</v>
      </c>
      <c r="C1549" t="s">
        <v>5461</v>
      </c>
      <c r="D1549" t="s">
        <v>561</v>
      </c>
      <c r="E1549" t="s">
        <v>5462</v>
      </c>
      <c r="F1549" t="s">
        <v>5463</v>
      </c>
      <c r="G1549" t="s">
        <v>79</v>
      </c>
      <c r="H1549" t="s">
        <v>97</v>
      </c>
      <c r="I1549" t="s">
        <v>148</v>
      </c>
      <c r="J1549" t="s">
        <v>37</v>
      </c>
      <c r="K1549" t="s">
        <v>114</v>
      </c>
      <c r="L1549" t="s">
        <v>39</v>
      </c>
      <c r="M1549" t="s">
        <v>53</v>
      </c>
      <c r="N1549" t="s">
        <v>54</v>
      </c>
      <c r="O1549" s="3">
        <v>65000</v>
      </c>
      <c r="P1549" s="4">
        <v>25</v>
      </c>
      <c r="Q1549" s="2">
        <v>46201</v>
      </c>
      <c r="R1549" s="2">
        <v>46230</v>
      </c>
      <c r="S1549" s="2">
        <v>46162</v>
      </c>
      <c r="T1549" s="2"/>
      <c r="U1549" t="str">
        <f t="shared" si="168"/>
        <v>No</v>
      </c>
      <c r="W15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49" t="str">
        <f t="shared" ca="1" si="169"/>
        <v>Due/Open</v>
      </c>
      <c r="Y1549" t="str">
        <f t="shared" si="170"/>
        <v>Open</v>
      </c>
      <c r="Z1549" t="str">
        <f t="shared" si="171"/>
        <v>May-2026</v>
      </c>
      <c r="AA1549" t="str">
        <f t="shared" si="172"/>
        <v>Q2 2026</v>
      </c>
      <c r="AB1549" s="4">
        <f t="shared" ca="1" si="173"/>
        <v>45</v>
      </c>
      <c r="AC1549" t="str">
        <f t="shared" si="174"/>
        <v>Low</v>
      </c>
    </row>
    <row r="1550" spans="1:29">
      <c r="A1550" t="s">
        <v>5464</v>
      </c>
      <c r="B1550" s="2">
        <v>45804</v>
      </c>
      <c r="C1550" t="s">
        <v>788</v>
      </c>
      <c r="D1550" t="s">
        <v>547</v>
      </c>
      <c r="E1550" t="s">
        <v>5465</v>
      </c>
      <c r="F1550" t="s">
        <v>5466</v>
      </c>
      <c r="G1550" t="s">
        <v>69</v>
      </c>
      <c r="H1550" t="s">
        <v>285</v>
      </c>
      <c r="I1550" t="s">
        <v>123</v>
      </c>
      <c r="J1550" t="s">
        <v>50</v>
      </c>
      <c r="K1550" t="s">
        <v>194</v>
      </c>
      <c r="L1550" t="s">
        <v>72</v>
      </c>
      <c r="M1550" t="s">
        <v>40</v>
      </c>
      <c r="N1550" t="s">
        <v>41</v>
      </c>
      <c r="O1550" s="3">
        <v>375000</v>
      </c>
      <c r="P1550" s="4">
        <v>100</v>
      </c>
      <c r="Q1550" s="2">
        <v>45856</v>
      </c>
      <c r="R1550" s="2"/>
      <c r="S1550" s="2">
        <v>45822</v>
      </c>
      <c r="T1550" s="2">
        <v>45856</v>
      </c>
      <c r="U1550" t="str">
        <f t="shared" si="168"/>
        <v>Yes</v>
      </c>
      <c r="W155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1550" t="str">
        <f t="shared" ca="1" si="169"/>
        <v>Closed</v>
      </c>
      <c r="Y1550" t="str">
        <f t="shared" si="170"/>
        <v>Closed</v>
      </c>
      <c r="Z1550" t="str">
        <f t="shared" si="171"/>
        <v>May-2025</v>
      </c>
      <c r="AA1550" t="str">
        <f t="shared" si="172"/>
        <v>Q2 2025</v>
      </c>
      <c r="AB1550" s="4">
        <f t="shared" ca="1" si="173"/>
        <v>395</v>
      </c>
      <c r="AC1550" t="str">
        <f t="shared" si="174"/>
        <v>High</v>
      </c>
    </row>
    <row r="1551" spans="1:29">
      <c r="A1551" t="s">
        <v>5467</v>
      </c>
      <c r="B1551" s="2">
        <v>46051</v>
      </c>
      <c r="C1551" t="s">
        <v>3674</v>
      </c>
      <c r="D1551" t="s">
        <v>1600</v>
      </c>
      <c r="E1551" t="s">
        <v>5468</v>
      </c>
      <c r="F1551" t="s">
        <v>5469</v>
      </c>
      <c r="G1551" t="s">
        <v>34</v>
      </c>
      <c r="H1551" t="s">
        <v>160</v>
      </c>
      <c r="I1551" t="s">
        <v>141</v>
      </c>
      <c r="J1551" t="s">
        <v>124</v>
      </c>
      <c r="K1551" t="s">
        <v>194</v>
      </c>
      <c r="L1551" t="s">
        <v>39</v>
      </c>
      <c r="M1551" t="s">
        <v>53</v>
      </c>
      <c r="N1551" t="s">
        <v>54</v>
      </c>
      <c r="O1551" s="3">
        <v>120000</v>
      </c>
      <c r="P1551" s="4">
        <v>25</v>
      </c>
      <c r="Q1551" s="2">
        <v>46125</v>
      </c>
      <c r="R1551" s="2">
        <v>46156</v>
      </c>
      <c r="S1551" s="2">
        <v>46053</v>
      </c>
      <c r="T1551" s="2"/>
      <c r="U1551" t="str">
        <f t="shared" si="168"/>
        <v>No</v>
      </c>
      <c r="W15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1" t="str">
        <f t="shared" ca="1" si="169"/>
        <v>Overdue</v>
      </c>
      <c r="Y1551" t="str">
        <f t="shared" si="170"/>
        <v>Open</v>
      </c>
      <c r="Z1551" t="str">
        <f t="shared" si="171"/>
        <v>Jan-2026</v>
      </c>
      <c r="AA1551" t="str">
        <f t="shared" si="172"/>
        <v>Q1 2026</v>
      </c>
      <c r="AB1551" s="4">
        <f t="shared" ca="1" si="173"/>
        <v>148</v>
      </c>
      <c r="AC1551" t="str">
        <f t="shared" si="174"/>
        <v>Medium</v>
      </c>
    </row>
    <row r="1552" spans="1:29">
      <c r="A1552" t="s">
        <v>5470</v>
      </c>
      <c r="B1552" s="2">
        <v>45744</v>
      </c>
      <c r="C1552" t="s">
        <v>3222</v>
      </c>
      <c r="D1552" t="s">
        <v>366</v>
      </c>
      <c r="E1552" t="s">
        <v>5471</v>
      </c>
      <c r="F1552" t="s">
        <v>5472</v>
      </c>
      <c r="G1552" t="s">
        <v>69</v>
      </c>
      <c r="H1552" t="s">
        <v>200</v>
      </c>
      <c r="I1552" t="s">
        <v>98</v>
      </c>
      <c r="J1552" t="s">
        <v>37</v>
      </c>
      <c r="K1552" t="s">
        <v>38</v>
      </c>
      <c r="L1552" t="s">
        <v>154</v>
      </c>
      <c r="M1552" t="s">
        <v>116</v>
      </c>
      <c r="N1552" t="s">
        <v>54</v>
      </c>
      <c r="O1552" s="3">
        <v>70000</v>
      </c>
      <c r="P1552" s="4">
        <v>20</v>
      </c>
      <c r="Q1552" s="2">
        <v>45824</v>
      </c>
      <c r="R1552" s="2">
        <v>46211</v>
      </c>
      <c r="S1552" s="2">
        <v>45759</v>
      </c>
      <c r="T1552" s="2"/>
      <c r="U1552" t="str">
        <f t="shared" si="168"/>
        <v>No</v>
      </c>
      <c r="W15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2" t="str">
        <f t="shared" ca="1" si="169"/>
        <v>Due/Open</v>
      </c>
      <c r="Y1552" t="str">
        <f t="shared" si="170"/>
        <v>Open</v>
      </c>
      <c r="Z1552" t="str">
        <f t="shared" si="171"/>
        <v>Mar-2025</v>
      </c>
      <c r="AA1552" t="str">
        <f t="shared" si="172"/>
        <v>Q1 2025</v>
      </c>
      <c r="AB1552" s="4">
        <f t="shared" ca="1" si="173"/>
        <v>455</v>
      </c>
      <c r="AC1552" t="str">
        <f t="shared" si="174"/>
        <v>Low</v>
      </c>
    </row>
    <row r="1553" spans="1:29">
      <c r="A1553" t="s">
        <v>5473</v>
      </c>
      <c r="B1553" s="2">
        <v>45750</v>
      </c>
      <c r="C1553" t="s">
        <v>2340</v>
      </c>
      <c r="D1553" t="s">
        <v>44</v>
      </c>
      <c r="E1553" t="s">
        <v>5474</v>
      </c>
      <c r="F1553" t="s">
        <v>5475</v>
      </c>
      <c r="G1553" t="s">
        <v>47</v>
      </c>
      <c r="H1553" t="s">
        <v>48</v>
      </c>
      <c r="I1553" t="s">
        <v>187</v>
      </c>
      <c r="J1553" t="s">
        <v>124</v>
      </c>
      <c r="K1553" t="s">
        <v>114</v>
      </c>
      <c r="L1553" t="s">
        <v>63</v>
      </c>
      <c r="M1553" t="s">
        <v>116</v>
      </c>
      <c r="N1553" t="s">
        <v>54</v>
      </c>
      <c r="O1553" s="3">
        <v>200000</v>
      </c>
      <c r="P1553" s="4">
        <v>25</v>
      </c>
      <c r="Q1553" s="2">
        <v>45803</v>
      </c>
      <c r="R1553" s="2">
        <v>46169</v>
      </c>
      <c r="S1553" s="2">
        <v>45779</v>
      </c>
      <c r="T1553" s="2"/>
      <c r="U1553" t="str">
        <f t="shared" si="168"/>
        <v>No</v>
      </c>
      <c r="W15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3" t="str">
        <f t="shared" ca="1" si="169"/>
        <v>Overdue</v>
      </c>
      <c r="Y1553" t="str">
        <f t="shared" si="170"/>
        <v>Open</v>
      </c>
      <c r="Z1553" t="str">
        <f t="shared" si="171"/>
        <v>Apr-2025</v>
      </c>
      <c r="AA1553" t="str">
        <f t="shared" si="172"/>
        <v>Q2 2025</v>
      </c>
      <c r="AB1553" s="4">
        <f t="shared" ca="1" si="173"/>
        <v>449</v>
      </c>
      <c r="AC1553" t="str">
        <f t="shared" si="174"/>
        <v>Medium</v>
      </c>
    </row>
    <row r="1554" spans="1:29">
      <c r="A1554" t="s">
        <v>5476</v>
      </c>
      <c r="B1554" s="2">
        <v>45814</v>
      </c>
      <c r="C1554" t="s">
        <v>903</v>
      </c>
      <c r="D1554" t="s">
        <v>1717</v>
      </c>
      <c r="E1554" t="s">
        <v>5477</v>
      </c>
      <c r="F1554" t="s">
        <v>5478</v>
      </c>
      <c r="G1554" t="s">
        <v>179</v>
      </c>
      <c r="H1554" t="s">
        <v>436</v>
      </c>
      <c r="I1554" t="s">
        <v>141</v>
      </c>
      <c r="J1554" t="s">
        <v>124</v>
      </c>
      <c r="K1554" t="s">
        <v>38</v>
      </c>
      <c r="L1554" t="s">
        <v>154</v>
      </c>
      <c r="M1554" t="s">
        <v>116</v>
      </c>
      <c r="N1554" t="s">
        <v>54</v>
      </c>
      <c r="O1554" s="3">
        <v>140000</v>
      </c>
      <c r="P1554" s="4">
        <v>15</v>
      </c>
      <c r="Q1554" s="2">
        <v>45890</v>
      </c>
      <c r="R1554" s="2">
        <v>46184</v>
      </c>
      <c r="S1554" s="2">
        <v>45832</v>
      </c>
      <c r="T1554" s="2"/>
      <c r="U1554" t="str">
        <f t="shared" si="168"/>
        <v>No</v>
      </c>
      <c r="W15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4" t="str">
        <f t="shared" ca="1" si="169"/>
        <v>Overdue</v>
      </c>
      <c r="Y1554" t="str">
        <f t="shared" si="170"/>
        <v>Open</v>
      </c>
      <c r="Z1554" t="str">
        <f t="shared" si="171"/>
        <v>Jun-2025</v>
      </c>
      <c r="AA1554" t="str">
        <f t="shared" si="172"/>
        <v>Q2 2025</v>
      </c>
      <c r="AB1554" s="4">
        <f t="shared" ca="1" si="173"/>
        <v>385</v>
      </c>
      <c r="AC1554" t="str">
        <f t="shared" si="174"/>
        <v>Medium</v>
      </c>
    </row>
    <row r="1555" spans="1:29">
      <c r="A1555" t="s">
        <v>5479</v>
      </c>
      <c r="B1555" s="2">
        <v>46057</v>
      </c>
      <c r="C1555" t="s">
        <v>2669</v>
      </c>
      <c r="D1555" t="s">
        <v>1815</v>
      </c>
      <c r="E1555" t="s">
        <v>5480</v>
      </c>
      <c r="F1555" t="s">
        <v>5481</v>
      </c>
      <c r="G1555" t="s">
        <v>79</v>
      </c>
      <c r="H1555" t="s">
        <v>80</v>
      </c>
      <c r="I1555" t="s">
        <v>61</v>
      </c>
      <c r="J1555" t="s">
        <v>37</v>
      </c>
      <c r="K1555" t="s">
        <v>51</v>
      </c>
      <c r="L1555" t="s">
        <v>239</v>
      </c>
      <c r="M1555" t="s">
        <v>82</v>
      </c>
      <c r="N1555" t="s">
        <v>83</v>
      </c>
      <c r="O1555" s="3">
        <v>100000</v>
      </c>
      <c r="P1555" s="4">
        <v>10</v>
      </c>
      <c r="Q1555" s="2">
        <v>46145</v>
      </c>
      <c r="R1555" s="2">
        <v>46201</v>
      </c>
      <c r="S1555" s="2">
        <v>46068</v>
      </c>
      <c r="T1555" s="2"/>
      <c r="U1555" t="str">
        <f t="shared" si="168"/>
        <v>No</v>
      </c>
      <c r="W15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5" t="str">
        <f t="shared" ca="1" si="169"/>
        <v>Due/Open</v>
      </c>
      <c r="Y1555" t="str">
        <f t="shared" si="170"/>
        <v>Open</v>
      </c>
      <c r="Z1555" t="str">
        <f t="shared" si="171"/>
        <v>Feb-2026</v>
      </c>
      <c r="AA1555" t="str">
        <f t="shared" si="172"/>
        <v>Q1 2026</v>
      </c>
      <c r="AB1555" s="4">
        <f t="shared" ca="1" si="173"/>
        <v>142</v>
      </c>
      <c r="AC1555" t="str">
        <f t="shared" si="174"/>
        <v>Low</v>
      </c>
    </row>
    <row r="1556" spans="1:29">
      <c r="A1556" t="s">
        <v>5482</v>
      </c>
      <c r="B1556" s="2">
        <v>45673</v>
      </c>
      <c r="C1556" t="s">
        <v>2468</v>
      </c>
      <c r="D1556" t="s">
        <v>909</v>
      </c>
      <c r="E1556" t="s">
        <v>5483</v>
      </c>
      <c r="F1556" t="s">
        <v>5484</v>
      </c>
      <c r="G1556" t="s">
        <v>79</v>
      </c>
      <c r="H1556" t="s">
        <v>97</v>
      </c>
      <c r="I1556" t="s">
        <v>141</v>
      </c>
      <c r="J1556" t="s">
        <v>131</v>
      </c>
      <c r="K1556" t="s">
        <v>38</v>
      </c>
      <c r="L1556" t="s">
        <v>154</v>
      </c>
      <c r="M1556" t="s">
        <v>90</v>
      </c>
      <c r="N1556" t="s">
        <v>91</v>
      </c>
      <c r="O1556" s="3">
        <v>225000</v>
      </c>
      <c r="P1556" s="4">
        <v>50</v>
      </c>
      <c r="Q1556" s="2">
        <v>45742</v>
      </c>
      <c r="R1556" s="2">
        <v>46181</v>
      </c>
      <c r="S1556" s="2">
        <v>45687</v>
      </c>
      <c r="T1556" s="2"/>
      <c r="U1556" t="str">
        <f t="shared" si="168"/>
        <v>No</v>
      </c>
      <c r="W15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6" t="str">
        <f t="shared" ca="1" si="169"/>
        <v>Overdue</v>
      </c>
      <c r="Y1556" t="str">
        <f t="shared" si="170"/>
        <v>Open</v>
      </c>
      <c r="Z1556" t="str">
        <f t="shared" si="171"/>
        <v>Jan-2025</v>
      </c>
      <c r="AA1556" t="str">
        <f t="shared" si="172"/>
        <v>Q1 2025</v>
      </c>
      <c r="AB1556" s="4">
        <f t="shared" ca="1" si="173"/>
        <v>526</v>
      </c>
      <c r="AC1556" t="str">
        <f t="shared" si="174"/>
        <v>Medium</v>
      </c>
    </row>
    <row r="1557" spans="1:29">
      <c r="A1557" t="s">
        <v>5485</v>
      </c>
      <c r="B1557" s="2">
        <v>45674</v>
      </c>
      <c r="C1557" t="s">
        <v>1559</v>
      </c>
      <c r="D1557" t="s">
        <v>1081</v>
      </c>
      <c r="E1557" t="s">
        <v>5486</v>
      </c>
      <c r="F1557" t="s">
        <v>5487</v>
      </c>
      <c r="G1557" t="s">
        <v>34</v>
      </c>
      <c r="H1557" t="s">
        <v>35</v>
      </c>
      <c r="I1557" t="s">
        <v>123</v>
      </c>
      <c r="J1557" t="s">
        <v>124</v>
      </c>
      <c r="K1557" t="s">
        <v>38</v>
      </c>
      <c r="L1557" t="s">
        <v>115</v>
      </c>
      <c r="M1557" t="s">
        <v>73</v>
      </c>
      <c r="N1557" t="s">
        <v>73</v>
      </c>
      <c r="O1557" s="3">
        <v>135000</v>
      </c>
      <c r="P1557" s="4">
        <v>80</v>
      </c>
      <c r="Q1557" s="2">
        <v>45764</v>
      </c>
      <c r="R1557" s="2">
        <v>46188</v>
      </c>
      <c r="S1557" s="2">
        <v>45694</v>
      </c>
      <c r="T1557" s="2"/>
      <c r="U1557" t="str">
        <f t="shared" si="168"/>
        <v>No</v>
      </c>
      <c r="W15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7" t="str">
        <f t="shared" ca="1" si="169"/>
        <v>Overdue</v>
      </c>
      <c r="Y1557" t="str">
        <f t="shared" si="170"/>
        <v>Open</v>
      </c>
      <c r="Z1557" t="str">
        <f t="shared" si="171"/>
        <v>Jan-2025</v>
      </c>
      <c r="AA1557" t="str">
        <f t="shared" si="172"/>
        <v>Q1 2025</v>
      </c>
      <c r="AB1557" s="4">
        <f t="shared" ca="1" si="173"/>
        <v>525</v>
      </c>
      <c r="AC1557" t="str">
        <f t="shared" si="174"/>
        <v>Medium</v>
      </c>
    </row>
    <row r="1558" spans="1:29">
      <c r="A1558" t="s">
        <v>5488</v>
      </c>
      <c r="B1558" s="2">
        <v>46107</v>
      </c>
      <c r="C1558" t="s">
        <v>5489</v>
      </c>
      <c r="D1558" t="s">
        <v>231</v>
      </c>
      <c r="E1558" t="s">
        <v>5490</v>
      </c>
      <c r="F1558" t="s">
        <v>5491</v>
      </c>
      <c r="G1558" t="s">
        <v>34</v>
      </c>
      <c r="H1558" t="s">
        <v>446</v>
      </c>
      <c r="I1558" t="s">
        <v>49</v>
      </c>
      <c r="J1558" t="s">
        <v>50</v>
      </c>
      <c r="K1558" t="s">
        <v>71</v>
      </c>
      <c r="L1558" t="s">
        <v>125</v>
      </c>
      <c r="M1558" t="s">
        <v>166</v>
      </c>
      <c r="N1558" t="s">
        <v>167</v>
      </c>
      <c r="O1558" s="3">
        <v>370000</v>
      </c>
      <c r="P1558" s="4">
        <v>65</v>
      </c>
      <c r="Q1558" s="2">
        <v>46149</v>
      </c>
      <c r="R1558" s="2">
        <v>46229</v>
      </c>
      <c r="S1558" s="2">
        <v>46128</v>
      </c>
      <c r="T1558" s="2"/>
      <c r="U1558" t="str">
        <f t="shared" si="168"/>
        <v>No</v>
      </c>
      <c r="W15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58" t="str">
        <f t="shared" ca="1" si="169"/>
        <v>Due/Open</v>
      </c>
      <c r="Y1558" t="str">
        <f t="shared" si="170"/>
        <v>Open</v>
      </c>
      <c r="Z1558" t="str">
        <f t="shared" si="171"/>
        <v>Mar-2026</v>
      </c>
      <c r="AA1558" t="str">
        <f t="shared" si="172"/>
        <v>Q1 2026</v>
      </c>
      <c r="AB1558" s="4">
        <f t="shared" ca="1" si="173"/>
        <v>92</v>
      </c>
      <c r="AC1558" t="str">
        <f t="shared" si="174"/>
        <v>High</v>
      </c>
    </row>
    <row r="1559" spans="1:29">
      <c r="A1559" t="s">
        <v>5492</v>
      </c>
      <c r="B1559" s="2">
        <v>45991</v>
      </c>
      <c r="C1559" t="s">
        <v>5493</v>
      </c>
      <c r="D1559" t="s">
        <v>1017</v>
      </c>
      <c r="E1559" t="s">
        <v>5494</v>
      </c>
      <c r="F1559" t="s">
        <v>5495</v>
      </c>
      <c r="G1559" t="s">
        <v>69</v>
      </c>
      <c r="H1559" t="s">
        <v>193</v>
      </c>
      <c r="I1559" t="s">
        <v>141</v>
      </c>
      <c r="J1559" t="s">
        <v>50</v>
      </c>
      <c r="K1559" t="s">
        <v>194</v>
      </c>
      <c r="L1559" t="s">
        <v>52</v>
      </c>
      <c r="M1559" t="s">
        <v>210</v>
      </c>
      <c r="N1559" t="s">
        <v>134</v>
      </c>
      <c r="O1559" s="3">
        <v>450000</v>
      </c>
      <c r="P1559" s="4">
        <v>0</v>
      </c>
      <c r="Q1559" s="2">
        <v>46057</v>
      </c>
      <c r="R1559" s="2"/>
      <c r="S1559" s="2">
        <v>46006</v>
      </c>
      <c r="T1559" s="2">
        <v>46057</v>
      </c>
      <c r="U1559" t="str">
        <f t="shared" si="168"/>
        <v>No</v>
      </c>
      <c r="V1559" t="s">
        <v>211</v>
      </c>
      <c r="W15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66</v>
      </c>
      <c r="X1559" t="str">
        <f t="shared" ca="1" si="169"/>
        <v>Closed</v>
      </c>
      <c r="Y1559" t="str">
        <f t="shared" si="170"/>
        <v>Closed</v>
      </c>
      <c r="Z1559" t="str">
        <f t="shared" si="171"/>
        <v>Nov-2025</v>
      </c>
      <c r="AA1559" t="str">
        <f t="shared" si="172"/>
        <v>Q4 2025</v>
      </c>
      <c r="AB1559" s="4">
        <f t="shared" ca="1" si="173"/>
        <v>208</v>
      </c>
      <c r="AC1559" t="str">
        <f t="shared" si="174"/>
        <v>High</v>
      </c>
    </row>
    <row r="1560" spans="1:29">
      <c r="A1560" t="s">
        <v>5496</v>
      </c>
      <c r="B1560" s="2">
        <v>45893</v>
      </c>
      <c r="C1560" t="s">
        <v>511</v>
      </c>
      <c r="D1560" t="s">
        <v>552</v>
      </c>
      <c r="E1560" t="s">
        <v>5497</v>
      </c>
      <c r="F1560" t="s">
        <v>5498</v>
      </c>
      <c r="G1560" t="s">
        <v>69</v>
      </c>
      <c r="H1560" t="s">
        <v>193</v>
      </c>
      <c r="I1560" t="s">
        <v>141</v>
      </c>
      <c r="J1560" t="s">
        <v>124</v>
      </c>
      <c r="K1560" t="s">
        <v>194</v>
      </c>
      <c r="L1560" t="s">
        <v>63</v>
      </c>
      <c r="M1560" t="s">
        <v>90</v>
      </c>
      <c r="N1560" t="s">
        <v>91</v>
      </c>
      <c r="O1560" s="3">
        <v>125000</v>
      </c>
      <c r="P1560" s="4">
        <v>55</v>
      </c>
      <c r="Q1560" s="2">
        <v>45983</v>
      </c>
      <c r="R1560" s="2">
        <v>46171</v>
      </c>
      <c r="S1560" s="2">
        <v>45907</v>
      </c>
      <c r="T1560" s="2"/>
      <c r="U1560" t="str">
        <f t="shared" si="168"/>
        <v>No</v>
      </c>
      <c r="W15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0" t="str">
        <f t="shared" ca="1" si="169"/>
        <v>Overdue</v>
      </c>
      <c r="Y1560" t="str">
        <f t="shared" si="170"/>
        <v>Open</v>
      </c>
      <c r="Z1560" t="str">
        <f t="shared" si="171"/>
        <v>Aug-2025</v>
      </c>
      <c r="AA1560" t="str">
        <f t="shared" si="172"/>
        <v>Q3 2025</v>
      </c>
      <c r="AB1560" s="4">
        <f t="shared" ca="1" si="173"/>
        <v>306</v>
      </c>
      <c r="AC1560" t="str">
        <f t="shared" si="174"/>
        <v>Medium</v>
      </c>
    </row>
    <row r="1561" spans="1:29">
      <c r="A1561" t="s">
        <v>5499</v>
      </c>
      <c r="B1561" s="2">
        <v>46031</v>
      </c>
      <c r="C1561" t="s">
        <v>2648</v>
      </c>
      <c r="D1561" t="s">
        <v>1245</v>
      </c>
      <c r="E1561" t="s">
        <v>5500</v>
      </c>
      <c r="F1561" t="s">
        <v>5501</v>
      </c>
      <c r="G1561" t="s">
        <v>79</v>
      </c>
      <c r="H1561" t="s">
        <v>217</v>
      </c>
      <c r="I1561" t="s">
        <v>98</v>
      </c>
      <c r="J1561" t="s">
        <v>50</v>
      </c>
      <c r="K1561" t="s">
        <v>114</v>
      </c>
      <c r="L1561" t="s">
        <v>115</v>
      </c>
      <c r="M1561" t="s">
        <v>90</v>
      </c>
      <c r="N1561" t="s">
        <v>91</v>
      </c>
      <c r="O1561" s="3">
        <v>365000</v>
      </c>
      <c r="P1561" s="4">
        <v>55</v>
      </c>
      <c r="Q1561" s="2">
        <v>46101</v>
      </c>
      <c r="R1561" s="2">
        <v>46195</v>
      </c>
      <c r="S1561" s="2">
        <v>46057</v>
      </c>
      <c r="T1561" s="2"/>
      <c r="U1561" t="str">
        <f t="shared" si="168"/>
        <v>No</v>
      </c>
      <c r="W15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1" t="str">
        <f t="shared" ca="1" si="169"/>
        <v>Overdue</v>
      </c>
      <c r="Y1561" t="str">
        <f t="shared" si="170"/>
        <v>Open</v>
      </c>
      <c r="Z1561" t="str">
        <f t="shared" si="171"/>
        <v>Jan-2026</v>
      </c>
      <c r="AA1561" t="str">
        <f t="shared" si="172"/>
        <v>Q1 2026</v>
      </c>
      <c r="AB1561" s="4">
        <f t="shared" ca="1" si="173"/>
        <v>168</v>
      </c>
      <c r="AC1561" t="str">
        <f t="shared" si="174"/>
        <v>High</v>
      </c>
    </row>
    <row r="1562" spans="1:29">
      <c r="A1562" t="s">
        <v>5502</v>
      </c>
      <c r="B1562" s="2">
        <v>45943</v>
      </c>
      <c r="C1562" t="s">
        <v>1440</v>
      </c>
      <c r="D1562" t="s">
        <v>103</v>
      </c>
      <c r="E1562" t="s">
        <v>5503</v>
      </c>
      <c r="F1562" t="s">
        <v>5504</v>
      </c>
      <c r="G1562" t="s">
        <v>179</v>
      </c>
      <c r="H1562" t="s">
        <v>180</v>
      </c>
      <c r="I1562" t="s">
        <v>36</v>
      </c>
      <c r="J1562" t="s">
        <v>37</v>
      </c>
      <c r="K1562" t="s">
        <v>100</v>
      </c>
      <c r="L1562" t="s">
        <v>72</v>
      </c>
      <c r="M1562" t="s">
        <v>116</v>
      </c>
      <c r="N1562" t="s">
        <v>54</v>
      </c>
      <c r="O1562" s="3">
        <v>55000</v>
      </c>
      <c r="P1562" s="4">
        <v>20</v>
      </c>
      <c r="Q1562" s="2">
        <v>46001</v>
      </c>
      <c r="R1562" s="2">
        <v>46232</v>
      </c>
      <c r="S1562" s="2">
        <v>45952</v>
      </c>
      <c r="T1562" s="2"/>
      <c r="U1562" t="str">
        <f t="shared" si="168"/>
        <v>No</v>
      </c>
      <c r="W15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2" t="str">
        <f t="shared" ca="1" si="169"/>
        <v>Due/Open</v>
      </c>
      <c r="Y1562" t="str">
        <f t="shared" si="170"/>
        <v>Open</v>
      </c>
      <c r="Z1562" t="str">
        <f t="shared" si="171"/>
        <v>Oct-2025</v>
      </c>
      <c r="AA1562" t="str">
        <f t="shared" si="172"/>
        <v>Q4 2025</v>
      </c>
      <c r="AB1562" s="4">
        <f t="shared" ca="1" si="173"/>
        <v>256</v>
      </c>
      <c r="AC1562" t="str">
        <f t="shared" si="174"/>
        <v>Low</v>
      </c>
    </row>
    <row r="1563" spans="1:29">
      <c r="A1563" t="s">
        <v>5505</v>
      </c>
      <c r="B1563" s="2">
        <v>45972</v>
      </c>
      <c r="C1563" t="s">
        <v>1136</v>
      </c>
      <c r="D1563" t="s">
        <v>1072</v>
      </c>
      <c r="E1563" t="s">
        <v>5506</v>
      </c>
      <c r="F1563" t="s">
        <v>5507</v>
      </c>
      <c r="G1563" t="s">
        <v>34</v>
      </c>
      <c r="H1563" t="s">
        <v>173</v>
      </c>
      <c r="I1563" t="s">
        <v>123</v>
      </c>
      <c r="J1563" t="s">
        <v>62</v>
      </c>
      <c r="K1563" t="s">
        <v>71</v>
      </c>
      <c r="L1563" t="s">
        <v>63</v>
      </c>
      <c r="M1563" t="s">
        <v>166</v>
      </c>
      <c r="N1563" t="s">
        <v>167</v>
      </c>
      <c r="O1563" s="3">
        <v>445000</v>
      </c>
      <c r="P1563" s="4">
        <v>65</v>
      </c>
      <c r="Q1563" s="2">
        <v>46049</v>
      </c>
      <c r="R1563" s="2">
        <v>46185</v>
      </c>
      <c r="S1563" s="2">
        <v>45998</v>
      </c>
      <c r="T1563" s="2"/>
      <c r="U1563" t="str">
        <f t="shared" si="168"/>
        <v>No</v>
      </c>
      <c r="W15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3" t="str">
        <f t="shared" ca="1" si="169"/>
        <v>Overdue</v>
      </c>
      <c r="Y1563" t="str">
        <f t="shared" si="170"/>
        <v>Open</v>
      </c>
      <c r="Z1563" t="str">
        <f t="shared" si="171"/>
        <v>Nov-2025</v>
      </c>
      <c r="AA1563" t="str">
        <f t="shared" si="172"/>
        <v>Q4 2025</v>
      </c>
      <c r="AB1563" s="4">
        <f t="shared" ca="1" si="173"/>
        <v>227</v>
      </c>
      <c r="AC1563" t="str">
        <f t="shared" si="174"/>
        <v>High</v>
      </c>
    </row>
    <row r="1564" spans="1:29">
      <c r="A1564" t="s">
        <v>5508</v>
      </c>
      <c r="B1564" s="2">
        <v>45818</v>
      </c>
      <c r="C1564" t="s">
        <v>5509</v>
      </c>
      <c r="D1564" t="s">
        <v>433</v>
      </c>
      <c r="E1564" t="s">
        <v>5510</v>
      </c>
      <c r="F1564" t="s">
        <v>5511</v>
      </c>
      <c r="G1564" t="s">
        <v>69</v>
      </c>
      <c r="H1564" t="s">
        <v>200</v>
      </c>
      <c r="I1564" t="s">
        <v>36</v>
      </c>
      <c r="J1564" t="s">
        <v>131</v>
      </c>
      <c r="K1564" t="s">
        <v>114</v>
      </c>
      <c r="L1564" t="s">
        <v>63</v>
      </c>
      <c r="M1564" t="s">
        <v>166</v>
      </c>
      <c r="N1564" t="s">
        <v>167</v>
      </c>
      <c r="O1564" s="3">
        <v>360000</v>
      </c>
      <c r="P1564" s="4">
        <v>70</v>
      </c>
      <c r="Q1564" s="2">
        <v>45882</v>
      </c>
      <c r="R1564" s="2">
        <v>46228</v>
      </c>
      <c r="S1564" s="2">
        <v>45828</v>
      </c>
      <c r="T1564" s="2"/>
      <c r="U1564" t="str">
        <f t="shared" si="168"/>
        <v>No</v>
      </c>
      <c r="W15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4" t="str">
        <f t="shared" ca="1" si="169"/>
        <v>Due/Open</v>
      </c>
      <c r="Y1564" t="str">
        <f t="shared" si="170"/>
        <v>Open</v>
      </c>
      <c r="Z1564" t="str">
        <f t="shared" si="171"/>
        <v>Jun-2025</v>
      </c>
      <c r="AA1564" t="str">
        <f t="shared" si="172"/>
        <v>Q2 2025</v>
      </c>
      <c r="AB1564" s="4">
        <f t="shared" ca="1" si="173"/>
        <v>381</v>
      </c>
      <c r="AC1564" t="str">
        <f t="shared" si="174"/>
        <v>High</v>
      </c>
    </row>
    <row r="1565" spans="1:29">
      <c r="A1565" t="s">
        <v>5512</v>
      </c>
      <c r="B1565" s="2">
        <v>45753</v>
      </c>
      <c r="C1565" t="s">
        <v>2028</v>
      </c>
      <c r="D1565" t="s">
        <v>66</v>
      </c>
      <c r="E1565" t="s">
        <v>5513</v>
      </c>
      <c r="F1565" t="s">
        <v>5514</v>
      </c>
      <c r="G1565" t="s">
        <v>79</v>
      </c>
      <c r="H1565" t="s">
        <v>106</v>
      </c>
      <c r="I1565" t="s">
        <v>98</v>
      </c>
      <c r="J1565" t="s">
        <v>99</v>
      </c>
      <c r="K1565" t="s">
        <v>114</v>
      </c>
      <c r="L1565" t="s">
        <v>107</v>
      </c>
      <c r="M1565" t="s">
        <v>73</v>
      </c>
      <c r="N1565" t="s">
        <v>73</v>
      </c>
      <c r="O1565" s="3">
        <v>250000</v>
      </c>
      <c r="P1565" s="4">
        <v>75</v>
      </c>
      <c r="Q1565" s="2">
        <v>45835</v>
      </c>
      <c r="R1565" s="2">
        <v>46164</v>
      </c>
      <c r="S1565" s="2">
        <v>45769</v>
      </c>
      <c r="T1565" s="2"/>
      <c r="U1565" t="str">
        <f t="shared" si="168"/>
        <v>No</v>
      </c>
      <c r="W15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5" t="str">
        <f t="shared" ca="1" si="169"/>
        <v>Overdue</v>
      </c>
      <c r="Y1565" t="str">
        <f t="shared" si="170"/>
        <v>Open</v>
      </c>
      <c r="Z1565" t="str">
        <f t="shared" si="171"/>
        <v>Apr-2025</v>
      </c>
      <c r="AA1565" t="str">
        <f t="shared" si="172"/>
        <v>Q2 2025</v>
      </c>
      <c r="AB1565" s="4">
        <f t="shared" ca="1" si="173"/>
        <v>446</v>
      </c>
      <c r="AC1565" t="str">
        <f t="shared" si="174"/>
        <v>Medium</v>
      </c>
    </row>
    <row r="1566" spans="1:29">
      <c r="A1566" t="s">
        <v>5515</v>
      </c>
      <c r="B1566" s="2">
        <v>46172</v>
      </c>
      <c r="C1566" t="s">
        <v>2222</v>
      </c>
      <c r="D1566" t="s">
        <v>934</v>
      </c>
      <c r="E1566" t="s">
        <v>5516</v>
      </c>
      <c r="F1566" t="s">
        <v>5517</v>
      </c>
      <c r="G1566" t="s">
        <v>179</v>
      </c>
      <c r="H1566" t="s">
        <v>436</v>
      </c>
      <c r="I1566" t="s">
        <v>187</v>
      </c>
      <c r="J1566" t="s">
        <v>124</v>
      </c>
      <c r="K1566" t="s">
        <v>114</v>
      </c>
      <c r="L1566" t="s">
        <v>154</v>
      </c>
      <c r="M1566" t="s">
        <v>53</v>
      </c>
      <c r="N1566" t="s">
        <v>54</v>
      </c>
      <c r="O1566" s="3">
        <v>165000</v>
      </c>
      <c r="P1566" s="4">
        <v>30</v>
      </c>
      <c r="Q1566" s="2">
        <v>46231</v>
      </c>
      <c r="R1566" s="2">
        <v>46208</v>
      </c>
      <c r="S1566" s="2">
        <v>46189</v>
      </c>
      <c r="T1566" s="2"/>
      <c r="U1566" t="str">
        <f t="shared" si="168"/>
        <v>No</v>
      </c>
      <c r="W15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6" t="str">
        <f t="shared" ca="1" si="169"/>
        <v>Due/Open</v>
      </c>
      <c r="Y1566" t="str">
        <f t="shared" si="170"/>
        <v>Open</v>
      </c>
      <c r="Z1566" t="str">
        <f t="shared" si="171"/>
        <v>May-2026</v>
      </c>
      <c r="AA1566" t="str">
        <f t="shared" si="172"/>
        <v>Q2 2026</v>
      </c>
      <c r="AB1566" s="4">
        <f t="shared" ca="1" si="173"/>
        <v>27</v>
      </c>
      <c r="AC1566" t="str">
        <f t="shared" si="174"/>
        <v>Medium</v>
      </c>
    </row>
    <row r="1567" spans="1:29">
      <c r="A1567" t="s">
        <v>5518</v>
      </c>
      <c r="B1567" s="2">
        <v>46118</v>
      </c>
      <c r="C1567" t="s">
        <v>546</v>
      </c>
      <c r="D1567" t="s">
        <v>394</v>
      </c>
      <c r="E1567" t="s">
        <v>5519</v>
      </c>
      <c r="F1567" t="s">
        <v>5520</v>
      </c>
      <c r="G1567" t="s">
        <v>79</v>
      </c>
      <c r="H1567" t="s">
        <v>217</v>
      </c>
      <c r="I1567" t="s">
        <v>187</v>
      </c>
      <c r="J1567" t="s">
        <v>124</v>
      </c>
      <c r="K1567" t="s">
        <v>194</v>
      </c>
      <c r="L1567" t="s">
        <v>81</v>
      </c>
      <c r="M1567" t="s">
        <v>40</v>
      </c>
      <c r="N1567" t="s">
        <v>41</v>
      </c>
      <c r="O1567" s="3">
        <v>190000</v>
      </c>
      <c r="P1567" s="4">
        <v>100</v>
      </c>
      <c r="Q1567" s="2">
        <v>46195</v>
      </c>
      <c r="R1567" s="2"/>
      <c r="S1567" s="2">
        <v>46144</v>
      </c>
      <c r="T1567" s="2">
        <v>46195</v>
      </c>
      <c r="U1567" t="str">
        <f t="shared" si="168"/>
        <v>Yes</v>
      </c>
      <c r="W156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77</v>
      </c>
      <c r="X1567" t="str">
        <f t="shared" ca="1" si="169"/>
        <v>Closed</v>
      </c>
      <c r="Y1567" t="str">
        <f t="shared" si="170"/>
        <v>Closed</v>
      </c>
      <c r="Z1567" t="str">
        <f t="shared" si="171"/>
        <v>Apr-2026</v>
      </c>
      <c r="AA1567" t="str">
        <f t="shared" si="172"/>
        <v>Q2 2026</v>
      </c>
      <c r="AB1567" s="4">
        <f t="shared" ca="1" si="173"/>
        <v>81</v>
      </c>
      <c r="AC1567" t="str">
        <f t="shared" si="174"/>
        <v>Medium</v>
      </c>
    </row>
    <row r="1568" spans="1:29">
      <c r="A1568" t="s">
        <v>5521</v>
      </c>
      <c r="B1568" s="2">
        <v>46117</v>
      </c>
      <c r="C1568" t="s">
        <v>1559</v>
      </c>
      <c r="D1568" t="s">
        <v>1366</v>
      </c>
      <c r="E1568" t="s">
        <v>5522</v>
      </c>
      <c r="F1568" t="s">
        <v>5523</v>
      </c>
      <c r="G1568" t="s">
        <v>179</v>
      </c>
      <c r="H1568" t="s">
        <v>318</v>
      </c>
      <c r="I1568" t="s">
        <v>187</v>
      </c>
      <c r="J1568" t="s">
        <v>37</v>
      </c>
      <c r="K1568" t="s">
        <v>100</v>
      </c>
      <c r="L1568" t="s">
        <v>81</v>
      </c>
      <c r="M1568" t="s">
        <v>90</v>
      </c>
      <c r="N1568" t="s">
        <v>91</v>
      </c>
      <c r="O1568" s="3">
        <v>160000</v>
      </c>
      <c r="P1568" s="4">
        <v>50</v>
      </c>
      <c r="Q1568" s="2">
        <v>46169</v>
      </c>
      <c r="R1568" s="2">
        <v>46207</v>
      </c>
      <c r="S1568" s="2">
        <v>46120</v>
      </c>
      <c r="T1568" s="2"/>
      <c r="U1568" t="str">
        <f t="shared" si="168"/>
        <v>No</v>
      </c>
      <c r="W15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8" t="str">
        <f t="shared" ca="1" si="169"/>
        <v>Due/Open</v>
      </c>
      <c r="Y1568" t="str">
        <f t="shared" si="170"/>
        <v>Open</v>
      </c>
      <c r="Z1568" t="str">
        <f t="shared" si="171"/>
        <v>Apr-2026</v>
      </c>
      <c r="AA1568" t="str">
        <f t="shared" si="172"/>
        <v>Q2 2026</v>
      </c>
      <c r="AB1568" s="4">
        <f t="shared" ca="1" si="173"/>
        <v>82</v>
      </c>
      <c r="AC1568" t="str">
        <f t="shared" si="174"/>
        <v>Medium</v>
      </c>
    </row>
    <row r="1569" spans="1:29">
      <c r="A1569" t="s">
        <v>5524</v>
      </c>
      <c r="B1569" s="2">
        <v>46116</v>
      </c>
      <c r="C1569" t="s">
        <v>3636</v>
      </c>
      <c r="D1569" t="s">
        <v>645</v>
      </c>
      <c r="E1569" t="s">
        <v>5525</v>
      </c>
      <c r="F1569" t="s">
        <v>5526</v>
      </c>
      <c r="G1569" t="s">
        <v>47</v>
      </c>
      <c r="H1569" t="s">
        <v>122</v>
      </c>
      <c r="I1569" t="s">
        <v>123</v>
      </c>
      <c r="J1569" t="s">
        <v>62</v>
      </c>
      <c r="K1569" t="s">
        <v>194</v>
      </c>
      <c r="L1569" t="s">
        <v>142</v>
      </c>
      <c r="M1569" t="s">
        <v>82</v>
      </c>
      <c r="N1569" t="s">
        <v>83</v>
      </c>
      <c r="O1569" s="3">
        <v>410000</v>
      </c>
      <c r="P1569" s="4">
        <v>10</v>
      </c>
      <c r="Q1569" s="2">
        <v>46148</v>
      </c>
      <c r="R1569" s="2">
        <v>46203</v>
      </c>
      <c r="S1569" s="2">
        <v>46138</v>
      </c>
      <c r="T1569" s="2"/>
      <c r="U1569" t="str">
        <f t="shared" si="168"/>
        <v>No</v>
      </c>
      <c r="W15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69" t="str">
        <f t="shared" ca="1" si="169"/>
        <v>Due/Open</v>
      </c>
      <c r="Y1569" t="str">
        <f t="shared" si="170"/>
        <v>Open</v>
      </c>
      <c r="Z1569" t="str">
        <f t="shared" si="171"/>
        <v>Apr-2026</v>
      </c>
      <c r="AA1569" t="str">
        <f t="shared" si="172"/>
        <v>Q2 2026</v>
      </c>
      <c r="AB1569" s="4">
        <f t="shared" ca="1" si="173"/>
        <v>83</v>
      </c>
      <c r="AC1569" t="str">
        <f t="shared" si="174"/>
        <v>High</v>
      </c>
    </row>
    <row r="1570" spans="1:29">
      <c r="A1570" t="s">
        <v>5527</v>
      </c>
      <c r="B1570" s="2">
        <v>45910</v>
      </c>
      <c r="C1570" t="s">
        <v>1502</v>
      </c>
      <c r="D1570" t="s">
        <v>86</v>
      </c>
      <c r="E1570" t="s">
        <v>5528</v>
      </c>
      <c r="F1570" t="s">
        <v>5529</v>
      </c>
      <c r="G1570" t="s">
        <v>34</v>
      </c>
      <c r="H1570" t="s">
        <v>160</v>
      </c>
      <c r="I1570" t="s">
        <v>141</v>
      </c>
      <c r="J1570" t="s">
        <v>62</v>
      </c>
      <c r="K1570" t="s">
        <v>51</v>
      </c>
      <c r="L1570" t="s">
        <v>63</v>
      </c>
      <c r="M1570" t="s">
        <v>90</v>
      </c>
      <c r="N1570" t="s">
        <v>91</v>
      </c>
      <c r="O1570" s="3">
        <v>215000</v>
      </c>
      <c r="P1570" s="4">
        <v>55</v>
      </c>
      <c r="Q1570" s="2">
        <v>45946</v>
      </c>
      <c r="R1570" s="2">
        <v>46158</v>
      </c>
      <c r="S1570" s="2">
        <v>45911</v>
      </c>
      <c r="T1570" s="2"/>
      <c r="U1570" t="str">
        <f t="shared" si="168"/>
        <v>No</v>
      </c>
      <c r="W15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0" t="str">
        <f t="shared" ca="1" si="169"/>
        <v>Overdue</v>
      </c>
      <c r="Y1570" t="str">
        <f t="shared" si="170"/>
        <v>Open</v>
      </c>
      <c r="Z1570" t="str">
        <f t="shared" si="171"/>
        <v>Sep-2025</v>
      </c>
      <c r="AA1570" t="str">
        <f t="shared" si="172"/>
        <v>Q3 2025</v>
      </c>
      <c r="AB1570" s="4">
        <f t="shared" ca="1" si="173"/>
        <v>289</v>
      </c>
      <c r="AC1570" t="str">
        <f t="shared" si="174"/>
        <v>Medium</v>
      </c>
    </row>
    <row r="1571" spans="1:29">
      <c r="A1571" t="s">
        <v>5530</v>
      </c>
      <c r="B1571" s="2">
        <v>45721</v>
      </c>
      <c r="C1571" t="s">
        <v>5531</v>
      </c>
      <c r="D1571" t="s">
        <v>747</v>
      </c>
      <c r="E1571" t="s">
        <v>5532</v>
      </c>
      <c r="F1571" t="s">
        <v>5533</v>
      </c>
      <c r="G1571" t="s">
        <v>79</v>
      </c>
      <c r="H1571" t="s">
        <v>217</v>
      </c>
      <c r="I1571" t="s">
        <v>98</v>
      </c>
      <c r="J1571" t="s">
        <v>62</v>
      </c>
      <c r="K1571" t="s">
        <v>38</v>
      </c>
      <c r="L1571" t="s">
        <v>63</v>
      </c>
      <c r="M1571" t="s">
        <v>82</v>
      </c>
      <c r="N1571" t="s">
        <v>83</v>
      </c>
      <c r="O1571" s="3">
        <v>445000</v>
      </c>
      <c r="P1571" s="4">
        <v>5</v>
      </c>
      <c r="Q1571" s="2">
        <v>45776</v>
      </c>
      <c r="R1571" s="2">
        <v>46203</v>
      </c>
      <c r="S1571" s="2">
        <v>45725</v>
      </c>
      <c r="T1571" s="2"/>
      <c r="U1571" t="str">
        <f t="shared" si="168"/>
        <v>No</v>
      </c>
      <c r="W15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1" t="str">
        <f t="shared" ca="1" si="169"/>
        <v>Due/Open</v>
      </c>
      <c r="Y1571" t="str">
        <f t="shared" si="170"/>
        <v>Open</v>
      </c>
      <c r="Z1571" t="str">
        <f t="shared" si="171"/>
        <v>Mar-2025</v>
      </c>
      <c r="AA1571" t="str">
        <f t="shared" si="172"/>
        <v>Q1 2025</v>
      </c>
      <c r="AB1571" s="4">
        <f t="shared" ca="1" si="173"/>
        <v>478</v>
      </c>
      <c r="AC1571" t="str">
        <f t="shared" si="174"/>
        <v>High</v>
      </c>
    </row>
    <row r="1572" spans="1:29">
      <c r="A1572" t="s">
        <v>5534</v>
      </c>
      <c r="B1572" s="2">
        <v>45759</v>
      </c>
      <c r="C1572" t="s">
        <v>4135</v>
      </c>
      <c r="D1572" t="s">
        <v>443</v>
      </c>
      <c r="E1572" t="s">
        <v>5535</v>
      </c>
      <c r="F1572" t="s">
        <v>5536</v>
      </c>
      <c r="G1572" t="s">
        <v>69</v>
      </c>
      <c r="H1572" t="s">
        <v>193</v>
      </c>
      <c r="I1572" t="s">
        <v>141</v>
      </c>
      <c r="J1572" t="s">
        <v>99</v>
      </c>
      <c r="K1572" t="s">
        <v>114</v>
      </c>
      <c r="L1572" t="s">
        <v>239</v>
      </c>
      <c r="M1572" t="s">
        <v>90</v>
      </c>
      <c r="N1572" t="s">
        <v>91</v>
      </c>
      <c r="O1572" s="3">
        <v>320000</v>
      </c>
      <c r="P1572" s="4">
        <v>50</v>
      </c>
      <c r="Q1572" s="2">
        <v>45798</v>
      </c>
      <c r="R1572" s="2">
        <v>46208</v>
      </c>
      <c r="S1572" s="2">
        <v>45771</v>
      </c>
      <c r="T1572" s="2"/>
      <c r="U1572" t="str">
        <f t="shared" si="168"/>
        <v>No</v>
      </c>
      <c r="W15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2" t="str">
        <f t="shared" ca="1" si="169"/>
        <v>Due/Open</v>
      </c>
      <c r="Y1572" t="str">
        <f t="shared" si="170"/>
        <v>Open</v>
      </c>
      <c r="Z1572" t="str">
        <f t="shared" si="171"/>
        <v>Apr-2025</v>
      </c>
      <c r="AA1572" t="str">
        <f t="shared" si="172"/>
        <v>Q2 2025</v>
      </c>
      <c r="AB1572" s="4">
        <f t="shared" ca="1" si="173"/>
        <v>440</v>
      </c>
      <c r="AC1572" t="str">
        <f t="shared" si="174"/>
        <v>High</v>
      </c>
    </row>
    <row r="1573" spans="1:29">
      <c r="A1573" t="s">
        <v>5537</v>
      </c>
      <c r="B1573" s="2">
        <v>45674</v>
      </c>
      <c r="C1573" t="s">
        <v>1932</v>
      </c>
      <c r="D1573" t="s">
        <v>31</v>
      </c>
      <c r="E1573" t="s">
        <v>2971</v>
      </c>
      <c r="F1573" t="s">
        <v>5538</v>
      </c>
      <c r="G1573" t="s">
        <v>34</v>
      </c>
      <c r="H1573" t="s">
        <v>238</v>
      </c>
      <c r="I1573" t="s">
        <v>123</v>
      </c>
      <c r="J1573" t="s">
        <v>99</v>
      </c>
      <c r="K1573" t="s">
        <v>194</v>
      </c>
      <c r="L1573" t="s">
        <v>72</v>
      </c>
      <c r="M1573" t="s">
        <v>90</v>
      </c>
      <c r="N1573" t="s">
        <v>91</v>
      </c>
      <c r="O1573" s="3">
        <v>185000</v>
      </c>
      <c r="P1573" s="4">
        <v>55</v>
      </c>
      <c r="Q1573" s="2">
        <v>45719</v>
      </c>
      <c r="R1573" s="2">
        <v>46191</v>
      </c>
      <c r="S1573" s="2">
        <v>45687</v>
      </c>
      <c r="T1573" s="2"/>
      <c r="U1573" t="str">
        <f t="shared" si="168"/>
        <v>No</v>
      </c>
      <c r="W15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3" t="str">
        <f t="shared" ca="1" si="169"/>
        <v>Overdue</v>
      </c>
      <c r="Y1573" t="str">
        <f t="shared" si="170"/>
        <v>Open</v>
      </c>
      <c r="Z1573" t="str">
        <f t="shared" si="171"/>
        <v>Jan-2025</v>
      </c>
      <c r="AA1573" t="str">
        <f t="shared" si="172"/>
        <v>Q1 2025</v>
      </c>
      <c r="AB1573" s="4">
        <f t="shared" ca="1" si="173"/>
        <v>525</v>
      </c>
      <c r="AC1573" t="str">
        <f t="shared" si="174"/>
        <v>Medium</v>
      </c>
    </row>
    <row r="1574" spans="1:29">
      <c r="A1574" t="s">
        <v>5539</v>
      </c>
      <c r="B1574" s="2">
        <v>45732</v>
      </c>
      <c r="C1574" t="s">
        <v>256</v>
      </c>
      <c r="D1574" t="s">
        <v>337</v>
      </c>
      <c r="E1574" t="s">
        <v>5540</v>
      </c>
      <c r="F1574" t="s">
        <v>5541</v>
      </c>
      <c r="G1574" t="s">
        <v>69</v>
      </c>
      <c r="H1574" t="s">
        <v>312</v>
      </c>
      <c r="I1574" t="s">
        <v>141</v>
      </c>
      <c r="J1574" t="s">
        <v>62</v>
      </c>
      <c r="K1574" t="s">
        <v>71</v>
      </c>
      <c r="L1574" t="s">
        <v>72</v>
      </c>
      <c r="M1574" t="s">
        <v>90</v>
      </c>
      <c r="N1574" t="s">
        <v>91</v>
      </c>
      <c r="O1574" s="3">
        <v>140000</v>
      </c>
      <c r="P1574" s="4">
        <v>55</v>
      </c>
      <c r="Q1574" s="2">
        <v>45788</v>
      </c>
      <c r="R1574" s="2">
        <v>46240</v>
      </c>
      <c r="S1574" s="2">
        <v>45742</v>
      </c>
      <c r="T1574" s="2"/>
      <c r="U1574" t="str">
        <f t="shared" si="168"/>
        <v>No</v>
      </c>
      <c r="W15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4" t="str">
        <f t="shared" ca="1" si="169"/>
        <v>Due/Open</v>
      </c>
      <c r="Y1574" t="str">
        <f t="shared" si="170"/>
        <v>Open</v>
      </c>
      <c r="Z1574" t="str">
        <f t="shared" si="171"/>
        <v>Mar-2025</v>
      </c>
      <c r="AA1574" t="str">
        <f t="shared" si="172"/>
        <v>Q1 2025</v>
      </c>
      <c r="AB1574" s="4">
        <f t="shared" ca="1" si="173"/>
        <v>467</v>
      </c>
      <c r="AC1574" t="str">
        <f t="shared" si="174"/>
        <v>Medium</v>
      </c>
    </row>
    <row r="1575" spans="1:29">
      <c r="A1575" t="s">
        <v>5542</v>
      </c>
      <c r="B1575" s="2">
        <v>45869</v>
      </c>
      <c r="C1575" t="s">
        <v>5543</v>
      </c>
      <c r="D1575" t="s">
        <v>1093</v>
      </c>
      <c r="E1575" t="s">
        <v>5544</v>
      </c>
      <c r="F1575" t="s">
        <v>5545</v>
      </c>
      <c r="G1575" t="s">
        <v>79</v>
      </c>
      <c r="H1575" t="s">
        <v>260</v>
      </c>
      <c r="I1575" t="s">
        <v>141</v>
      </c>
      <c r="J1575" t="s">
        <v>99</v>
      </c>
      <c r="K1575" t="s">
        <v>194</v>
      </c>
      <c r="L1575" t="s">
        <v>63</v>
      </c>
      <c r="M1575" t="s">
        <v>116</v>
      </c>
      <c r="N1575" t="s">
        <v>54</v>
      </c>
      <c r="O1575" s="3">
        <v>170000</v>
      </c>
      <c r="P1575" s="4">
        <v>15</v>
      </c>
      <c r="Q1575" s="2">
        <v>45911</v>
      </c>
      <c r="R1575" s="2">
        <v>46159</v>
      </c>
      <c r="S1575" s="2">
        <v>45876</v>
      </c>
      <c r="T1575" s="2"/>
      <c r="U1575" t="str">
        <f t="shared" si="168"/>
        <v>No</v>
      </c>
      <c r="W15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5" t="str">
        <f t="shared" ca="1" si="169"/>
        <v>Overdue</v>
      </c>
      <c r="Y1575" t="str">
        <f t="shared" si="170"/>
        <v>Open</v>
      </c>
      <c r="Z1575" t="str">
        <f t="shared" si="171"/>
        <v>Jul-2025</v>
      </c>
      <c r="AA1575" t="str">
        <f t="shared" si="172"/>
        <v>Q3 2025</v>
      </c>
      <c r="AB1575" s="4">
        <f t="shared" ca="1" si="173"/>
        <v>330</v>
      </c>
      <c r="AC1575" t="str">
        <f t="shared" si="174"/>
        <v>Medium</v>
      </c>
    </row>
    <row r="1576" spans="1:29">
      <c r="A1576" t="s">
        <v>5546</v>
      </c>
      <c r="B1576" s="2">
        <v>45986</v>
      </c>
      <c r="C1576" t="s">
        <v>856</v>
      </c>
      <c r="D1576" t="s">
        <v>128</v>
      </c>
      <c r="E1576" t="s">
        <v>5547</v>
      </c>
      <c r="F1576" t="s">
        <v>5548</v>
      </c>
      <c r="G1576" t="s">
        <v>34</v>
      </c>
      <c r="H1576" t="s">
        <v>160</v>
      </c>
      <c r="I1576" t="s">
        <v>36</v>
      </c>
      <c r="J1576" t="s">
        <v>62</v>
      </c>
      <c r="K1576" t="s">
        <v>51</v>
      </c>
      <c r="L1576" t="s">
        <v>72</v>
      </c>
      <c r="M1576" t="s">
        <v>73</v>
      </c>
      <c r="N1576" t="s">
        <v>73</v>
      </c>
      <c r="O1576" s="3">
        <v>280000</v>
      </c>
      <c r="P1576" s="4">
        <v>75</v>
      </c>
      <c r="Q1576" s="2">
        <v>46075</v>
      </c>
      <c r="R1576" s="2">
        <v>46180</v>
      </c>
      <c r="S1576" s="2">
        <v>45994</v>
      </c>
      <c r="T1576" s="2"/>
      <c r="U1576" t="str">
        <f t="shared" si="168"/>
        <v>No</v>
      </c>
      <c r="W15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6" t="str">
        <f t="shared" ca="1" si="169"/>
        <v>Overdue</v>
      </c>
      <c r="Y1576" t="str">
        <f t="shared" si="170"/>
        <v>Open</v>
      </c>
      <c r="Z1576" t="str">
        <f t="shared" si="171"/>
        <v>Nov-2025</v>
      </c>
      <c r="AA1576" t="str">
        <f t="shared" si="172"/>
        <v>Q4 2025</v>
      </c>
      <c r="AB1576" s="4">
        <f t="shared" ca="1" si="173"/>
        <v>213</v>
      </c>
      <c r="AC1576" t="str">
        <f t="shared" si="174"/>
        <v>Medium</v>
      </c>
    </row>
    <row r="1577" spans="1:29">
      <c r="A1577" t="s">
        <v>5549</v>
      </c>
      <c r="B1577" s="2">
        <v>46178</v>
      </c>
      <c r="C1577" t="s">
        <v>3048</v>
      </c>
      <c r="D1577" t="s">
        <v>352</v>
      </c>
      <c r="E1577" t="s">
        <v>5550</v>
      </c>
      <c r="F1577" t="s">
        <v>5551</v>
      </c>
      <c r="G1577" t="s">
        <v>47</v>
      </c>
      <c r="H1577" t="s">
        <v>493</v>
      </c>
      <c r="I1577" t="s">
        <v>36</v>
      </c>
      <c r="J1577" t="s">
        <v>37</v>
      </c>
      <c r="K1577" t="s">
        <v>51</v>
      </c>
      <c r="L1577" t="s">
        <v>52</v>
      </c>
      <c r="M1577" t="s">
        <v>116</v>
      </c>
      <c r="N1577" t="s">
        <v>54</v>
      </c>
      <c r="O1577" s="3">
        <v>135000</v>
      </c>
      <c r="P1577" s="4">
        <v>25</v>
      </c>
      <c r="Q1577" s="2">
        <v>46220</v>
      </c>
      <c r="R1577" s="2">
        <v>46166</v>
      </c>
      <c r="S1577" s="2">
        <v>46196</v>
      </c>
      <c r="T1577" s="2"/>
      <c r="U1577" t="str">
        <f t="shared" si="168"/>
        <v>No</v>
      </c>
      <c r="W15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7" t="str">
        <f t="shared" ca="1" si="169"/>
        <v>Overdue</v>
      </c>
      <c r="Y1577" t="str">
        <f t="shared" si="170"/>
        <v>Open</v>
      </c>
      <c r="Z1577" t="str">
        <f t="shared" si="171"/>
        <v>Jun-2026</v>
      </c>
      <c r="AA1577" t="str">
        <f t="shared" si="172"/>
        <v>Q2 2026</v>
      </c>
      <c r="AB1577" s="4">
        <f t="shared" ca="1" si="173"/>
        <v>21</v>
      </c>
      <c r="AC1577" t="str">
        <f t="shared" si="174"/>
        <v>Medium</v>
      </c>
    </row>
    <row r="1578" spans="1:29">
      <c r="A1578" t="s">
        <v>5552</v>
      </c>
      <c r="B1578" s="2">
        <v>45753</v>
      </c>
      <c r="C1578" t="s">
        <v>1411</v>
      </c>
      <c r="D1578" t="s">
        <v>86</v>
      </c>
      <c r="E1578" t="s">
        <v>5553</v>
      </c>
      <c r="F1578" t="s">
        <v>5554</v>
      </c>
      <c r="G1578" t="s">
        <v>47</v>
      </c>
      <c r="H1578" t="s">
        <v>89</v>
      </c>
      <c r="I1578" t="s">
        <v>49</v>
      </c>
      <c r="J1578" t="s">
        <v>99</v>
      </c>
      <c r="K1578" t="s">
        <v>194</v>
      </c>
      <c r="L1578" t="s">
        <v>132</v>
      </c>
      <c r="M1578" t="s">
        <v>166</v>
      </c>
      <c r="N1578" t="s">
        <v>167</v>
      </c>
      <c r="O1578" s="3">
        <v>615000</v>
      </c>
      <c r="P1578" s="4">
        <v>70</v>
      </c>
      <c r="Q1578" s="2">
        <v>45839</v>
      </c>
      <c r="R1578" s="2">
        <v>46200</v>
      </c>
      <c r="S1578" s="2">
        <v>45777</v>
      </c>
      <c r="T1578" s="2"/>
      <c r="U1578" t="str">
        <f t="shared" si="168"/>
        <v>No</v>
      </c>
      <c r="W15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8" t="str">
        <f t="shared" ca="1" si="169"/>
        <v>Due/Open</v>
      </c>
      <c r="Y1578" t="str">
        <f t="shared" si="170"/>
        <v>Open</v>
      </c>
      <c r="Z1578" t="str">
        <f t="shared" si="171"/>
        <v>Apr-2025</v>
      </c>
      <c r="AA1578" t="str">
        <f t="shared" si="172"/>
        <v>Q2 2025</v>
      </c>
      <c r="AB1578" s="4">
        <f t="shared" ca="1" si="173"/>
        <v>446</v>
      </c>
      <c r="AC1578" t="str">
        <f t="shared" si="174"/>
        <v>High</v>
      </c>
    </row>
    <row r="1579" spans="1:29">
      <c r="A1579" t="s">
        <v>5555</v>
      </c>
      <c r="B1579" s="2">
        <v>45769</v>
      </c>
      <c r="C1579" t="s">
        <v>2529</v>
      </c>
      <c r="D1579" t="s">
        <v>1098</v>
      </c>
      <c r="E1579" t="s">
        <v>5556</v>
      </c>
      <c r="F1579" t="s">
        <v>5557</v>
      </c>
      <c r="G1579" t="s">
        <v>79</v>
      </c>
      <c r="H1579" t="s">
        <v>260</v>
      </c>
      <c r="I1579" t="s">
        <v>49</v>
      </c>
      <c r="J1579" t="s">
        <v>50</v>
      </c>
      <c r="K1579" t="s">
        <v>100</v>
      </c>
      <c r="L1579" t="s">
        <v>81</v>
      </c>
      <c r="M1579" t="s">
        <v>166</v>
      </c>
      <c r="N1579" t="s">
        <v>167</v>
      </c>
      <c r="O1579" s="3">
        <v>220000</v>
      </c>
      <c r="P1579" s="4">
        <v>70</v>
      </c>
      <c r="Q1579" s="2">
        <v>45860</v>
      </c>
      <c r="R1579" s="2">
        <v>46232</v>
      </c>
      <c r="S1579" s="2">
        <v>45789</v>
      </c>
      <c r="T1579" s="2"/>
      <c r="U1579" t="str">
        <f t="shared" si="168"/>
        <v>No</v>
      </c>
      <c r="W15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79" t="str">
        <f t="shared" ca="1" si="169"/>
        <v>Due/Open</v>
      </c>
      <c r="Y1579" t="str">
        <f t="shared" si="170"/>
        <v>Open</v>
      </c>
      <c r="Z1579" t="str">
        <f t="shared" si="171"/>
        <v>Apr-2025</v>
      </c>
      <c r="AA1579" t="str">
        <f t="shared" si="172"/>
        <v>Q2 2025</v>
      </c>
      <c r="AB1579" s="4">
        <f t="shared" ca="1" si="173"/>
        <v>430</v>
      </c>
      <c r="AC1579" t="str">
        <f t="shared" si="174"/>
        <v>Medium</v>
      </c>
    </row>
    <row r="1580" spans="1:29">
      <c r="A1580" t="s">
        <v>5558</v>
      </c>
      <c r="B1580" s="2">
        <v>45728</v>
      </c>
      <c r="C1580" t="s">
        <v>516</v>
      </c>
      <c r="D1580" t="s">
        <v>914</v>
      </c>
      <c r="E1580" t="s">
        <v>5559</v>
      </c>
      <c r="F1580" t="s">
        <v>5560</v>
      </c>
      <c r="G1580" t="s">
        <v>69</v>
      </c>
      <c r="H1580" t="s">
        <v>70</v>
      </c>
      <c r="I1580" t="s">
        <v>61</v>
      </c>
      <c r="J1580" t="s">
        <v>124</v>
      </c>
      <c r="K1580" t="s">
        <v>71</v>
      </c>
      <c r="L1580" t="s">
        <v>52</v>
      </c>
      <c r="M1580" t="s">
        <v>73</v>
      </c>
      <c r="N1580" t="s">
        <v>73</v>
      </c>
      <c r="O1580" s="3">
        <v>225000</v>
      </c>
      <c r="P1580" s="4">
        <v>80</v>
      </c>
      <c r="Q1580" s="2">
        <v>45795</v>
      </c>
      <c r="R1580" s="2">
        <v>46234</v>
      </c>
      <c r="S1580" s="2">
        <v>45733</v>
      </c>
      <c r="T1580" s="2"/>
      <c r="U1580" t="str">
        <f t="shared" si="168"/>
        <v>No</v>
      </c>
      <c r="W15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0" t="str">
        <f t="shared" ca="1" si="169"/>
        <v>Due/Open</v>
      </c>
      <c r="Y1580" t="str">
        <f t="shared" si="170"/>
        <v>Open</v>
      </c>
      <c r="Z1580" t="str">
        <f t="shared" si="171"/>
        <v>Mar-2025</v>
      </c>
      <c r="AA1580" t="str">
        <f t="shared" si="172"/>
        <v>Q1 2025</v>
      </c>
      <c r="AB1580" s="4">
        <f t="shared" ca="1" si="173"/>
        <v>471</v>
      </c>
      <c r="AC1580" t="str">
        <f t="shared" si="174"/>
        <v>Medium</v>
      </c>
    </row>
    <row r="1581" spans="1:29">
      <c r="A1581" t="s">
        <v>5561</v>
      </c>
      <c r="B1581" s="2">
        <v>45847</v>
      </c>
      <c r="C1581" t="s">
        <v>182</v>
      </c>
      <c r="D1581" t="s">
        <v>490</v>
      </c>
      <c r="E1581" t="s">
        <v>5562</v>
      </c>
      <c r="F1581" t="s">
        <v>5563</v>
      </c>
      <c r="G1581" t="s">
        <v>34</v>
      </c>
      <c r="H1581" t="s">
        <v>35</v>
      </c>
      <c r="I1581" t="s">
        <v>36</v>
      </c>
      <c r="J1581" t="s">
        <v>62</v>
      </c>
      <c r="K1581" t="s">
        <v>38</v>
      </c>
      <c r="L1581" t="s">
        <v>132</v>
      </c>
      <c r="M1581" t="s">
        <v>133</v>
      </c>
      <c r="N1581" t="s">
        <v>134</v>
      </c>
      <c r="O1581" s="3">
        <v>415000</v>
      </c>
      <c r="P1581" s="4">
        <v>0</v>
      </c>
      <c r="Q1581" s="2">
        <v>45878</v>
      </c>
      <c r="R1581" s="2"/>
      <c r="S1581" s="2">
        <v>45862</v>
      </c>
      <c r="T1581" s="2">
        <v>45878</v>
      </c>
      <c r="U1581" t="str">
        <f t="shared" si="168"/>
        <v>No</v>
      </c>
      <c r="V1581" t="s">
        <v>276</v>
      </c>
      <c r="W158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581" t="str">
        <f t="shared" ca="1" si="169"/>
        <v>Closed</v>
      </c>
      <c r="Y1581" t="str">
        <f t="shared" si="170"/>
        <v>Closed</v>
      </c>
      <c r="Z1581" t="str">
        <f t="shared" si="171"/>
        <v>Jul-2025</v>
      </c>
      <c r="AA1581" t="str">
        <f t="shared" si="172"/>
        <v>Q3 2025</v>
      </c>
      <c r="AB1581" s="4">
        <f t="shared" ca="1" si="173"/>
        <v>352</v>
      </c>
      <c r="AC1581" t="str">
        <f t="shared" si="174"/>
        <v>High</v>
      </c>
    </row>
    <row r="1582" spans="1:29">
      <c r="A1582" t="s">
        <v>5564</v>
      </c>
      <c r="B1582" s="2">
        <v>45675</v>
      </c>
      <c r="C1582" t="s">
        <v>610</v>
      </c>
      <c r="D1582" t="s">
        <v>1717</v>
      </c>
      <c r="E1582" t="s">
        <v>5565</v>
      </c>
      <c r="F1582" t="s">
        <v>5566</v>
      </c>
      <c r="G1582" t="s">
        <v>34</v>
      </c>
      <c r="H1582" t="s">
        <v>160</v>
      </c>
      <c r="I1582" t="s">
        <v>98</v>
      </c>
      <c r="J1582" t="s">
        <v>124</v>
      </c>
      <c r="K1582" t="s">
        <v>51</v>
      </c>
      <c r="L1582" t="s">
        <v>39</v>
      </c>
      <c r="M1582" t="s">
        <v>53</v>
      </c>
      <c r="N1582" t="s">
        <v>54</v>
      </c>
      <c r="O1582" s="3">
        <v>85000</v>
      </c>
      <c r="P1582" s="4">
        <v>35</v>
      </c>
      <c r="Q1582" s="2">
        <v>45733</v>
      </c>
      <c r="R1582" s="2">
        <v>46235</v>
      </c>
      <c r="S1582" s="2">
        <v>45697</v>
      </c>
      <c r="T1582" s="2"/>
      <c r="U1582" t="str">
        <f t="shared" si="168"/>
        <v>No</v>
      </c>
      <c r="W15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2" t="str">
        <f t="shared" ca="1" si="169"/>
        <v>Due/Open</v>
      </c>
      <c r="Y1582" t="str">
        <f t="shared" si="170"/>
        <v>Open</v>
      </c>
      <c r="Z1582" t="str">
        <f t="shared" si="171"/>
        <v>Jan-2025</v>
      </c>
      <c r="AA1582" t="str">
        <f t="shared" si="172"/>
        <v>Q1 2025</v>
      </c>
      <c r="AB1582" s="4">
        <f t="shared" ca="1" si="173"/>
        <v>524</v>
      </c>
      <c r="AC1582" t="str">
        <f t="shared" si="174"/>
        <v>Low</v>
      </c>
    </row>
    <row r="1583" spans="1:29">
      <c r="A1583" t="s">
        <v>5567</v>
      </c>
      <c r="B1583" s="2">
        <v>45894</v>
      </c>
      <c r="C1583" t="s">
        <v>3430</v>
      </c>
      <c r="D1583" t="s">
        <v>327</v>
      </c>
      <c r="E1583" t="s">
        <v>5568</v>
      </c>
      <c r="F1583" t="s">
        <v>5569</v>
      </c>
      <c r="G1583" t="s">
        <v>47</v>
      </c>
      <c r="H1583" t="s">
        <v>493</v>
      </c>
      <c r="I1583" t="s">
        <v>61</v>
      </c>
      <c r="J1583" t="s">
        <v>50</v>
      </c>
      <c r="K1583" t="s">
        <v>114</v>
      </c>
      <c r="L1583" t="s">
        <v>52</v>
      </c>
      <c r="M1583" t="s">
        <v>40</v>
      </c>
      <c r="N1583" t="s">
        <v>41</v>
      </c>
      <c r="O1583" s="3">
        <v>310000</v>
      </c>
      <c r="P1583" s="4">
        <v>100</v>
      </c>
      <c r="Q1583" s="2">
        <v>45943</v>
      </c>
      <c r="R1583" s="2"/>
      <c r="S1583" s="2">
        <v>45896</v>
      </c>
      <c r="T1583" s="2">
        <v>45943</v>
      </c>
      <c r="U1583" t="str">
        <f t="shared" si="168"/>
        <v>Yes</v>
      </c>
      <c r="W158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49</v>
      </c>
      <c r="X1583" t="str">
        <f t="shared" ca="1" si="169"/>
        <v>Closed</v>
      </c>
      <c r="Y1583" t="str">
        <f t="shared" si="170"/>
        <v>Closed</v>
      </c>
      <c r="Z1583" t="str">
        <f t="shared" si="171"/>
        <v>Aug-2025</v>
      </c>
      <c r="AA1583" t="str">
        <f t="shared" si="172"/>
        <v>Q3 2025</v>
      </c>
      <c r="AB1583" s="4">
        <f t="shared" ca="1" si="173"/>
        <v>305</v>
      </c>
      <c r="AC1583" t="str">
        <f t="shared" si="174"/>
        <v>High</v>
      </c>
    </row>
    <row r="1584" spans="1:29">
      <c r="A1584" t="s">
        <v>5570</v>
      </c>
      <c r="B1584" s="2">
        <v>45734</v>
      </c>
      <c r="C1584" t="s">
        <v>976</v>
      </c>
      <c r="D1584" t="s">
        <v>322</v>
      </c>
      <c r="E1584" t="s">
        <v>5571</v>
      </c>
      <c r="F1584" t="s">
        <v>5572</v>
      </c>
      <c r="G1584" t="s">
        <v>47</v>
      </c>
      <c r="H1584" t="s">
        <v>89</v>
      </c>
      <c r="I1584" t="s">
        <v>141</v>
      </c>
      <c r="J1584" t="s">
        <v>50</v>
      </c>
      <c r="K1584" t="s">
        <v>114</v>
      </c>
      <c r="L1584" t="s">
        <v>142</v>
      </c>
      <c r="M1584" t="s">
        <v>116</v>
      </c>
      <c r="N1584" t="s">
        <v>54</v>
      </c>
      <c r="O1584" s="3">
        <v>505000</v>
      </c>
      <c r="P1584" s="4">
        <v>25</v>
      </c>
      <c r="Q1584" s="2">
        <v>45828</v>
      </c>
      <c r="R1584" s="2">
        <v>46230</v>
      </c>
      <c r="S1584" s="2">
        <v>45741</v>
      </c>
      <c r="T1584" s="2"/>
      <c r="U1584" t="str">
        <f t="shared" si="168"/>
        <v>No</v>
      </c>
      <c r="W15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4" t="str">
        <f t="shared" ca="1" si="169"/>
        <v>Due/Open</v>
      </c>
      <c r="Y1584" t="str">
        <f t="shared" si="170"/>
        <v>Open</v>
      </c>
      <c r="Z1584" t="str">
        <f t="shared" si="171"/>
        <v>Mar-2025</v>
      </c>
      <c r="AA1584" t="str">
        <f t="shared" si="172"/>
        <v>Q1 2025</v>
      </c>
      <c r="AB1584" s="4">
        <f t="shared" ca="1" si="173"/>
        <v>465</v>
      </c>
      <c r="AC1584" t="str">
        <f t="shared" si="174"/>
        <v>High</v>
      </c>
    </row>
    <row r="1585" spans="1:29">
      <c r="A1585" t="s">
        <v>5573</v>
      </c>
      <c r="B1585" s="2">
        <v>45722</v>
      </c>
      <c r="C1585" t="s">
        <v>5325</v>
      </c>
      <c r="D1585" t="s">
        <v>347</v>
      </c>
      <c r="E1585" t="s">
        <v>5574</v>
      </c>
      <c r="F1585" t="s">
        <v>5575</v>
      </c>
      <c r="G1585" t="s">
        <v>179</v>
      </c>
      <c r="H1585" t="s">
        <v>186</v>
      </c>
      <c r="I1585" t="s">
        <v>187</v>
      </c>
      <c r="J1585" t="s">
        <v>131</v>
      </c>
      <c r="K1585" t="s">
        <v>38</v>
      </c>
      <c r="L1585" t="s">
        <v>52</v>
      </c>
      <c r="M1585" t="s">
        <v>53</v>
      </c>
      <c r="N1585" t="s">
        <v>54</v>
      </c>
      <c r="O1585" s="3">
        <v>265000</v>
      </c>
      <c r="P1585" s="4">
        <v>35</v>
      </c>
      <c r="Q1585" s="2">
        <v>45795</v>
      </c>
      <c r="R1585" s="2">
        <v>46158</v>
      </c>
      <c r="S1585" s="2">
        <v>45725</v>
      </c>
      <c r="T1585" s="2"/>
      <c r="U1585" t="str">
        <f t="shared" si="168"/>
        <v>No</v>
      </c>
      <c r="W15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5" t="str">
        <f t="shared" ca="1" si="169"/>
        <v>Overdue</v>
      </c>
      <c r="Y1585" t="str">
        <f t="shared" si="170"/>
        <v>Open</v>
      </c>
      <c r="Z1585" t="str">
        <f t="shared" si="171"/>
        <v>Mar-2025</v>
      </c>
      <c r="AA1585" t="str">
        <f t="shared" si="172"/>
        <v>Q1 2025</v>
      </c>
      <c r="AB1585" s="4">
        <f t="shared" ca="1" si="173"/>
        <v>477</v>
      </c>
      <c r="AC1585" t="str">
        <f t="shared" si="174"/>
        <v>Medium</v>
      </c>
    </row>
    <row r="1586" spans="1:29">
      <c r="A1586" t="s">
        <v>5576</v>
      </c>
      <c r="B1586" s="2">
        <v>45869</v>
      </c>
      <c r="C1586" t="s">
        <v>1529</v>
      </c>
      <c r="D1586" t="s">
        <v>1815</v>
      </c>
      <c r="E1586" t="s">
        <v>5577</v>
      </c>
      <c r="F1586" t="s">
        <v>5578</v>
      </c>
      <c r="G1586" t="s">
        <v>179</v>
      </c>
      <c r="H1586" t="s">
        <v>186</v>
      </c>
      <c r="I1586" t="s">
        <v>36</v>
      </c>
      <c r="J1586" t="s">
        <v>131</v>
      </c>
      <c r="K1586" t="s">
        <v>38</v>
      </c>
      <c r="L1586" t="s">
        <v>125</v>
      </c>
      <c r="M1586" t="s">
        <v>53</v>
      </c>
      <c r="N1586" t="s">
        <v>54</v>
      </c>
      <c r="O1586" s="3">
        <v>105000</v>
      </c>
      <c r="P1586" s="4">
        <v>25</v>
      </c>
      <c r="Q1586" s="2">
        <v>45948</v>
      </c>
      <c r="R1586" s="2">
        <v>46218</v>
      </c>
      <c r="S1586" s="2">
        <v>45872</v>
      </c>
      <c r="T1586" s="2"/>
      <c r="U1586" t="str">
        <f t="shared" si="168"/>
        <v>No</v>
      </c>
      <c r="W15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6" t="str">
        <f t="shared" ca="1" si="169"/>
        <v>Due/Open</v>
      </c>
      <c r="Y1586" t="str">
        <f t="shared" si="170"/>
        <v>Open</v>
      </c>
      <c r="Z1586" t="str">
        <f t="shared" si="171"/>
        <v>Jul-2025</v>
      </c>
      <c r="AA1586" t="str">
        <f t="shared" si="172"/>
        <v>Q3 2025</v>
      </c>
      <c r="AB1586" s="4">
        <f t="shared" ca="1" si="173"/>
        <v>330</v>
      </c>
      <c r="AC1586" t="str">
        <f t="shared" si="174"/>
        <v>Low</v>
      </c>
    </row>
    <row r="1587" spans="1:29">
      <c r="A1587" t="s">
        <v>5579</v>
      </c>
      <c r="B1587" s="2">
        <v>45982</v>
      </c>
      <c r="C1587" t="s">
        <v>938</v>
      </c>
      <c r="D1587" t="s">
        <v>257</v>
      </c>
      <c r="E1587" t="s">
        <v>5580</v>
      </c>
      <c r="F1587" t="s">
        <v>5581</v>
      </c>
      <c r="G1587" t="s">
        <v>179</v>
      </c>
      <c r="H1587" t="s">
        <v>186</v>
      </c>
      <c r="I1587" t="s">
        <v>36</v>
      </c>
      <c r="J1587" t="s">
        <v>62</v>
      </c>
      <c r="K1587" t="s">
        <v>194</v>
      </c>
      <c r="L1587" t="s">
        <v>142</v>
      </c>
      <c r="M1587" t="s">
        <v>53</v>
      </c>
      <c r="N1587" t="s">
        <v>54</v>
      </c>
      <c r="O1587" s="3">
        <v>430000</v>
      </c>
      <c r="P1587" s="4">
        <v>25</v>
      </c>
      <c r="Q1587" s="2">
        <v>46053</v>
      </c>
      <c r="R1587" s="2">
        <v>46183</v>
      </c>
      <c r="S1587" s="2">
        <v>45992</v>
      </c>
      <c r="T1587" s="2"/>
      <c r="U1587" t="str">
        <f t="shared" si="168"/>
        <v>No</v>
      </c>
      <c r="W15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7" t="str">
        <f t="shared" ca="1" si="169"/>
        <v>Overdue</v>
      </c>
      <c r="Y1587" t="str">
        <f t="shared" si="170"/>
        <v>Open</v>
      </c>
      <c r="Z1587" t="str">
        <f t="shared" si="171"/>
        <v>Nov-2025</v>
      </c>
      <c r="AA1587" t="str">
        <f t="shared" si="172"/>
        <v>Q4 2025</v>
      </c>
      <c r="AB1587" s="4">
        <f t="shared" ca="1" si="173"/>
        <v>217</v>
      </c>
      <c r="AC1587" t="str">
        <f t="shared" si="174"/>
        <v>High</v>
      </c>
    </row>
    <row r="1588" spans="1:29">
      <c r="A1588" t="s">
        <v>5582</v>
      </c>
      <c r="B1588" s="2">
        <v>45776</v>
      </c>
      <c r="C1588" t="s">
        <v>1486</v>
      </c>
      <c r="D1588" t="s">
        <v>747</v>
      </c>
      <c r="E1588" t="s">
        <v>5583</v>
      </c>
      <c r="F1588" t="s">
        <v>5584</v>
      </c>
      <c r="G1588" t="s">
        <v>47</v>
      </c>
      <c r="H1588" t="s">
        <v>48</v>
      </c>
      <c r="I1588" t="s">
        <v>36</v>
      </c>
      <c r="J1588" t="s">
        <v>37</v>
      </c>
      <c r="K1588" t="s">
        <v>100</v>
      </c>
      <c r="L1588" t="s">
        <v>115</v>
      </c>
      <c r="M1588" t="s">
        <v>40</v>
      </c>
      <c r="N1588" t="s">
        <v>41</v>
      </c>
      <c r="O1588" s="3">
        <v>145000</v>
      </c>
      <c r="P1588" s="4">
        <v>100</v>
      </c>
      <c r="Q1588" s="2">
        <v>45803</v>
      </c>
      <c r="R1588" s="2"/>
      <c r="S1588" s="2">
        <v>45803</v>
      </c>
      <c r="T1588" s="2">
        <v>45803</v>
      </c>
      <c r="U1588" t="str">
        <f t="shared" si="168"/>
        <v>Yes</v>
      </c>
      <c r="W158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1588" t="str">
        <f t="shared" ca="1" si="169"/>
        <v>Closed</v>
      </c>
      <c r="Y1588" t="str">
        <f t="shared" si="170"/>
        <v>Closed</v>
      </c>
      <c r="Z1588" t="str">
        <f t="shared" si="171"/>
        <v>Apr-2025</v>
      </c>
      <c r="AA1588" t="str">
        <f t="shared" si="172"/>
        <v>Q2 2025</v>
      </c>
      <c r="AB1588" s="4">
        <f t="shared" ca="1" si="173"/>
        <v>423</v>
      </c>
      <c r="AC1588" t="str">
        <f t="shared" si="174"/>
        <v>Medium</v>
      </c>
    </row>
    <row r="1589" spans="1:29">
      <c r="A1589" t="s">
        <v>5585</v>
      </c>
      <c r="B1589" s="2">
        <v>45989</v>
      </c>
      <c r="C1589" t="s">
        <v>1459</v>
      </c>
      <c r="D1589" t="s">
        <v>176</v>
      </c>
      <c r="E1589" t="s">
        <v>5586</v>
      </c>
      <c r="F1589" t="s">
        <v>5587</v>
      </c>
      <c r="G1589" t="s">
        <v>69</v>
      </c>
      <c r="H1589" t="s">
        <v>312</v>
      </c>
      <c r="I1589" t="s">
        <v>123</v>
      </c>
      <c r="J1589" t="s">
        <v>50</v>
      </c>
      <c r="K1589" t="s">
        <v>71</v>
      </c>
      <c r="L1589" t="s">
        <v>107</v>
      </c>
      <c r="M1589" t="s">
        <v>53</v>
      </c>
      <c r="N1589" t="s">
        <v>54</v>
      </c>
      <c r="O1589" s="3">
        <v>145000</v>
      </c>
      <c r="P1589" s="4">
        <v>35</v>
      </c>
      <c r="Q1589" s="2">
        <v>46068</v>
      </c>
      <c r="R1589" s="2">
        <v>46216</v>
      </c>
      <c r="S1589" s="2">
        <v>45990</v>
      </c>
      <c r="T1589" s="2"/>
      <c r="U1589" t="str">
        <f t="shared" si="168"/>
        <v>No</v>
      </c>
      <c r="W15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89" t="str">
        <f t="shared" ca="1" si="169"/>
        <v>Due/Open</v>
      </c>
      <c r="Y1589" t="str">
        <f t="shared" si="170"/>
        <v>Open</v>
      </c>
      <c r="Z1589" t="str">
        <f t="shared" si="171"/>
        <v>Nov-2025</v>
      </c>
      <c r="AA1589" t="str">
        <f t="shared" si="172"/>
        <v>Q4 2025</v>
      </c>
      <c r="AB1589" s="4">
        <f t="shared" ca="1" si="173"/>
        <v>210</v>
      </c>
      <c r="AC1589" t="str">
        <f t="shared" si="174"/>
        <v>Medium</v>
      </c>
    </row>
    <row r="1590" spans="1:29">
      <c r="A1590" t="s">
        <v>5588</v>
      </c>
      <c r="B1590" s="2">
        <v>45943</v>
      </c>
      <c r="C1590" t="s">
        <v>1452</v>
      </c>
      <c r="D1590" t="s">
        <v>257</v>
      </c>
      <c r="E1590" t="s">
        <v>5589</v>
      </c>
      <c r="F1590" t="s">
        <v>5590</v>
      </c>
      <c r="G1590" t="s">
        <v>179</v>
      </c>
      <c r="H1590" t="s">
        <v>318</v>
      </c>
      <c r="I1590" t="s">
        <v>141</v>
      </c>
      <c r="J1590" t="s">
        <v>99</v>
      </c>
      <c r="K1590" t="s">
        <v>194</v>
      </c>
      <c r="L1590" t="s">
        <v>239</v>
      </c>
      <c r="M1590" t="s">
        <v>73</v>
      </c>
      <c r="N1590" t="s">
        <v>73</v>
      </c>
      <c r="O1590" s="3">
        <v>420000</v>
      </c>
      <c r="P1590" s="4">
        <v>80</v>
      </c>
      <c r="Q1590" s="2">
        <v>46032</v>
      </c>
      <c r="R1590" s="2">
        <v>46238</v>
      </c>
      <c r="S1590" s="2">
        <v>45972</v>
      </c>
      <c r="T1590" s="2"/>
      <c r="U1590" t="str">
        <f t="shared" si="168"/>
        <v>No</v>
      </c>
      <c r="W15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0" t="str">
        <f t="shared" ca="1" si="169"/>
        <v>Due/Open</v>
      </c>
      <c r="Y1590" t="str">
        <f t="shared" si="170"/>
        <v>Open</v>
      </c>
      <c r="Z1590" t="str">
        <f t="shared" si="171"/>
        <v>Oct-2025</v>
      </c>
      <c r="AA1590" t="str">
        <f t="shared" si="172"/>
        <v>Q4 2025</v>
      </c>
      <c r="AB1590" s="4">
        <f t="shared" ca="1" si="173"/>
        <v>256</v>
      </c>
      <c r="AC1590" t="str">
        <f t="shared" si="174"/>
        <v>High</v>
      </c>
    </row>
    <row r="1591" spans="1:29">
      <c r="A1591" t="s">
        <v>5591</v>
      </c>
      <c r="B1591" s="2">
        <v>45682</v>
      </c>
      <c r="C1591" t="s">
        <v>1577</v>
      </c>
      <c r="D1591" t="s">
        <v>309</v>
      </c>
      <c r="E1591" t="s">
        <v>5592</v>
      </c>
      <c r="F1591" t="s">
        <v>5593</v>
      </c>
      <c r="G1591" t="s">
        <v>47</v>
      </c>
      <c r="H1591" t="s">
        <v>89</v>
      </c>
      <c r="I1591" t="s">
        <v>49</v>
      </c>
      <c r="J1591" t="s">
        <v>37</v>
      </c>
      <c r="K1591" t="s">
        <v>100</v>
      </c>
      <c r="L1591" t="s">
        <v>132</v>
      </c>
      <c r="M1591" t="s">
        <v>40</v>
      </c>
      <c r="N1591" t="s">
        <v>41</v>
      </c>
      <c r="O1591" s="3">
        <v>70000</v>
      </c>
      <c r="P1591" s="4">
        <v>100</v>
      </c>
      <c r="Q1591" s="2">
        <v>45760</v>
      </c>
      <c r="R1591" s="2"/>
      <c r="S1591" s="2">
        <v>45683</v>
      </c>
      <c r="T1591" s="2">
        <v>45760</v>
      </c>
      <c r="U1591" t="str">
        <f t="shared" si="168"/>
        <v>Yes</v>
      </c>
      <c r="W15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1591" t="str">
        <f t="shared" ca="1" si="169"/>
        <v>Closed</v>
      </c>
      <c r="Y1591" t="str">
        <f t="shared" si="170"/>
        <v>Closed</v>
      </c>
      <c r="Z1591" t="str">
        <f t="shared" si="171"/>
        <v>Jan-2025</v>
      </c>
      <c r="AA1591" t="str">
        <f t="shared" si="172"/>
        <v>Q1 2025</v>
      </c>
      <c r="AB1591" s="4">
        <f t="shared" ca="1" si="173"/>
        <v>517</v>
      </c>
      <c r="AC1591" t="str">
        <f t="shared" si="174"/>
        <v>Low</v>
      </c>
    </row>
    <row r="1592" spans="1:29">
      <c r="A1592" t="s">
        <v>5594</v>
      </c>
      <c r="B1592" s="2">
        <v>45880</v>
      </c>
      <c r="C1592" t="s">
        <v>85</v>
      </c>
      <c r="D1592" t="s">
        <v>1722</v>
      </c>
      <c r="E1592" t="s">
        <v>5595</v>
      </c>
      <c r="F1592" t="s">
        <v>5596</v>
      </c>
      <c r="G1592" t="s">
        <v>34</v>
      </c>
      <c r="H1592" t="s">
        <v>446</v>
      </c>
      <c r="I1592" t="s">
        <v>98</v>
      </c>
      <c r="J1592" t="s">
        <v>37</v>
      </c>
      <c r="K1592" t="s">
        <v>100</v>
      </c>
      <c r="L1592" t="s">
        <v>72</v>
      </c>
      <c r="M1592" t="s">
        <v>90</v>
      </c>
      <c r="N1592" t="s">
        <v>91</v>
      </c>
      <c r="O1592" s="3">
        <v>110000</v>
      </c>
      <c r="P1592" s="4">
        <v>55</v>
      </c>
      <c r="Q1592" s="2">
        <v>45944</v>
      </c>
      <c r="R1592" s="2">
        <v>46227</v>
      </c>
      <c r="S1592" s="2">
        <v>45886</v>
      </c>
      <c r="T1592" s="2"/>
      <c r="U1592" t="str">
        <f t="shared" si="168"/>
        <v>No</v>
      </c>
      <c r="W15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2" t="str">
        <f t="shared" ca="1" si="169"/>
        <v>Due/Open</v>
      </c>
      <c r="Y1592" t="str">
        <f t="shared" si="170"/>
        <v>Open</v>
      </c>
      <c r="Z1592" t="str">
        <f t="shared" si="171"/>
        <v>Aug-2025</v>
      </c>
      <c r="AA1592" t="str">
        <f t="shared" si="172"/>
        <v>Q3 2025</v>
      </c>
      <c r="AB1592" s="4">
        <f t="shared" ca="1" si="173"/>
        <v>319</v>
      </c>
      <c r="AC1592" t="str">
        <f t="shared" si="174"/>
        <v>Low</v>
      </c>
    </row>
    <row r="1593" spans="1:29">
      <c r="A1593" t="s">
        <v>5597</v>
      </c>
      <c r="B1593" s="2">
        <v>45998</v>
      </c>
      <c r="C1593" t="s">
        <v>2967</v>
      </c>
      <c r="D1593" t="s">
        <v>1315</v>
      </c>
      <c r="E1593" t="s">
        <v>5598</v>
      </c>
      <c r="F1593" t="s">
        <v>5599</v>
      </c>
      <c r="G1593" t="s">
        <v>179</v>
      </c>
      <c r="H1593" t="s">
        <v>318</v>
      </c>
      <c r="I1593" t="s">
        <v>187</v>
      </c>
      <c r="J1593" t="s">
        <v>99</v>
      </c>
      <c r="K1593" t="s">
        <v>114</v>
      </c>
      <c r="L1593" t="s">
        <v>81</v>
      </c>
      <c r="M1593" t="s">
        <v>166</v>
      </c>
      <c r="N1593" t="s">
        <v>167</v>
      </c>
      <c r="O1593" s="3">
        <v>480000</v>
      </c>
      <c r="P1593" s="4">
        <v>65</v>
      </c>
      <c r="Q1593" s="2">
        <v>46039</v>
      </c>
      <c r="R1593" s="2">
        <v>46179</v>
      </c>
      <c r="S1593" s="2">
        <v>46000</v>
      </c>
      <c r="T1593" s="2"/>
      <c r="U1593" t="str">
        <f t="shared" si="168"/>
        <v>No</v>
      </c>
      <c r="W15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3" t="str">
        <f t="shared" ca="1" si="169"/>
        <v>Overdue</v>
      </c>
      <c r="Y1593" t="str">
        <f t="shared" si="170"/>
        <v>Open</v>
      </c>
      <c r="Z1593" t="str">
        <f t="shared" si="171"/>
        <v>Dec-2025</v>
      </c>
      <c r="AA1593" t="str">
        <f t="shared" si="172"/>
        <v>Q4 2025</v>
      </c>
      <c r="AB1593" s="4">
        <f t="shared" ca="1" si="173"/>
        <v>201</v>
      </c>
      <c r="AC1593" t="str">
        <f t="shared" si="174"/>
        <v>High</v>
      </c>
    </row>
    <row r="1594" spans="1:29">
      <c r="A1594" t="s">
        <v>5600</v>
      </c>
      <c r="B1594" s="2">
        <v>46116</v>
      </c>
      <c r="C1594" t="s">
        <v>2106</v>
      </c>
      <c r="D1594" t="s">
        <v>44</v>
      </c>
      <c r="E1594" t="s">
        <v>5601</v>
      </c>
      <c r="F1594" t="s">
        <v>5602</v>
      </c>
      <c r="G1594" t="s">
        <v>179</v>
      </c>
      <c r="H1594" t="s">
        <v>487</v>
      </c>
      <c r="I1594" t="s">
        <v>49</v>
      </c>
      <c r="J1594" t="s">
        <v>124</v>
      </c>
      <c r="K1594" t="s">
        <v>38</v>
      </c>
      <c r="L1594" t="s">
        <v>132</v>
      </c>
      <c r="M1594" t="s">
        <v>73</v>
      </c>
      <c r="N1594" t="s">
        <v>73</v>
      </c>
      <c r="O1594" s="3">
        <v>180000</v>
      </c>
      <c r="P1594" s="4">
        <v>75</v>
      </c>
      <c r="Q1594" s="2">
        <v>46160</v>
      </c>
      <c r="R1594" s="2">
        <v>46234</v>
      </c>
      <c r="S1594" s="2">
        <v>46132</v>
      </c>
      <c r="T1594" s="2"/>
      <c r="U1594" t="str">
        <f t="shared" si="168"/>
        <v>No</v>
      </c>
      <c r="W15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4" t="str">
        <f t="shared" ca="1" si="169"/>
        <v>Due/Open</v>
      </c>
      <c r="Y1594" t="str">
        <f t="shared" si="170"/>
        <v>Open</v>
      </c>
      <c r="Z1594" t="str">
        <f t="shared" si="171"/>
        <v>Apr-2026</v>
      </c>
      <c r="AA1594" t="str">
        <f t="shared" si="172"/>
        <v>Q2 2026</v>
      </c>
      <c r="AB1594" s="4">
        <f t="shared" ca="1" si="173"/>
        <v>83</v>
      </c>
      <c r="AC1594" t="str">
        <f t="shared" si="174"/>
        <v>Medium</v>
      </c>
    </row>
    <row r="1595" spans="1:29">
      <c r="A1595" t="s">
        <v>5603</v>
      </c>
      <c r="B1595" s="2">
        <v>46111</v>
      </c>
      <c r="C1595" t="s">
        <v>398</v>
      </c>
      <c r="D1595" t="s">
        <v>755</v>
      </c>
      <c r="E1595" t="s">
        <v>5604</v>
      </c>
      <c r="F1595" t="s">
        <v>5605</v>
      </c>
      <c r="G1595" t="s">
        <v>47</v>
      </c>
      <c r="H1595" t="s">
        <v>113</v>
      </c>
      <c r="I1595" t="s">
        <v>98</v>
      </c>
      <c r="J1595" t="s">
        <v>37</v>
      </c>
      <c r="K1595" t="s">
        <v>51</v>
      </c>
      <c r="L1595" t="s">
        <v>72</v>
      </c>
      <c r="M1595" t="s">
        <v>133</v>
      </c>
      <c r="N1595" t="s">
        <v>134</v>
      </c>
      <c r="O1595" s="3">
        <v>70000</v>
      </c>
      <c r="P1595" s="4">
        <v>0</v>
      </c>
      <c r="Q1595" s="2">
        <v>46151</v>
      </c>
      <c r="R1595" s="2"/>
      <c r="S1595" s="2">
        <v>46138</v>
      </c>
      <c r="T1595" s="2">
        <v>46151</v>
      </c>
      <c r="U1595" t="str">
        <f t="shared" si="168"/>
        <v>No</v>
      </c>
      <c r="V1595" t="s">
        <v>1105</v>
      </c>
      <c r="W159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40</v>
      </c>
      <c r="X1595" t="str">
        <f t="shared" ca="1" si="169"/>
        <v>Closed</v>
      </c>
      <c r="Y1595" t="str">
        <f t="shared" si="170"/>
        <v>Closed</v>
      </c>
      <c r="Z1595" t="str">
        <f t="shared" si="171"/>
        <v>Mar-2026</v>
      </c>
      <c r="AA1595" t="str">
        <f t="shared" si="172"/>
        <v>Q1 2026</v>
      </c>
      <c r="AB1595" s="4">
        <f t="shared" ca="1" si="173"/>
        <v>88</v>
      </c>
      <c r="AC1595" t="str">
        <f t="shared" si="174"/>
        <v>Low</v>
      </c>
    </row>
    <row r="1596" spans="1:29">
      <c r="A1596" t="s">
        <v>5606</v>
      </c>
      <c r="B1596" s="2">
        <v>45989</v>
      </c>
      <c r="C1596" t="s">
        <v>4184</v>
      </c>
      <c r="D1596" t="s">
        <v>627</v>
      </c>
      <c r="E1596" t="s">
        <v>5607</v>
      </c>
      <c r="F1596" t="s">
        <v>5608</v>
      </c>
      <c r="G1596" t="s">
        <v>47</v>
      </c>
      <c r="H1596" t="s">
        <v>418</v>
      </c>
      <c r="I1596" t="s">
        <v>36</v>
      </c>
      <c r="J1596" t="s">
        <v>62</v>
      </c>
      <c r="K1596" t="s">
        <v>38</v>
      </c>
      <c r="L1596" t="s">
        <v>39</v>
      </c>
      <c r="M1596" t="s">
        <v>73</v>
      </c>
      <c r="N1596" t="s">
        <v>73</v>
      </c>
      <c r="O1596" s="3">
        <v>135000</v>
      </c>
      <c r="P1596" s="4">
        <v>85</v>
      </c>
      <c r="Q1596" s="2">
        <v>46025</v>
      </c>
      <c r="R1596" s="2">
        <v>46201</v>
      </c>
      <c r="S1596" s="2">
        <v>46000</v>
      </c>
      <c r="T1596" s="2"/>
      <c r="U1596" t="str">
        <f t="shared" si="168"/>
        <v>No</v>
      </c>
      <c r="W15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6" t="str">
        <f t="shared" ca="1" si="169"/>
        <v>Due/Open</v>
      </c>
      <c r="Y1596" t="str">
        <f t="shared" si="170"/>
        <v>Open</v>
      </c>
      <c r="Z1596" t="str">
        <f t="shared" si="171"/>
        <v>Nov-2025</v>
      </c>
      <c r="AA1596" t="str">
        <f t="shared" si="172"/>
        <v>Q4 2025</v>
      </c>
      <c r="AB1596" s="4">
        <f t="shared" ca="1" si="173"/>
        <v>210</v>
      </c>
      <c r="AC1596" t="str">
        <f t="shared" si="174"/>
        <v>Medium</v>
      </c>
    </row>
    <row r="1597" spans="1:29">
      <c r="A1597" t="s">
        <v>5609</v>
      </c>
      <c r="B1597" s="2">
        <v>45672</v>
      </c>
      <c r="C1597" t="s">
        <v>4414</v>
      </c>
      <c r="D1597" t="s">
        <v>797</v>
      </c>
      <c r="E1597" t="s">
        <v>5610</v>
      </c>
      <c r="F1597" t="s">
        <v>5611</v>
      </c>
      <c r="G1597" t="s">
        <v>47</v>
      </c>
      <c r="H1597" t="s">
        <v>89</v>
      </c>
      <c r="I1597" t="s">
        <v>49</v>
      </c>
      <c r="J1597" t="s">
        <v>124</v>
      </c>
      <c r="K1597" t="s">
        <v>100</v>
      </c>
      <c r="L1597" t="s">
        <v>39</v>
      </c>
      <c r="M1597" t="s">
        <v>166</v>
      </c>
      <c r="N1597" t="s">
        <v>167</v>
      </c>
      <c r="O1597" s="3">
        <v>175000</v>
      </c>
      <c r="P1597" s="4">
        <v>60</v>
      </c>
      <c r="Q1597" s="2">
        <v>45750</v>
      </c>
      <c r="R1597" s="2">
        <v>46237</v>
      </c>
      <c r="S1597" s="2">
        <v>45686</v>
      </c>
      <c r="T1597" s="2"/>
      <c r="U1597" t="str">
        <f t="shared" si="168"/>
        <v>No</v>
      </c>
      <c r="W15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7" t="str">
        <f t="shared" ca="1" si="169"/>
        <v>Due/Open</v>
      </c>
      <c r="Y1597" t="str">
        <f t="shared" si="170"/>
        <v>Open</v>
      </c>
      <c r="Z1597" t="str">
        <f t="shared" si="171"/>
        <v>Jan-2025</v>
      </c>
      <c r="AA1597" t="str">
        <f t="shared" si="172"/>
        <v>Q1 2025</v>
      </c>
      <c r="AB1597" s="4">
        <f t="shared" ca="1" si="173"/>
        <v>527</v>
      </c>
      <c r="AC1597" t="str">
        <f t="shared" si="174"/>
        <v>Medium</v>
      </c>
    </row>
    <row r="1598" spans="1:29">
      <c r="A1598" t="s">
        <v>5612</v>
      </c>
      <c r="B1598" s="2">
        <v>45953</v>
      </c>
      <c r="C1598" t="s">
        <v>3576</v>
      </c>
      <c r="D1598" t="s">
        <v>831</v>
      </c>
      <c r="E1598" t="s">
        <v>5613</v>
      </c>
      <c r="F1598" t="s">
        <v>5614</v>
      </c>
      <c r="G1598" t="s">
        <v>47</v>
      </c>
      <c r="H1598" t="s">
        <v>48</v>
      </c>
      <c r="I1598" t="s">
        <v>187</v>
      </c>
      <c r="J1598" t="s">
        <v>62</v>
      </c>
      <c r="K1598" t="s">
        <v>194</v>
      </c>
      <c r="L1598" t="s">
        <v>107</v>
      </c>
      <c r="M1598" t="s">
        <v>90</v>
      </c>
      <c r="N1598" t="s">
        <v>91</v>
      </c>
      <c r="O1598" s="3">
        <v>275000</v>
      </c>
      <c r="P1598" s="4">
        <v>55</v>
      </c>
      <c r="Q1598" s="2">
        <v>45979</v>
      </c>
      <c r="R1598" s="2">
        <v>46213</v>
      </c>
      <c r="S1598" s="2">
        <v>45970</v>
      </c>
      <c r="T1598" s="2"/>
      <c r="U1598" t="str">
        <f t="shared" si="168"/>
        <v>No</v>
      </c>
      <c r="W15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8" t="str">
        <f t="shared" ca="1" si="169"/>
        <v>Due/Open</v>
      </c>
      <c r="Y1598" t="str">
        <f t="shared" si="170"/>
        <v>Open</v>
      </c>
      <c r="Z1598" t="str">
        <f t="shared" si="171"/>
        <v>Oct-2025</v>
      </c>
      <c r="AA1598" t="str">
        <f t="shared" si="172"/>
        <v>Q4 2025</v>
      </c>
      <c r="AB1598" s="4">
        <f t="shared" ca="1" si="173"/>
        <v>246</v>
      </c>
      <c r="AC1598" t="str">
        <f t="shared" si="174"/>
        <v>Medium</v>
      </c>
    </row>
    <row r="1599" spans="1:29">
      <c r="A1599" t="s">
        <v>5615</v>
      </c>
      <c r="B1599" s="2">
        <v>45868</v>
      </c>
      <c r="C1599" t="s">
        <v>530</v>
      </c>
      <c r="D1599" t="s">
        <v>394</v>
      </c>
      <c r="E1599" t="s">
        <v>5616</v>
      </c>
      <c r="F1599" t="s">
        <v>5617</v>
      </c>
      <c r="G1599" t="s">
        <v>47</v>
      </c>
      <c r="H1599" t="s">
        <v>418</v>
      </c>
      <c r="I1599" t="s">
        <v>36</v>
      </c>
      <c r="J1599" t="s">
        <v>62</v>
      </c>
      <c r="K1599" t="s">
        <v>38</v>
      </c>
      <c r="L1599" t="s">
        <v>107</v>
      </c>
      <c r="M1599" t="s">
        <v>53</v>
      </c>
      <c r="N1599" t="s">
        <v>54</v>
      </c>
      <c r="O1599" s="3">
        <v>315000</v>
      </c>
      <c r="P1599" s="4">
        <v>30</v>
      </c>
      <c r="Q1599" s="2">
        <v>45920</v>
      </c>
      <c r="R1599" s="2">
        <v>46184</v>
      </c>
      <c r="S1599" s="2">
        <v>45875</v>
      </c>
      <c r="T1599" s="2"/>
      <c r="U1599" t="str">
        <f t="shared" si="168"/>
        <v>No</v>
      </c>
      <c r="W15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599" t="str">
        <f t="shared" ca="1" si="169"/>
        <v>Overdue</v>
      </c>
      <c r="Y1599" t="str">
        <f t="shared" si="170"/>
        <v>Open</v>
      </c>
      <c r="Z1599" t="str">
        <f t="shared" si="171"/>
        <v>Jul-2025</v>
      </c>
      <c r="AA1599" t="str">
        <f t="shared" si="172"/>
        <v>Q3 2025</v>
      </c>
      <c r="AB1599" s="4">
        <f t="shared" ca="1" si="173"/>
        <v>331</v>
      </c>
      <c r="AC1599" t="str">
        <f t="shared" si="174"/>
        <v>High</v>
      </c>
    </row>
    <row r="1600" spans="1:29">
      <c r="A1600" t="s">
        <v>5618</v>
      </c>
      <c r="B1600" s="2">
        <v>45663</v>
      </c>
      <c r="C1600" t="s">
        <v>1782</v>
      </c>
      <c r="D1600" t="s">
        <v>309</v>
      </c>
      <c r="E1600" t="s">
        <v>5619</v>
      </c>
      <c r="F1600" t="s">
        <v>5620</v>
      </c>
      <c r="G1600" t="s">
        <v>34</v>
      </c>
      <c r="H1600" t="s">
        <v>238</v>
      </c>
      <c r="I1600" t="s">
        <v>187</v>
      </c>
      <c r="J1600" t="s">
        <v>124</v>
      </c>
      <c r="K1600" t="s">
        <v>114</v>
      </c>
      <c r="L1600" t="s">
        <v>107</v>
      </c>
      <c r="M1600" t="s">
        <v>90</v>
      </c>
      <c r="N1600" t="s">
        <v>91</v>
      </c>
      <c r="O1600" s="3">
        <v>325000</v>
      </c>
      <c r="P1600" s="4">
        <v>50</v>
      </c>
      <c r="Q1600" s="2">
        <v>45711</v>
      </c>
      <c r="R1600" s="2">
        <v>46179</v>
      </c>
      <c r="S1600" s="2">
        <v>45666</v>
      </c>
      <c r="T1600" s="2"/>
      <c r="U1600" t="str">
        <f t="shared" si="168"/>
        <v>No</v>
      </c>
      <c r="W16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0" t="str">
        <f t="shared" ca="1" si="169"/>
        <v>Overdue</v>
      </c>
      <c r="Y1600" t="str">
        <f t="shared" si="170"/>
        <v>Open</v>
      </c>
      <c r="Z1600" t="str">
        <f t="shared" si="171"/>
        <v>Jan-2025</v>
      </c>
      <c r="AA1600" t="str">
        <f t="shared" si="172"/>
        <v>Q1 2025</v>
      </c>
      <c r="AB1600" s="4">
        <f t="shared" ca="1" si="173"/>
        <v>536</v>
      </c>
      <c r="AC1600" t="str">
        <f t="shared" si="174"/>
        <v>High</v>
      </c>
    </row>
    <row r="1601" spans="1:29">
      <c r="A1601" t="s">
        <v>5621</v>
      </c>
      <c r="B1601" s="2">
        <v>45687</v>
      </c>
      <c r="C1601" t="s">
        <v>3430</v>
      </c>
      <c r="D1601" t="s">
        <v>257</v>
      </c>
      <c r="E1601" t="s">
        <v>5622</v>
      </c>
      <c r="F1601" t="s">
        <v>5623</v>
      </c>
      <c r="G1601" t="s">
        <v>79</v>
      </c>
      <c r="H1601" t="s">
        <v>106</v>
      </c>
      <c r="I1601" t="s">
        <v>98</v>
      </c>
      <c r="J1601" t="s">
        <v>37</v>
      </c>
      <c r="K1601" t="s">
        <v>51</v>
      </c>
      <c r="L1601" t="s">
        <v>39</v>
      </c>
      <c r="M1601" t="s">
        <v>116</v>
      </c>
      <c r="N1601" t="s">
        <v>54</v>
      </c>
      <c r="O1601" s="3">
        <v>80000</v>
      </c>
      <c r="P1601" s="4">
        <v>25</v>
      </c>
      <c r="Q1601" s="2">
        <v>45767</v>
      </c>
      <c r="R1601" s="2">
        <v>46234</v>
      </c>
      <c r="S1601" s="2">
        <v>45709</v>
      </c>
      <c r="T1601" s="2"/>
      <c r="U1601" t="str">
        <f t="shared" si="168"/>
        <v>No</v>
      </c>
      <c r="W16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1" t="str">
        <f t="shared" ca="1" si="169"/>
        <v>Due/Open</v>
      </c>
      <c r="Y1601" t="str">
        <f t="shared" si="170"/>
        <v>Open</v>
      </c>
      <c r="Z1601" t="str">
        <f t="shared" si="171"/>
        <v>Jan-2025</v>
      </c>
      <c r="AA1601" t="str">
        <f t="shared" si="172"/>
        <v>Q1 2025</v>
      </c>
      <c r="AB1601" s="4">
        <f t="shared" ca="1" si="173"/>
        <v>512</v>
      </c>
      <c r="AC1601" t="str">
        <f t="shared" si="174"/>
        <v>Low</v>
      </c>
    </row>
    <row r="1602" spans="1:29">
      <c r="A1602" t="s">
        <v>5624</v>
      </c>
      <c r="B1602" s="2">
        <v>45923</v>
      </c>
      <c r="C1602" t="s">
        <v>631</v>
      </c>
      <c r="D1602" t="s">
        <v>263</v>
      </c>
      <c r="E1602" t="s">
        <v>5625</v>
      </c>
      <c r="F1602" t="s">
        <v>5626</v>
      </c>
      <c r="G1602" t="s">
        <v>79</v>
      </c>
      <c r="H1602" t="s">
        <v>106</v>
      </c>
      <c r="I1602" t="s">
        <v>141</v>
      </c>
      <c r="J1602" t="s">
        <v>131</v>
      </c>
      <c r="K1602" t="s">
        <v>38</v>
      </c>
      <c r="L1602" t="s">
        <v>125</v>
      </c>
      <c r="M1602" t="s">
        <v>53</v>
      </c>
      <c r="N1602" t="s">
        <v>54</v>
      </c>
      <c r="O1602" s="3">
        <v>315000</v>
      </c>
      <c r="P1602" s="4">
        <v>25</v>
      </c>
      <c r="Q1602" s="2">
        <v>45993</v>
      </c>
      <c r="R1602" s="2">
        <v>46174</v>
      </c>
      <c r="S1602" s="2">
        <v>45937</v>
      </c>
      <c r="T1602" s="2"/>
      <c r="U1602" t="str">
        <f t="shared" ref="U1602:U1665" si="175">IF(M1602="Converted","Yes","No")</f>
        <v>No</v>
      </c>
      <c r="W16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2" t="str">
        <f t="shared" ref="X1602:X1665" ca="1" si="176">IF(OR(M1602="Converted",M1602="Lost",M1602="Not Interested"),"Closed",IF(R1602&lt;TODAY(),"Overdue","Due/Open"))</f>
        <v>Overdue</v>
      </c>
      <c r="Y1602" t="str">
        <f t="shared" ref="Y1602:Y1665" si="177">IF(OR(M1602="Converted",M1602="Lost",M1602="Not Interested"),"Closed","Open")</f>
        <v>Open</v>
      </c>
      <c r="Z1602" t="str">
        <f t="shared" ref="Z1602:Z1665" si="178">TEXT(B1602,"mmm-yyyy")</f>
        <v>Sep-2025</v>
      </c>
      <c r="AA1602" t="str">
        <f t="shared" ref="AA1602:AA1665" si="179">"Q"&amp;ROUNDUP(MONTH(B1602)/3,0)&amp;" "&amp;YEAR(B1602)</f>
        <v>Q3 2025</v>
      </c>
      <c r="AB1602" s="4">
        <f t="shared" ref="AB1602:AB1665" ca="1" si="180">TODAY()-B1602</f>
        <v>276</v>
      </c>
      <c r="AC1602" t="str">
        <f t="shared" ref="AC1602:AC1665" si="181">IF(O1602&gt;=300000,"High",IF(O1602&gt;=120000,"Medium","Low"))</f>
        <v>High</v>
      </c>
    </row>
    <row r="1603" spans="1:29">
      <c r="A1603" t="s">
        <v>5627</v>
      </c>
      <c r="B1603" s="2">
        <v>45662</v>
      </c>
      <c r="C1603" t="s">
        <v>3867</v>
      </c>
      <c r="D1603" t="s">
        <v>517</v>
      </c>
      <c r="E1603" t="s">
        <v>5628</v>
      </c>
      <c r="F1603" t="s">
        <v>5629</v>
      </c>
      <c r="G1603" t="s">
        <v>34</v>
      </c>
      <c r="H1603" t="s">
        <v>35</v>
      </c>
      <c r="I1603" t="s">
        <v>148</v>
      </c>
      <c r="J1603" t="s">
        <v>37</v>
      </c>
      <c r="K1603" t="s">
        <v>51</v>
      </c>
      <c r="L1603" t="s">
        <v>52</v>
      </c>
      <c r="M1603" t="s">
        <v>166</v>
      </c>
      <c r="N1603" t="s">
        <v>167</v>
      </c>
      <c r="O1603" s="3">
        <v>125000</v>
      </c>
      <c r="P1603" s="4">
        <v>60</v>
      </c>
      <c r="Q1603" s="2">
        <v>45731</v>
      </c>
      <c r="R1603" s="2">
        <v>46217</v>
      </c>
      <c r="S1603" s="2">
        <v>45691</v>
      </c>
      <c r="T1603" s="2"/>
      <c r="U1603" t="str">
        <f t="shared" si="175"/>
        <v>No</v>
      </c>
      <c r="W16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3" t="str">
        <f t="shared" ca="1" si="176"/>
        <v>Due/Open</v>
      </c>
      <c r="Y1603" t="str">
        <f t="shared" si="177"/>
        <v>Open</v>
      </c>
      <c r="Z1603" t="str">
        <f t="shared" si="178"/>
        <v>Jan-2025</v>
      </c>
      <c r="AA1603" t="str">
        <f t="shared" si="179"/>
        <v>Q1 2025</v>
      </c>
      <c r="AB1603" s="4">
        <f t="shared" ca="1" si="180"/>
        <v>537</v>
      </c>
      <c r="AC1603" t="str">
        <f t="shared" si="181"/>
        <v>Medium</v>
      </c>
    </row>
    <row r="1604" spans="1:29">
      <c r="A1604" t="s">
        <v>5630</v>
      </c>
      <c r="B1604" s="2">
        <v>46089</v>
      </c>
      <c r="C1604" t="s">
        <v>3701</v>
      </c>
      <c r="D1604" t="s">
        <v>831</v>
      </c>
      <c r="E1604" t="s">
        <v>5631</v>
      </c>
      <c r="F1604" t="s">
        <v>5632</v>
      </c>
      <c r="G1604" t="s">
        <v>34</v>
      </c>
      <c r="H1604" t="s">
        <v>35</v>
      </c>
      <c r="I1604" t="s">
        <v>98</v>
      </c>
      <c r="J1604" t="s">
        <v>99</v>
      </c>
      <c r="K1604" t="s">
        <v>38</v>
      </c>
      <c r="L1604" t="s">
        <v>52</v>
      </c>
      <c r="M1604" t="s">
        <v>166</v>
      </c>
      <c r="N1604" t="s">
        <v>167</v>
      </c>
      <c r="O1604" s="3">
        <v>600000</v>
      </c>
      <c r="P1604" s="4">
        <v>60</v>
      </c>
      <c r="Q1604" s="2">
        <v>46128</v>
      </c>
      <c r="R1604" s="2">
        <v>46159</v>
      </c>
      <c r="S1604" s="2">
        <v>46106</v>
      </c>
      <c r="T1604" s="2"/>
      <c r="U1604" t="str">
        <f t="shared" si="175"/>
        <v>No</v>
      </c>
      <c r="W16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4" t="str">
        <f t="shared" ca="1" si="176"/>
        <v>Overdue</v>
      </c>
      <c r="Y1604" t="str">
        <f t="shared" si="177"/>
        <v>Open</v>
      </c>
      <c r="Z1604" t="str">
        <f t="shared" si="178"/>
        <v>Mar-2026</v>
      </c>
      <c r="AA1604" t="str">
        <f t="shared" si="179"/>
        <v>Q1 2026</v>
      </c>
      <c r="AB1604" s="4">
        <f t="shared" ca="1" si="180"/>
        <v>110</v>
      </c>
      <c r="AC1604" t="str">
        <f t="shared" si="181"/>
        <v>High</v>
      </c>
    </row>
    <row r="1605" spans="1:29">
      <c r="A1605" t="s">
        <v>5633</v>
      </c>
      <c r="B1605" s="2">
        <v>45748</v>
      </c>
      <c r="C1605" t="s">
        <v>530</v>
      </c>
      <c r="D1605" t="s">
        <v>214</v>
      </c>
      <c r="E1605" t="s">
        <v>5634</v>
      </c>
      <c r="F1605" t="s">
        <v>5635</v>
      </c>
      <c r="G1605" t="s">
        <v>179</v>
      </c>
      <c r="H1605" t="s">
        <v>296</v>
      </c>
      <c r="I1605" t="s">
        <v>148</v>
      </c>
      <c r="J1605" t="s">
        <v>124</v>
      </c>
      <c r="K1605" t="s">
        <v>100</v>
      </c>
      <c r="L1605" t="s">
        <v>107</v>
      </c>
      <c r="M1605" t="s">
        <v>82</v>
      </c>
      <c r="N1605" t="s">
        <v>83</v>
      </c>
      <c r="O1605" s="3">
        <v>235000</v>
      </c>
      <c r="P1605" s="4">
        <v>5</v>
      </c>
      <c r="Q1605" s="2">
        <v>45818</v>
      </c>
      <c r="R1605" s="2">
        <v>46225</v>
      </c>
      <c r="S1605" s="2">
        <v>45764</v>
      </c>
      <c r="T1605" s="2"/>
      <c r="U1605" t="str">
        <f t="shared" si="175"/>
        <v>No</v>
      </c>
      <c r="W16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5" t="str">
        <f t="shared" ca="1" si="176"/>
        <v>Due/Open</v>
      </c>
      <c r="Y1605" t="str">
        <f t="shared" si="177"/>
        <v>Open</v>
      </c>
      <c r="Z1605" t="str">
        <f t="shared" si="178"/>
        <v>Apr-2025</v>
      </c>
      <c r="AA1605" t="str">
        <f t="shared" si="179"/>
        <v>Q2 2025</v>
      </c>
      <c r="AB1605" s="4">
        <f t="shared" ca="1" si="180"/>
        <v>451</v>
      </c>
      <c r="AC1605" t="str">
        <f t="shared" si="181"/>
        <v>Medium</v>
      </c>
    </row>
    <row r="1606" spans="1:29">
      <c r="A1606" t="s">
        <v>5636</v>
      </c>
      <c r="B1606" s="2">
        <v>45934</v>
      </c>
      <c r="C1606" t="s">
        <v>3148</v>
      </c>
      <c r="D1606" t="s">
        <v>490</v>
      </c>
      <c r="E1606" t="s">
        <v>5637</v>
      </c>
      <c r="F1606" t="s">
        <v>5638</v>
      </c>
      <c r="G1606" t="s">
        <v>34</v>
      </c>
      <c r="H1606" t="s">
        <v>238</v>
      </c>
      <c r="I1606" t="s">
        <v>61</v>
      </c>
      <c r="J1606" t="s">
        <v>124</v>
      </c>
      <c r="K1606" t="s">
        <v>71</v>
      </c>
      <c r="L1606" t="s">
        <v>154</v>
      </c>
      <c r="M1606" t="s">
        <v>90</v>
      </c>
      <c r="N1606" t="s">
        <v>91</v>
      </c>
      <c r="O1606" s="3">
        <v>130000</v>
      </c>
      <c r="P1606" s="4">
        <v>50</v>
      </c>
      <c r="Q1606" s="2">
        <v>45998</v>
      </c>
      <c r="R1606" s="2">
        <v>46172</v>
      </c>
      <c r="S1606" s="2">
        <v>45938</v>
      </c>
      <c r="T1606" s="2"/>
      <c r="U1606" t="str">
        <f t="shared" si="175"/>
        <v>No</v>
      </c>
      <c r="W16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6" t="str">
        <f t="shared" ca="1" si="176"/>
        <v>Overdue</v>
      </c>
      <c r="Y1606" t="str">
        <f t="shared" si="177"/>
        <v>Open</v>
      </c>
      <c r="Z1606" t="str">
        <f t="shared" si="178"/>
        <v>Oct-2025</v>
      </c>
      <c r="AA1606" t="str">
        <f t="shared" si="179"/>
        <v>Q4 2025</v>
      </c>
      <c r="AB1606" s="4">
        <f t="shared" ca="1" si="180"/>
        <v>265</v>
      </c>
      <c r="AC1606" t="str">
        <f t="shared" si="181"/>
        <v>Medium</v>
      </c>
    </row>
    <row r="1607" spans="1:29">
      <c r="A1607" t="s">
        <v>5639</v>
      </c>
      <c r="B1607" s="2">
        <v>45982</v>
      </c>
      <c r="C1607" t="s">
        <v>538</v>
      </c>
      <c r="D1607" t="s">
        <v>1876</v>
      </c>
      <c r="E1607" t="s">
        <v>5640</v>
      </c>
      <c r="F1607" t="s">
        <v>5641</v>
      </c>
      <c r="G1607" t="s">
        <v>179</v>
      </c>
      <c r="H1607" t="s">
        <v>180</v>
      </c>
      <c r="I1607" t="s">
        <v>141</v>
      </c>
      <c r="J1607" t="s">
        <v>124</v>
      </c>
      <c r="K1607" t="s">
        <v>51</v>
      </c>
      <c r="L1607" t="s">
        <v>52</v>
      </c>
      <c r="M1607" t="s">
        <v>40</v>
      </c>
      <c r="N1607" t="s">
        <v>41</v>
      </c>
      <c r="O1607" s="3">
        <v>150000</v>
      </c>
      <c r="P1607" s="4">
        <v>100</v>
      </c>
      <c r="Q1607" s="2">
        <v>46032</v>
      </c>
      <c r="R1607" s="2"/>
      <c r="S1607" s="2">
        <v>45995</v>
      </c>
      <c r="T1607" s="2">
        <v>46032</v>
      </c>
      <c r="U1607" t="str">
        <f t="shared" si="175"/>
        <v>Yes</v>
      </c>
      <c r="W160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50</v>
      </c>
      <c r="X1607" t="str">
        <f t="shared" ca="1" si="176"/>
        <v>Closed</v>
      </c>
      <c r="Y1607" t="str">
        <f t="shared" si="177"/>
        <v>Closed</v>
      </c>
      <c r="Z1607" t="str">
        <f t="shared" si="178"/>
        <v>Nov-2025</v>
      </c>
      <c r="AA1607" t="str">
        <f t="shared" si="179"/>
        <v>Q4 2025</v>
      </c>
      <c r="AB1607" s="4">
        <f t="shared" ca="1" si="180"/>
        <v>217</v>
      </c>
      <c r="AC1607" t="str">
        <f t="shared" si="181"/>
        <v>Medium</v>
      </c>
    </row>
    <row r="1608" spans="1:29">
      <c r="A1608" t="s">
        <v>5642</v>
      </c>
      <c r="B1608" s="2">
        <v>45697</v>
      </c>
      <c r="C1608" t="s">
        <v>913</v>
      </c>
      <c r="D1608" t="s">
        <v>645</v>
      </c>
      <c r="E1608" t="s">
        <v>5643</v>
      </c>
      <c r="F1608" t="s">
        <v>5644</v>
      </c>
      <c r="G1608" t="s">
        <v>179</v>
      </c>
      <c r="H1608" t="s">
        <v>487</v>
      </c>
      <c r="I1608" t="s">
        <v>141</v>
      </c>
      <c r="J1608" t="s">
        <v>37</v>
      </c>
      <c r="K1608" t="s">
        <v>194</v>
      </c>
      <c r="L1608" t="s">
        <v>142</v>
      </c>
      <c r="M1608" t="s">
        <v>53</v>
      </c>
      <c r="N1608" t="s">
        <v>54</v>
      </c>
      <c r="O1608" s="3">
        <v>90000</v>
      </c>
      <c r="P1608" s="4">
        <v>35</v>
      </c>
      <c r="Q1608" s="2">
        <v>45741</v>
      </c>
      <c r="R1608" s="2">
        <v>46170</v>
      </c>
      <c r="S1608" s="2">
        <v>45698</v>
      </c>
      <c r="T1608" s="2"/>
      <c r="U1608" t="str">
        <f t="shared" si="175"/>
        <v>No</v>
      </c>
      <c r="W16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8" t="str">
        <f t="shared" ca="1" si="176"/>
        <v>Overdue</v>
      </c>
      <c r="Y1608" t="str">
        <f t="shared" si="177"/>
        <v>Open</v>
      </c>
      <c r="Z1608" t="str">
        <f t="shared" si="178"/>
        <v>Feb-2025</v>
      </c>
      <c r="AA1608" t="str">
        <f t="shared" si="179"/>
        <v>Q1 2025</v>
      </c>
      <c r="AB1608" s="4">
        <f t="shared" ca="1" si="180"/>
        <v>502</v>
      </c>
      <c r="AC1608" t="str">
        <f t="shared" si="181"/>
        <v>Low</v>
      </c>
    </row>
    <row r="1609" spans="1:29">
      <c r="A1609" t="s">
        <v>5645</v>
      </c>
      <c r="B1609" s="2">
        <v>45718</v>
      </c>
      <c r="C1609" t="s">
        <v>4371</v>
      </c>
      <c r="D1609" t="s">
        <v>428</v>
      </c>
      <c r="E1609" t="s">
        <v>5646</v>
      </c>
      <c r="F1609" t="s">
        <v>5647</v>
      </c>
      <c r="G1609" t="s">
        <v>79</v>
      </c>
      <c r="H1609" t="s">
        <v>97</v>
      </c>
      <c r="I1609" t="s">
        <v>187</v>
      </c>
      <c r="J1609" t="s">
        <v>50</v>
      </c>
      <c r="K1609" t="s">
        <v>51</v>
      </c>
      <c r="L1609" t="s">
        <v>132</v>
      </c>
      <c r="M1609" t="s">
        <v>90</v>
      </c>
      <c r="N1609" t="s">
        <v>91</v>
      </c>
      <c r="O1609" s="3">
        <v>390000</v>
      </c>
      <c r="P1609" s="4">
        <v>40</v>
      </c>
      <c r="Q1609" s="2">
        <v>45754</v>
      </c>
      <c r="R1609" s="2">
        <v>46235</v>
      </c>
      <c r="S1609" s="2">
        <v>45726</v>
      </c>
      <c r="T1609" s="2"/>
      <c r="U1609" t="str">
        <f t="shared" si="175"/>
        <v>No</v>
      </c>
      <c r="W16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09" t="str">
        <f t="shared" ca="1" si="176"/>
        <v>Due/Open</v>
      </c>
      <c r="Y1609" t="str">
        <f t="shared" si="177"/>
        <v>Open</v>
      </c>
      <c r="Z1609" t="str">
        <f t="shared" si="178"/>
        <v>Mar-2025</v>
      </c>
      <c r="AA1609" t="str">
        <f t="shared" si="179"/>
        <v>Q1 2025</v>
      </c>
      <c r="AB1609" s="4">
        <f t="shared" ca="1" si="180"/>
        <v>481</v>
      </c>
      <c r="AC1609" t="str">
        <f t="shared" si="181"/>
        <v>High</v>
      </c>
    </row>
    <row r="1610" spans="1:29">
      <c r="A1610" t="s">
        <v>5648</v>
      </c>
      <c r="B1610" s="2">
        <v>46176</v>
      </c>
      <c r="C1610" t="s">
        <v>4367</v>
      </c>
      <c r="D1610" t="s">
        <v>337</v>
      </c>
      <c r="E1610" t="s">
        <v>5649</v>
      </c>
      <c r="F1610" t="s">
        <v>5650</v>
      </c>
      <c r="G1610" t="s">
        <v>69</v>
      </c>
      <c r="H1610" t="s">
        <v>193</v>
      </c>
      <c r="I1610" t="s">
        <v>98</v>
      </c>
      <c r="J1610" t="s">
        <v>99</v>
      </c>
      <c r="K1610" t="s">
        <v>114</v>
      </c>
      <c r="L1610" t="s">
        <v>81</v>
      </c>
      <c r="M1610" t="s">
        <v>166</v>
      </c>
      <c r="N1610" t="s">
        <v>167</v>
      </c>
      <c r="O1610" s="3">
        <v>180000</v>
      </c>
      <c r="P1610" s="4">
        <v>70</v>
      </c>
      <c r="Q1610" s="2">
        <v>46250</v>
      </c>
      <c r="R1610" s="2">
        <v>46242</v>
      </c>
      <c r="S1610" s="2">
        <v>46186</v>
      </c>
      <c r="T1610" s="2"/>
      <c r="U1610" t="str">
        <f t="shared" si="175"/>
        <v>No</v>
      </c>
      <c r="W16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0" t="str">
        <f t="shared" ca="1" si="176"/>
        <v>Due/Open</v>
      </c>
      <c r="Y1610" t="str">
        <f t="shared" si="177"/>
        <v>Open</v>
      </c>
      <c r="Z1610" t="str">
        <f t="shared" si="178"/>
        <v>Jun-2026</v>
      </c>
      <c r="AA1610" t="str">
        <f t="shared" si="179"/>
        <v>Q2 2026</v>
      </c>
      <c r="AB1610" s="4">
        <f t="shared" ca="1" si="180"/>
        <v>23</v>
      </c>
      <c r="AC1610" t="str">
        <f t="shared" si="181"/>
        <v>Medium</v>
      </c>
    </row>
    <row r="1611" spans="1:29">
      <c r="A1611" t="s">
        <v>5651</v>
      </c>
      <c r="B1611" s="2">
        <v>45972</v>
      </c>
      <c r="C1611" t="s">
        <v>1736</v>
      </c>
      <c r="D1611" t="s">
        <v>627</v>
      </c>
      <c r="E1611" t="s">
        <v>5652</v>
      </c>
      <c r="F1611" t="s">
        <v>5653</v>
      </c>
      <c r="G1611" t="s">
        <v>47</v>
      </c>
      <c r="H1611" t="s">
        <v>113</v>
      </c>
      <c r="I1611" t="s">
        <v>36</v>
      </c>
      <c r="J1611" t="s">
        <v>99</v>
      </c>
      <c r="K1611" t="s">
        <v>114</v>
      </c>
      <c r="L1611" t="s">
        <v>115</v>
      </c>
      <c r="M1611" t="s">
        <v>40</v>
      </c>
      <c r="N1611" t="s">
        <v>41</v>
      </c>
      <c r="O1611" s="3">
        <v>615000</v>
      </c>
      <c r="P1611" s="4">
        <v>100</v>
      </c>
      <c r="Q1611" s="2">
        <v>45997</v>
      </c>
      <c r="R1611" s="2"/>
      <c r="S1611" s="2">
        <v>45984</v>
      </c>
      <c r="T1611" s="2">
        <v>45997</v>
      </c>
      <c r="U1611" t="str">
        <f t="shared" si="175"/>
        <v>Yes</v>
      </c>
      <c r="W161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25</v>
      </c>
      <c r="X1611" t="str">
        <f t="shared" ca="1" si="176"/>
        <v>Closed</v>
      </c>
      <c r="Y1611" t="str">
        <f t="shared" si="177"/>
        <v>Closed</v>
      </c>
      <c r="Z1611" t="str">
        <f t="shared" si="178"/>
        <v>Nov-2025</v>
      </c>
      <c r="AA1611" t="str">
        <f t="shared" si="179"/>
        <v>Q4 2025</v>
      </c>
      <c r="AB1611" s="4">
        <f t="shared" ca="1" si="180"/>
        <v>227</v>
      </c>
      <c r="AC1611" t="str">
        <f t="shared" si="181"/>
        <v>High</v>
      </c>
    </row>
    <row r="1612" spans="1:29">
      <c r="A1612" t="s">
        <v>5654</v>
      </c>
      <c r="B1612" s="2">
        <v>45739</v>
      </c>
      <c r="C1612" t="s">
        <v>224</v>
      </c>
      <c r="D1612" t="s">
        <v>293</v>
      </c>
      <c r="E1612" t="s">
        <v>5655</v>
      </c>
      <c r="F1612" t="s">
        <v>5656</v>
      </c>
      <c r="G1612" t="s">
        <v>79</v>
      </c>
      <c r="H1612" t="s">
        <v>217</v>
      </c>
      <c r="I1612" t="s">
        <v>141</v>
      </c>
      <c r="J1612" t="s">
        <v>50</v>
      </c>
      <c r="K1612" t="s">
        <v>38</v>
      </c>
      <c r="L1612" t="s">
        <v>125</v>
      </c>
      <c r="M1612" t="s">
        <v>166</v>
      </c>
      <c r="N1612" t="s">
        <v>167</v>
      </c>
      <c r="O1612" s="3">
        <v>520000</v>
      </c>
      <c r="P1612" s="4">
        <v>70</v>
      </c>
      <c r="Q1612" s="2">
        <v>45792</v>
      </c>
      <c r="R1612" s="2">
        <v>46191</v>
      </c>
      <c r="S1612" s="2">
        <v>45757</v>
      </c>
      <c r="T1612" s="2"/>
      <c r="U1612" t="str">
        <f t="shared" si="175"/>
        <v>No</v>
      </c>
      <c r="W161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2" t="str">
        <f t="shared" ca="1" si="176"/>
        <v>Overdue</v>
      </c>
      <c r="Y1612" t="str">
        <f t="shared" si="177"/>
        <v>Open</v>
      </c>
      <c r="Z1612" t="str">
        <f t="shared" si="178"/>
        <v>Mar-2025</v>
      </c>
      <c r="AA1612" t="str">
        <f t="shared" si="179"/>
        <v>Q1 2025</v>
      </c>
      <c r="AB1612" s="4">
        <f t="shared" ca="1" si="180"/>
        <v>460</v>
      </c>
      <c r="AC1612" t="str">
        <f t="shared" si="181"/>
        <v>High</v>
      </c>
    </row>
    <row r="1613" spans="1:29">
      <c r="A1613" t="s">
        <v>5657</v>
      </c>
      <c r="B1613" s="2">
        <v>46072</v>
      </c>
      <c r="C1613" t="s">
        <v>2261</v>
      </c>
      <c r="D1613" t="s">
        <v>1081</v>
      </c>
      <c r="E1613" t="s">
        <v>3511</v>
      </c>
      <c r="F1613" t="s">
        <v>5658</v>
      </c>
      <c r="G1613" t="s">
        <v>34</v>
      </c>
      <c r="H1613" t="s">
        <v>35</v>
      </c>
      <c r="I1613" t="s">
        <v>36</v>
      </c>
      <c r="J1613" t="s">
        <v>50</v>
      </c>
      <c r="K1613" t="s">
        <v>114</v>
      </c>
      <c r="L1613" t="s">
        <v>39</v>
      </c>
      <c r="M1613" t="s">
        <v>73</v>
      </c>
      <c r="N1613" t="s">
        <v>73</v>
      </c>
      <c r="O1613" s="3">
        <v>155000</v>
      </c>
      <c r="P1613" s="4">
        <v>80</v>
      </c>
      <c r="Q1613" s="2">
        <v>46105</v>
      </c>
      <c r="R1613" s="2">
        <v>46211</v>
      </c>
      <c r="S1613" s="2">
        <v>46089</v>
      </c>
      <c r="T1613" s="2"/>
      <c r="U1613" t="str">
        <f t="shared" si="175"/>
        <v>No</v>
      </c>
      <c r="W16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3" t="str">
        <f t="shared" ca="1" si="176"/>
        <v>Due/Open</v>
      </c>
      <c r="Y1613" t="str">
        <f t="shared" si="177"/>
        <v>Open</v>
      </c>
      <c r="Z1613" t="str">
        <f t="shared" si="178"/>
        <v>Feb-2026</v>
      </c>
      <c r="AA1613" t="str">
        <f t="shared" si="179"/>
        <v>Q1 2026</v>
      </c>
      <c r="AB1613" s="4">
        <f t="shared" ca="1" si="180"/>
        <v>127</v>
      </c>
      <c r="AC1613" t="str">
        <f t="shared" si="181"/>
        <v>Medium</v>
      </c>
    </row>
    <row r="1614" spans="1:29">
      <c r="A1614" t="s">
        <v>5659</v>
      </c>
      <c r="B1614" s="2">
        <v>45731</v>
      </c>
      <c r="C1614" t="s">
        <v>868</v>
      </c>
      <c r="D1614" t="s">
        <v>288</v>
      </c>
      <c r="E1614" t="s">
        <v>5660</v>
      </c>
      <c r="F1614" t="s">
        <v>5661</v>
      </c>
      <c r="G1614" t="s">
        <v>179</v>
      </c>
      <c r="H1614" t="s">
        <v>296</v>
      </c>
      <c r="I1614" t="s">
        <v>141</v>
      </c>
      <c r="J1614" t="s">
        <v>124</v>
      </c>
      <c r="K1614" t="s">
        <v>114</v>
      </c>
      <c r="L1614" t="s">
        <v>52</v>
      </c>
      <c r="M1614" t="s">
        <v>53</v>
      </c>
      <c r="N1614" t="s">
        <v>54</v>
      </c>
      <c r="O1614" s="3">
        <v>160000</v>
      </c>
      <c r="P1614" s="4">
        <v>30</v>
      </c>
      <c r="Q1614" s="2">
        <v>45809</v>
      </c>
      <c r="R1614" s="2">
        <v>46169</v>
      </c>
      <c r="S1614" s="2">
        <v>45750</v>
      </c>
      <c r="T1614" s="2"/>
      <c r="U1614" t="str">
        <f t="shared" si="175"/>
        <v>No</v>
      </c>
      <c r="W16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4" t="str">
        <f t="shared" ca="1" si="176"/>
        <v>Overdue</v>
      </c>
      <c r="Y1614" t="str">
        <f t="shared" si="177"/>
        <v>Open</v>
      </c>
      <c r="Z1614" t="str">
        <f t="shared" si="178"/>
        <v>Mar-2025</v>
      </c>
      <c r="AA1614" t="str">
        <f t="shared" si="179"/>
        <v>Q1 2025</v>
      </c>
      <c r="AB1614" s="4">
        <f t="shared" ca="1" si="180"/>
        <v>468</v>
      </c>
      <c r="AC1614" t="str">
        <f t="shared" si="181"/>
        <v>Medium</v>
      </c>
    </row>
    <row r="1615" spans="1:29">
      <c r="A1615" t="s">
        <v>5662</v>
      </c>
      <c r="B1615" s="2">
        <v>45985</v>
      </c>
      <c r="C1615" t="s">
        <v>3437</v>
      </c>
      <c r="D1615" t="s">
        <v>288</v>
      </c>
      <c r="E1615" t="s">
        <v>5663</v>
      </c>
      <c r="F1615" t="s">
        <v>5664</v>
      </c>
      <c r="G1615" t="s">
        <v>47</v>
      </c>
      <c r="H1615" t="s">
        <v>122</v>
      </c>
      <c r="I1615" t="s">
        <v>187</v>
      </c>
      <c r="J1615" t="s">
        <v>62</v>
      </c>
      <c r="K1615" t="s">
        <v>38</v>
      </c>
      <c r="L1615" t="s">
        <v>107</v>
      </c>
      <c r="M1615" t="s">
        <v>82</v>
      </c>
      <c r="N1615" t="s">
        <v>83</v>
      </c>
      <c r="O1615" s="3">
        <v>440000</v>
      </c>
      <c r="P1615" s="4">
        <v>10</v>
      </c>
      <c r="Q1615" s="2">
        <v>46023</v>
      </c>
      <c r="R1615" s="2">
        <v>46163</v>
      </c>
      <c r="S1615" s="2">
        <v>45998</v>
      </c>
      <c r="T1615" s="2"/>
      <c r="U1615" t="str">
        <f t="shared" si="175"/>
        <v>No</v>
      </c>
      <c r="W16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5" t="str">
        <f t="shared" ca="1" si="176"/>
        <v>Overdue</v>
      </c>
      <c r="Y1615" t="str">
        <f t="shared" si="177"/>
        <v>Open</v>
      </c>
      <c r="Z1615" t="str">
        <f t="shared" si="178"/>
        <v>Nov-2025</v>
      </c>
      <c r="AA1615" t="str">
        <f t="shared" si="179"/>
        <v>Q4 2025</v>
      </c>
      <c r="AB1615" s="4">
        <f t="shared" ca="1" si="180"/>
        <v>214</v>
      </c>
      <c r="AC1615" t="str">
        <f t="shared" si="181"/>
        <v>High</v>
      </c>
    </row>
    <row r="1616" spans="1:29">
      <c r="A1616" t="s">
        <v>5665</v>
      </c>
      <c r="B1616" s="2">
        <v>45873</v>
      </c>
      <c r="C1616" t="s">
        <v>5666</v>
      </c>
      <c r="D1616" t="s">
        <v>247</v>
      </c>
      <c r="E1616" t="s">
        <v>5667</v>
      </c>
      <c r="F1616" t="s">
        <v>5668</v>
      </c>
      <c r="G1616" t="s">
        <v>47</v>
      </c>
      <c r="H1616" t="s">
        <v>113</v>
      </c>
      <c r="I1616" t="s">
        <v>98</v>
      </c>
      <c r="J1616" t="s">
        <v>124</v>
      </c>
      <c r="K1616" t="s">
        <v>38</v>
      </c>
      <c r="L1616" t="s">
        <v>39</v>
      </c>
      <c r="M1616" t="s">
        <v>40</v>
      </c>
      <c r="N1616" t="s">
        <v>41</v>
      </c>
      <c r="O1616" s="3">
        <v>135000</v>
      </c>
      <c r="P1616" s="4">
        <v>100</v>
      </c>
      <c r="Q1616" s="2">
        <v>45883</v>
      </c>
      <c r="R1616" s="2"/>
      <c r="S1616" s="2">
        <v>45892</v>
      </c>
      <c r="T1616" s="2">
        <v>45883</v>
      </c>
      <c r="U1616" t="str">
        <f t="shared" si="175"/>
        <v>Yes</v>
      </c>
      <c r="W161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616" t="str">
        <f t="shared" ca="1" si="176"/>
        <v>Closed</v>
      </c>
      <c r="Y1616" t="str">
        <f t="shared" si="177"/>
        <v>Closed</v>
      </c>
      <c r="Z1616" t="str">
        <f t="shared" si="178"/>
        <v>Aug-2025</v>
      </c>
      <c r="AA1616" t="str">
        <f t="shared" si="179"/>
        <v>Q3 2025</v>
      </c>
      <c r="AB1616" s="4">
        <f t="shared" ca="1" si="180"/>
        <v>326</v>
      </c>
      <c r="AC1616" t="str">
        <f t="shared" si="181"/>
        <v>Medium</v>
      </c>
    </row>
    <row r="1617" spans="1:29">
      <c r="A1617" t="s">
        <v>5669</v>
      </c>
      <c r="B1617" s="2">
        <v>46146</v>
      </c>
      <c r="C1617" t="s">
        <v>162</v>
      </c>
      <c r="D1617" t="s">
        <v>170</v>
      </c>
      <c r="E1617" t="s">
        <v>5670</v>
      </c>
      <c r="F1617" t="s">
        <v>5671</v>
      </c>
      <c r="G1617" t="s">
        <v>69</v>
      </c>
      <c r="H1617" t="s">
        <v>270</v>
      </c>
      <c r="I1617" t="s">
        <v>141</v>
      </c>
      <c r="J1617" t="s">
        <v>50</v>
      </c>
      <c r="K1617" t="s">
        <v>51</v>
      </c>
      <c r="L1617" t="s">
        <v>39</v>
      </c>
      <c r="M1617" t="s">
        <v>166</v>
      </c>
      <c r="N1617" t="s">
        <v>167</v>
      </c>
      <c r="O1617" s="3">
        <v>250000</v>
      </c>
      <c r="P1617" s="4">
        <v>70</v>
      </c>
      <c r="Q1617" s="2">
        <v>46238</v>
      </c>
      <c r="R1617" s="2">
        <v>46232</v>
      </c>
      <c r="S1617" s="2">
        <v>46155</v>
      </c>
      <c r="T1617" s="2"/>
      <c r="U1617" t="str">
        <f t="shared" si="175"/>
        <v>No</v>
      </c>
      <c r="W16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7" t="str">
        <f t="shared" ca="1" si="176"/>
        <v>Due/Open</v>
      </c>
      <c r="Y1617" t="str">
        <f t="shared" si="177"/>
        <v>Open</v>
      </c>
      <c r="Z1617" t="str">
        <f t="shared" si="178"/>
        <v>May-2026</v>
      </c>
      <c r="AA1617" t="str">
        <f t="shared" si="179"/>
        <v>Q2 2026</v>
      </c>
      <c r="AB1617" s="4">
        <f t="shared" ca="1" si="180"/>
        <v>53</v>
      </c>
      <c r="AC1617" t="str">
        <f t="shared" si="181"/>
        <v>Medium</v>
      </c>
    </row>
    <row r="1618" spans="1:29">
      <c r="A1618" t="s">
        <v>5672</v>
      </c>
      <c r="B1618" s="2">
        <v>45863</v>
      </c>
      <c r="C1618" t="s">
        <v>495</v>
      </c>
      <c r="D1618" t="s">
        <v>1683</v>
      </c>
      <c r="E1618" t="s">
        <v>5673</v>
      </c>
      <c r="F1618" t="s">
        <v>5674</v>
      </c>
      <c r="G1618" t="s">
        <v>47</v>
      </c>
      <c r="H1618" t="s">
        <v>418</v>
      </c>
      <c r="I1618" t="s">
        <v>141</v>
      </c>
      <c r="J1618" t="s">
        <v>124</v>
      </c>
      <c r="K1618" t="s">
        <v>71</v>
      </c>
      <c r="L1618" t="s">
        <v>132</v>
      </c>
      <c r="M1618" t="s">
        <v>90</v>
      </c>
      <c r="N1618" t="s">
        <v>91</v>
      </c>
      <c r="O1618" s="3">
        <v>165000</v>
      </c>
      <c r="P1618" s="4">
        <v>50</v>
      </c>
      <c r="Q1618" s="2">
        <v>45948</v>
      </c>
      <c r="R1618" s="2">
        <v>46240</v>
      </c>
      <c r="S1618" s="2">
        <v>45864</v>
      </c>
      <c r="T1618" s="2"/>
      <c r="U1618" t="str">
        <f t="shared" si="175"/>
        <v>No</v>
      </c>
      <c r="W16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8" t="str">
        <f t="shared" ca="1" si="176"/>
        <v>Due/Open</v>
      </c>
      <c r="Y1618" t="str">
        <f t="shared" si="177"/>
        <v>Open</v>
      </c>
      <c r="Z1618" t="str">
        <f t="shared" si="178"/>
        <v>Jul-2025</v>
      </c>
      <c r="AA1618" t="str">
        <f t="shared" si="179"/>
        <v>Q3 2025</v>
      </c>
      <c r="AB1618" s="4">
        <f t="shared" ca="1" si="180"/>
        <v>336</v>
      </c>
      <c r="AC1618" t="str">
        <f t="shared" si="181"/>
        <v>Medium</v>
      </c>
    </row>
    <row r="1619" spans="1:29">
      <c r="A1619" t="s">
        <v>5675</v>
      </c>
      <c r="B1619" s="2">
        <v>45845</v>
      </c>
      <c r="C1619" t="s">
        <v>622</v>
      </c>
      <c r="D1619" t="s">
        <v>443</v>
      </c>
      <c r="E1619" t="s">
        <v>5676</v>
      </c>
      <c r="F1619" t="s">
        <v>5677</v>
      </c>
      <c r="G1619" t="s">
        <v>69</v>
      </c>
      <c r="H1619" t="s">
        <v>270</v>
      </c>
      <c r="I1619" t="s">
        <v>36</v>
      </c>
      <c r="J1619" t="s">
        <v>50</v>
      </c>
      <c r="K1619" t="s">
        <v>38</v>
      </c>
      <c r="L1619" t="s">
        <v>39</v>
      </c>
      <c r="M1619" t="s">
        <v>82</v>
      </c>
      <c r="N1619" t="s">
        <v>83</v>
      </c>
      <c r="O1619" s="3">
        <v>265000</v>
      </c>
      <c r="P1619" s="4">
        <v>5</v>
      </c>
      <c r="Q1619" s="2">
        <v>45931</v>
      </c>
      <c r="R1619" s="2">
        <v>46203</v>
      </c>
      <c r="S1619" s="2">
        <v>45858</v>
      </c>
      <c r="T1619" s="2"/>
      <c r="U1619" t="str">
        <f t="shared" si="175"/>
        <v>No</v>
      </c>
      <c r="W16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19" t="str">
        <f t="shared" ca="1" si="176"/>
        <v>Due/Open</v>
      </c>
      <c r="Y1619" t="str">
        <f t="shared" si="177"/>
        <v>Open</v>
      </c>
      <c r="Z1619" t="str">
        <f t="shared" si="178"/>
        <v>Jul-2025</v>
      </c>
      <c r="AA1619" t="str">
        <f t="shared" si="179"/>
        <v>Q3 2025</v>
      </c>
      <c r="AB1619" s="4">
        <f t="shared" ca="1" si="180"/>
        <v>354</v>
      </c>
      <c r="AC1619" t="str">
        <f t="shared" si="181"/>
        <v>Medium</v>
      </c>
    </row>
    <row r="1620" spans="1:29">
      <c r="A1620" t="s">
        <v>5678</v>
      </c>
      <c r="B1620" s="2">
        <v>46149</v>
      </c>
      <c r="C1620" t="s">
        <v>2226</v>
      </c>
      <c r="D1620" t="s">
        <v>183</v>
      </c>
      <c r="E1620" t="s">
        <v>5679</v>
      </c>
      <c r="F1620" t="s">
        <v>5680</v>
      </c>
      <c r="G1620" t="s">
        <v>69</v>
      </c>
      <c r="H1620" t="s">
        <v>312</v>
      </c>
      <c r="I1620" t="s">
        <v>98</v>
      </c>
      <c r="J1620" t="s">
        <v>50</v>
      </c>
      <c r="K1620" t="s">
        <v>114</v>
      </c>
      <c r="L1620" t="s">
        <v>107</v>
      </c>
      <c r="M1620" t="s">
        <v>90</v>
      </c>
      <c r="N1620" t="s">
        <v>91</v>
      </c>
      <c r="O1620" s="3">
        <v>355000</v>
      </c>
      <c r="P1620" s="4">
        <v>40</v>
      </c>
      <c r="Q1620" s="2">
        <v>46182</v>
      </c>
      <c r="R1620" s="2">
        <v>46222</v>
      </c>
      <c r="S1620" s="2">
        <v>46155</v>
      </c>
      <c r="T1620" s="2"/>
      <c r="U1620" t="str">
        <f t="shared" si="175"/>
        <v>No</v>
      </c>
      <c r="W16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0" t="str">
        <f t="shared" ca="1" si="176"/>
        <v>Due/Open</v>
      </c>
      <c r="Y1620" t="str">
        <f t="shared" si="177"/>
        <v>Open</v>
      </c>
      <c r="Z1620" t="str">
        <f t="shared" si="178"/>
        <v>May-2026</v>
      </c>
      <c r="AA1620" t="str">
        <f t="shared" si="179"/>
        <v>Q2 2026</v>
      </c>
      <c r="AB1620" s="4">
        <f t="shared" ca="1" si="180"/>
        <v>50</v>
      </c>
      <c r="AC1620" t="str">
        <f t="shared" si="181"/>
        <v>High</v>
      </c>
    </row>
    <row r="1621" spans="1:29">
      <c r="A1621" t="s">
        <v>5681</v>
      </c>
      <c r="B1621" s="2">
        <v>45747</v>
      </c>
      <c r="C1621" t="s">
        <v>1577</v>
      </c>
      <c r="D1621" t="s">
        <v>332</v>
      </c>
      <c r="E1621" t="s">
        <v>5682</v>
      </c>
      <c r="F1621" t="s">
        <v>5683</v>
      </c>
      <c r="G1621" t="s">
        <v>179</v>
      </c>
      <c r="H1621" t="s">
        <v>318</v>
      </c>
      <c r="I1621" t="s">
        <v>36</v>
      </c>
      <c r="J1621" t="s">
        <v>124</v>
      </c>
      <c r="K1621" t="s">
        <v>114</v>
      </c>
      <c r="L1621" t="s">
        <v>52</v>
      </c>
      <c r="M1621" t="s">
        <v>82</v>
      </c>
      <c r="N1621" t="s">
        <v>83</v>
      </c>
      <c r="O1621" s="3">
        <v>245000</v>
      </c>
      <c r="P1621" s="4">
        <v>5</v>
      </c>
      <c r="Q1621" s="2">
        <v>45833</v>
      </c>
      <c r="R1621" s="2">
        <v>46156</v>
      </c>
      <c r="S1621" s="2">
        <v>45750</v>
      </c>
      <c r="T1621" s="2"/>
      <c r="U1621" t="str">
        <f t="shared" si="175"/>
        <v>No</v>
      </c>
      <c r="W16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1" t="str">
        <f t="shared" ca="1" si="176"/>
        <v>Overdue</v>
      </c>
      <c r="Y1621" t="str">
        <f t="shared" si="177"/>
        <v>Open</v>
      </c>
      <c r="Z1621" t="str">
        <f t="shared" si="178"/>
        <v>Mar-2025</v>
      </c>
      <c r="AA1621" t="str">
        <f t="shared" si="179"/>
        <v>Q1 2025</v>
      </c>
      <c r="AB1621" s="4">
        <f t="shared" ca="1" si="180"/>
        <v>452</v>
      </c>
      <c r="AC1621" t="str">
        <f t="shared" si="181"/>
        <v>Medium</v>
      </c>
    </row>
    <row r="1622" spans="1:29">
      <c r="A1622" t="s">
        <v>5684</v>
      </c>
      <c r="B1622" s="2">
        <v>46053</v>
      </c>
      <c r="C1622" t="s">
        <v>5489</v>
      </c>
      <c r="D1622" t="s">
        <v>151</v>
      </c>
      <c r="E1622" t="s">
        <v>5685</v>
      </c>
      <c r="F1622" t="s">
        <v>5686</v>
      </c>
      <c r="G1622" t="s">
        <v>34</v>
      </c>
      <c r="H1622" t="s">
        <v>238</v>
      </c>
      <c r="I1622" t="s">
        <v>187</v>
      </c>
      <c r="J1622" t="s">
        <v>131</v>
      </c>
      <c r="K1622" t="s">
        <v>51</v>
      </c>
      <c r="L1622" t="s">
        <v>154</v>
      </c>
      <c r="M1622" t="s">
        <v>210</v>
      </c>
      <c r="N1622" t="s">
        <v>134</v>
      </c>
      <c r="O1622" s="3">
        <v>325000</v>
      </c>
      <c r="P1622" s="4">
        <v>0</v>
      </c>
      <c r="Q1622" s="2">
        <v>46110</v>
      </c>
      <c r="R1622" s="2"/>
      <c r="S1622" s="2">
        <v>46058</v>
      </c>
      <c r="T1622" s="2">
        <v>46110</v>
      </c>
      <c r="U1622" t="str">
        <f t="shared" si="175"/>
        <v>No</v>
      </c>
      <c r="V1622" t="s">
        <v>319</v>
      </c>
      <c r="W16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1622" t="str">
        <f t="shared" ca="1" si="176"/>
        <v>Closed</v>
      </c>
      <c r="Y1622" t="str">
        <f t="shared" si="177"/>
        <v>Closed</v>
      </c>
      <c r="Z1622" t="str">
        <f t="shared" si="178"/>
        <v>Jan-2026</v>
      </c>
      <c r="AA1622" t="str">
        <f t="shared" si="179"/>
        <v>Q1 2026</v>
      </c>
      <c r="AB1622" s="4">
        <f t="shared" ca="1" si="180"/>
        <v>146</v>
      </c>
      <c r="AC1622" t="str">
        <f t="shared" si="181"/>
        <v>High</v>
      </c>
    </row>
    <row r="1623" spans="1:29">
      <c r="A1623" t="s">
        <v>5687</v>
      </c>
      <c r="B1623" s="2">
        <v>46110</v>
      </c>
      <c r="C1623" t="s">
        <v>406</v>
      </c>
      <c r="D1623" t="s">
        <v>1081</v>
      </c>
      <c r="E1623" t="s">
        <v>5688</v>
      </c>
      <c r="F1623" t="s">
        <v>5689</v>
      </c>
      <c r="G1623" t="s">
        <v>79</v>
      </c>
      <c r="H1623" t="s">
        <v>217</v>
      </c>
      <c r="I1623" t="s">
        <v>36</v>
      </c>
      <c r="J1623" t="s">
        <v>99</v>
      </c>
      <c r="K1623" t="s">
        <v>38</v>
      </c>
      <c r="L1623" t="s">
        <v>239</v>
      </c>
      <c r="M1623" t="s">
        <v>40</v>
      </c>
      <c r="N1623" t="s">
        <v>41</v>
      </c>
      <c r="O1623" s="3">
        <v>435000</v>
      </c>
      <c r="P1623" s="4">
        <v>100</v>
      </c>
      <c r="Q1623" s="2">
        <v>46144</v>
      </c>
      <c r="R1623" s="2"/>
      <c r="S1623" s="2">
        <v>46139</v>
      </c>
      <c r="T1623" s="2">
        <v>46144</v>
      </c>
      <c r="U1623" t="str">
        <f t="shared" si="175"/>
        <v>Yes</v>
      </c>
      <c r="W16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34</v>
      </c>
      <c r="X1623" t="str">
        <f t="shared" ca="1" si="176"/>
        <v>Closed</v>
      </c>
      <c r="Y1623" t="str">
        <f t="shared" si="177"/>
        <v>Closed</v>
      </c>
      <c r="Z1623" t="str">
        <f t="shared" si="178"/>
        <v>Mar-2026</v>
      </c>
      <c r="AA1623" t="str">
        <f t="shared" si="179"/>
        <v>Q1 2026</v>
      </c>
      <c r="AB1623" s="4">
        <f t="shared" ca="1" si="180"/>
        <v>89</v>
      </c>
      <c r="AC1623" t="str">
        <f t="shared" si="181"/>
        <v>High</v>
      </c>
    </row>
    <row r="1624" spans="1:29">
      <c r="A1624" t="s">
        <v>5690</v>
      </c>
      <c r="B1624" s="2">
        <v>46076</v>
      </c>
      <c r="C1624" t="s">
        <v>3016</v>
      </c>
      <c r="D1624" t="s">
        <v>86</v>
      </c>
      <c r="E1624" t="s">
        <v>5691</v>
      </c>
      <c r="F1624" t="s">
        <v>5692</v>
      </c>
      <c r="G1624" t="s">
        <v>34</v>
      </c>
      <c r="H1624" t="s">
        <v>173</v>
      </c>
      <c r="I1624" t="s">
        <v>36</v>
      </c>
      <c r="J1624" t="s">
        <v>131</v>
      </c>
      <c r="K1624" t="s">
        <v>38</v>
      </c>
      <c r="L1624" t="s">
        <v>154</v>
      </c>
      <c r="M1624" t="s">
        <v>40</v>
      </c>
      <c r="N1624" t="s">
        <v>41</v>
      </c>
      <c r="O1624" s="3">
        <v>275000</v>
      </c>
      <c r="P1624" s="4">
        <v>100</v>
      </c>
      <c r="Q1624" s="2">
        <v>46107</v>
      </c>
      <c r="R1624" s="2"/>
      <c r="S1624" s="2">
        <v>46080</v>
      </c>
      <c r="T1624" s="2">
        <v>46107</v>
      </c>
      <c r="U1624" t="str">
        <f t="shared" si="175"/>
        <v>Yes</v>
      </c>
      <c r="W162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624" t="str">
        <f t="shared" ca="1" si="176"/>
        <v>Closed</v>
      </c>
      <c r="Y1624" t="str">
        <f t="shared" si="177"/>
        <v>Closed</v>
      </c>
      <c r="Z1624" t="str">
        <f t="shared" si="178"/>
        <v>Feb-2026</v>
      </c>
      <c r="AA1624" t="str">
        <f t="shared" si="179"/>
        <v>Q1 2026</v>
      </c>
      <c r="AB1624" s="4">
        <f t="shared" ca="1" si="180"/>
        <v>123</v>
      </c>
      <c r="AC1624" t="str">
        <f t="shared" si="181"/>
        <v>Medium</v>
      </c>
    </row>
    <row r="1625" spans="1:29">
      <c r="A1625" t="s">
        <v>5693</v>
      </c>
      <c r="B1625" s="2">
        <v>45919</v>
      </c>
      <c r="C1625" t="s">
        <v>2215</v>
      </c>
      <c r="D1625" t="s">
        <v>352</v>
      </c>
      <c r="E1625" t="s">
        <v>5694</v>
      </c>
      <c r="F1625" t="s">
        <v>5695</v>
      </c>
      <c r="G1625" t="s">
        <v>69</v>
      </c>
      <c r="H1625" t="s">
        <v>285</v>
      </c>
      <c r="I1625" t="s">
        <v>123</v>
      </c>
      <c r="J1625" t="s">
        <v>62</v>
      </c>
      <c r="K1625" t="s">
        <v>114</v>
      </c>
      <c r="L1625" t="s">
        <v>63</v>
      </c>
      <c r="M1625" t="s">
        <v>73</v>
      </c>
      <c r="N1625" t="s">
        <v>73</v>
      </c>
      <c r="O1625" s="3">
        <v>165000</v>
      </c>
      <c r="P1625" s="4">
        <v>80</v>
      </c>
      <c r="Q1625" s="2">
        <v>46006</v>
      </c>
      <c r="R1625" s="2">
        <v>46169</v>
      </c>
      <c r="S1625" s="2">
        <v>45941</v>
      </c>
      <c r="T1625" s="2"/>
      <c r="U1625" t="str">
        <f t="shared" si="175"/>
        <v>No</v>
      </c>
      <c r="W16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5" t="str">
        <f t="shared" ca="1" si="176"/>
        <v>Overdue</v>
      </c>
      <c r="Y1625" t="str">
        <f t="shared" si="177"/>
        <v>Open</v>
      </c>
      <c r="Z1625" t="str">
        <f t="shared" si="178"/>
        <v>Sep-2025</v>
      </c>
      <c r="AA1625" t="str">
        <f t="shared" si="179"/>
        <v>Q3 2025</v>
      </c>
      <c r="AB1625" s="4">
        <f t="shared" ca="1" si="180"/>
        <v>280</v>
      </c>
      <c r="AC1625" t="str">
        <f t="shared" si="181"/>
        <v>Medium</v>
      </c>
    </row>
    <row r="1626" spans="1:29">
      <c r="A1626" t="s">
        <v>5696</v>
      </c>
      <c r="B1626" s="2">
        <v>46018</v>
      </c>
      <c r="C1626" t="s">
        <v>5697</v>
      </c>
      <c r="D1626" t="s">
        <v>1254</v>
      </c>
      <c r="E1626" t="s">
        <v>5698</v>
      </c>
      <c r="F1626" t="s">
        <v>5699</v>
      </c>
      <c r="G1626" t="s">
        <v>47</v>
      </c>
      <c r="H1626" t="s">
        <v>113</v>
      </c>
      <c r="I1626" t="s">
        <v>187</v>
      </c>
      <c r="J1626" t="s">
        <v>124</v>
      </c>
      <c r="K1626" t="s">
        <v>51</v>
      </c>
      <c r="L1626" t="s">
        <v>132</v>
      </c>
      <c r="M1626" t="s">
        <v>82</v>
      </c>
      <c r="N1626" t="s">
        <v>83</v>
      </c>
      <c r="O1626" s="3">
        <v>135000</v>
      </c>
      <c r="P1626" s="4">
        <v>10</v>
      </c>
      <c r="Q1626" s="2">
        <v>46052</v>
      </c>
      <c r="R1626" s="2">
        <v>46206</v>
      </c>
      <c r="S1626" s="2">
        <v>46035</v>
      </c>
      <c r="T1626" s="2"/>
      <c r="U1626" t="str">
        <f t="shared" si="175"/>
        <v>No</v>
      </c>
      <c r="W16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6" t="str">
        <f t="shared" ca="1" si="176"/>
        <v>Due/Open</v>
      </c>
      <c r="Y1626" t="str">
        <f t="shared" si="177"/>
        <v>Open</v>
      </c>
      <c r="Z1626" t="str">
        <f t="shared" si="178"/>
        <v>Dec-2025</v>
      </c>
      <c r="AA1626" t="str">
        <f t="shared" si="179"/>
        <v>Q4 2025</v>
      </c>
      <c r="AB1626" s="4">
        <f t="shared" ca="1" si="180"/>
        <v>181</v>
      </c>
      <c r="AC1626" t="str">
        <f t="shared" si="181"/>
        <v>Medium</v>
      </c>
    </row>
    <row r="1627" spans="1:29">
      <c r="A1627" t="s">
        <v>5700</v>
      </c>
      <c r="B1627" s="2">
        <v>45661</v>
      </c>
      <c r="C1627" t="s">
        <v>402</v>
      </c>
      <c r="D1627" t="s">
        <v>449</v>
      </c>
      <c r="E1627" t="s">
        <v>5701</v>
      </c>
      <c r="F1627" t="s">
        <v>5702</v>
      </c>
      <c r="G1627" t="s">
        <v>34</v>
      </c>
      <c r="H1627" t="s">
        <v>446</v>
      </c>
      <c r="I1627" t="s">
        <v>98</v>
      </c>
      <c r="J1627" t="s">
        <v>37</v>
      </c>
      <c r="K1627" t="s">
        <v>51</v>
      </c>
      <c r="L1627" t="s">
        <v>39</v>
      </c>
      <c r="M1627" t="s">
        <v>90</v>
      </c>
      <c r="N1627" t="s">
        <v>91</v>
      </c>
      <c r="O1627" s="3">
        <v>100000</v>
      </c>
      <c r="P1627" s="4">
        <v>40</v>
      </c>
      <c r="Q1627" s="2">
        <v>45697</v>
      </c>
      <c r="R1627" s="2">
        <v>46190</v>
      </c>
      <c r="S1627" s="2">
        <v>45674</v>
      </c>
      <c r="T1627" s="2"/>
      <c r="U1627" t="str">
        <f t="shared" si="175"/>
        <v>No</v>
      </c>
      <c r="W16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7" t="str">
        <f t="shared" ca="1" si="176"/>
        <v>Overdue</v>
      </c>
      <c r="Y1627" t="str">
        <f t="shared" si="177"/>
        <v>Open</v>
      </c>
      <c r="Z1627" t="str">
        <f t="shared" si="178"/>
        <v>Jan-2025</v>
      </c>
      <c r="AA1627" t="str">
        <f t="shared" si="179"/>
        <v>Q1 2025</v>
      </c>
      <c r="AB1627" s="4">
        <f t="shared" ca="1" si="180"/>
        <v>538</v>
      </c>
      <c r="AC1627" t="str">
        <f t="shared" si="181"/>
        <v>Low</v>
      </c>
    </row>
    <row r="1628" spans="1:29">
      <c r="A1628" t="s">
        <v>5703</v>
      </c>
      <c r="B1628" s="2">
        <v>45675</v>
      </c>
      <c r="C1628" t="s">
        <v>5704</v>
      </c>
      <c r="D1628" t="s">
        <v>103</v>
      </c>
      <c r="E1628" t="s">
        <v>5705</v>
      </c>
      <c r="F1628" t="s">
        <v>5706</v>
      </c>
      <c r="G1628" t="s">
        <v>79</v>
      </c>
      <c r="H1628" t="s">
        <v>217</v>
      </c>
      <c r="I1628" t="s">
        <v>148</v>
      </c>
      <c r="J1628" t="s">
        <v>124</v>
      </c>
      <c r="K1628" t="s">
        <v>71</v>
      </c>
      <c r="L1628" t="s">
        <v>72</v>
      </c>
      <c r="M1628" t="s">
        <v>90</v>
      </c>
      <c r="N1628" t="s">
        <v>91</v>
      </c>
      <c r="O1628" s="3">
        <v>225000</v>
      </c>
      <c r="P1628" s="4">
        <v>40</v>
      </c>
      <c r="Q1628" s="2">
        <v>45766</v>
      </c>
      <c r="R1628" s="2">
        <v>46197</v>
      </c>
      <c r="S1628" s="2">
        <v>45700</v>
      </c>
      <c r="T1628" s="2"/>
      <c r="U1628" t="str">
        <f t="shared" si="175"/>
        <v>No</v>
      </c>
      <c r="W16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8" t="str">
        <f t="shared" ca="1" si="176"/>
        <v>Overdue</v>
      </c>
      <c r="Y1628" t="str">
        <f t="shared" si="177"/>
        <v>Open</v>
      </c>
      <c r="Z1628" t="str">
        <f t="shared" si="178"/>
        <v>Jan-2025</v>
      </c>
      <c r="AA1628" t="str">
        <f t="shared" si="179"/>
        <v>Q1 2025</v>
      </c>
      <c r="AB1628" s="4">
        <f t="shared" ca="1" si="180"/>
        <v>524</v>
      </c>
      <c r="AC1628" t="str">
        <f t="shared" si="181"/>
        <v>Medium</v>
      </c>
    </row>
    <row r="1629" spans="1:29">
      <c r="A1629" t="s">
        <v>5707</v>
      </c>
      <c r="B1629" s="2">
        <v>46036</v>
      </c>
      <c r="C1629" t="s">
        <v>3969</v>
      </c>
      <c r="D1629" t="s">
        <v>94</v>
      </c>
      <c r="E1629" t="s">
        <v>5708</v>
      </c>
      <c r="F1629" t="s">
        <v>5709</v>
      </c>
      <c r="G1629" t="s">
        <v>34</v>
      </c>
      <c r="H1629" t="s">
        <v>446</v>
      </c>
      <c r="I1629" t="s">
        <v>36</v>
      </c>
      <c r="J1629" t="s">
        <v>50</v>
      </c>
      <c r="K1629" t="s">
        <v>38</v>
      </c>
      <c r="L1629" t="s">
        <v>132</v>
      </c>
      <c r="M1629" t="s">
        <v>82</v>
      </c>
      <c r="N1629" t="s">
        <v>83</v>
      </c>
      <c r="O1629" s="3">
        <v>205000</v>
      </c>
      <c r="P1629" s="4">
        <v>5</v>
      </c>
      <c r="Q1629" s="2">
        <v>46095</v>
      </c>
      <c r="R1629" s="2">
        <v>46212</v>
      </c>
      <c r="S1629" s="2">
        <v>46048</v>
      </c>
      <c r="T1629" s="2"/>
      <c r="U1629" t="str">
        <f t="shared" si="175"/>
        <v>No</v>
      </c>
      <c r="W16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29" t="str">
        <f t="shared" ca="1" si="176"/>
        <v>Due/Open</v>
      </c>
      <c r="Y1629" t="str">
        <f t="shared" si="177"/>
        <v>Open</v>
      </c>
      <c r="Z1629" t="str">
        <f t="shared" si="178"/>
        <v>Jan-2026</v>
      </c>
      <c r="AA1629" t="str">
        <f t="shared" si="179"/>
        <v>Q1 2026</v>
      </c>
      <c r="AB1629" s="4">
        <f t="shared" ca="1" si="180"/>
        <v>163</v>
      </c>
      <c r="AC1629" t="str">
        <f t="shared" si="181"/>
        <v>Medium</v>
      </c>
    </row>
    <row r="1630" spans="1:29">
      <c r="A1630" t="s">
        <v>5710</v>
      </c>
      <c r="B1630" s="2">
        <v>45921</v>
      </c>
      <c r="C1630" t="s">
        <v>3723</v>
      </c>
      <c r="D1630" t="s">
        <v>895</v>
      </c>
      <c r="E1630" t="s">
        <v>5711</v>
      </c>
      <c r="F1630" t="s">
        <v>5712</v>
      </c>
      <c r="G1630" t="s">
        <v>69</v>
      </c>
      <c r="H1630" t="s">
        <v>70</v>
      </c>
      <c r="I1630" t="s">
        <v>36</v>
      </c>
      <c r="J1630" t="s">
        <v>99</v>
      </c>
      <c r="K1630" t="s">
        <v>194</v>
      </c>
      <c r="L1630" t="s">
        <v>107</v>
      </c>
      <c r="M1630" t="s">
        <v>82</v>
      </c>
      <c r="N1630" t="s">
        <v>83</v>
      </c>
      <c r="O1630" s="3">
        <v>595000</v>
      </c>
      <c r="P1630" s="4">
        <v>5</v>
      </c>
      <c r="Q1630" s="2">
        <v>45960</v>
      </c>
      <c r="R1630" s="2">
        <v>46199</v>
      </c>
      <c r="S1630" s="2">
        <v>45937</v>
      </c>
      <c r="T1630" s="2"/>
      <c r="U1630" t="str">
        <f t="shared" si="175"/>
        <v>No</v>
      </c>
      <c r="W16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0" t="str">
        <f t="shared" ca="1" si="176"/>
        <v>Due/Open</v>
      </c>
      <c r="Y1630" t="str">
        <f t="shared" si="177"/>
        <v>Open</v>
      </c>
      <c r="Z1630" t="str">
        <f t="shared" si="178"/>
        <v>Sep-2025</v>
      </c>
      <c r="AA1630" t="str">
        <f t="shared" si="179"/>
        <v>Q3 2025</v>
      </c>
      <c r="AB1630" s="4">
        <f t="shared" ca="1" si="180"/>
        <v>278</v>
      </c>
      <c r="AC1630" t="str">
        <f t="shared" si="181"/>
        <v>High</v>
      </c>
    </row>
    <row r="1631" spans="1:29">
      <c r="A1631" t="s">
        <v>5713</v>
      </c>
      <c r="B1631" s="2">
        <v>45720</v>
      </c>
      <c r="C1631" t="s">
        <v>1472</v>
      </c>
      <c r="D1631" t="s">
        <v>304</v>
      </c>
      <c r="E1631" t="s">
        <v>5714</v>
      </c>
      <c r="F1631" t="s">
        <v>5715</v>
      </c>
      <c r="G1631" t="s">
        <v>34</v>
      </c>
      <c r="H1631" t="s">
        <v>60</v>
      </c>
      <c r="I1631" t="s">
        <v>123</v>
      </c>
      <c r="J1631" t="s">
        <v>131</v>
      </c>
      <c r="K1631" t="s">
        <v>38</v>
      </c>
      <c r="L1631" t="s">
        <v>72</v>
      </c>
      <c r="M1631" t="s">
        <v>82</v>
      </c>
      <c r="N1631" t="s">
        <v>83</v>
      </c>
      <c r="O1631" s="3">
        <v>210000</v>
      </c>
      <c r="P1631" s="4">
        <v>5</v>
      </c>
      <c r="Q1631" s="2">
        <v>45765</v>
      </c>
      <c r="R1631" s="2">
        <v>46218</v>
      </c>
      <c r="S1631" s="2">
        <v>45728</v>
      </c>
      <c r="T1631" s="2"/>
      <c r="U1631" t="str">
        <f t="shared" si="175"/>
        <v>No</v>
      </c>
      <c r="W16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1" t="str">
        <f t="shared" ca="1" si="176"/>
        <v>Due/Open</v>
      </c>
      <c r="Y1631" t="str">
        <f t="shared" si="177"/>
        <v>Open</v>
      </c>
      <c r="Z1631" t="str">
        <f t="shared" si="178"/>
        <v>Mar-2025</v>
      </c>
      <c r="AA1631" t="str">
        <f t="shared" si="179"/>
        <v>Q1 2025</v>
      </c>
      <c r="AB1631" s="4">
        <f t="shared" ca="1" si="180"/>
        <v>479</v>
      </c>
      <c r="AC1631" t="str">
        <f t="shared" si="181"/>
        <v>Medium</v>
      </c>
    </row>
    <row r="1632" spans="1:29">
      <c r="A1632" t="s">
        <v>5716</v>
      </c>
      <c r="B1632" s="2">
        <v>45952</v>
      </c>
      <c r="C1632" t="s">
        <v>696</v>
      </c>
      <c r="D1632" t="s">
        <v>943</v>
      </c>
      <c r="E1632" t="s">
        <v>5717</v>
      </c>
      <c r="F1632" t="s">
        <v>5718</v>
      </c>
      <c r="G1632" t="s">
        <v>79</v>
      </c>
      <c r="H1632" t="s">
        <v>260</v>
      </c>
      <c r="I1632" t="s">
        <v>141</v>
      </c>
      <c r="J1632" t="s">
        <v>37</v>
      </c>
      <c r="K1632" t="s">
        <v>100</v>
      </c>
      <c r="L1632" t="s">
        <v>63</v>
      </c>
      <c r="M1632" t="s">
        <v>166</v>
      </c>
      <c r="N1632" t="s">
        <v>167</v>
      </c>
      <c r="O1632" s="3">
        <v>140000</v>
      </c>
      <c r="P1632" s="4">
        <v>70</v>
      </c>
      <c r="Q1632" s="2">
        <v>46004</v>
      </c>
      <c r="R1632" s="2">
        <v>46222</v>
      </c>
      <c r="S1632" s="2">
        <v>45977</v>
      </c>
      <c r="T1632" s="2"/>
      <c r="U1632" t="str">
        <f t="shared" si="175"/>
        <v>No</v>
      </c>
      <c r="W16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2" t="str">
        <f t="shared" ca="1" si="176"/>
        <v>Due/Open</v>
      </c>
      <c r="Y1632" t="str">
        <f t="shared" si="177"/>
        <v>Open</v>
      </c>
      <c r="Z1632" t="str">
        <f t="shared" si="178"/>
        <v>Oct-2025</v>
      </c>
      <c r="AA1632" t="str">
        <f t="shared" si="179"/>
        <v>Q4 2025</v>
      </c>
      <c r="AB1632" s="4">
        <f t="shared" ca="1" si="180"/>
        <v>247</v>
      </c>
      <c r="AC1632" t="str">
        <f t="shared" si="181"/>
        <v>Medium</v>
      </c>
    </row>
    <row r="1633" spans="1:29">
      <c r="A1633" t="s">
        <v>5719</v>
      </c>
      <c r="B1633" s="2">
        <v>45914</v>
      </c>
      <c r="C1633" t="s">
        <v>1219</v>
      </c>
      <c r="D1633" t="s">
        <v>981</v>
      </c>
      <c r="E1633" t="s">
        <v>5720</v>
      </c>
      <c r="F1633" t="s">
        <v>5721</v>
      </c>
      <c r="G1633" t="s">
        <v>34</v>
      </c>
      <c r="H1633" t="s">
        <v>160</v>
      </c>
      <c r="I1633" t="s">
        <v>141</v>
      </c>
      <c r="J1633" t="s">
        <v>37</v>
      </c>
      <c r="K1633" t="s">
        <v>38</v>
      </c>
      <c r="L1633" t="s">
        <v>115</v>
      </c>
      <c r="M1633" t="s">
        <v>82</v>
      </c>
      <c r="N1633" t="s">
        <v>83</v>
      </c>
      <c r="O1633" s="3">
        <v>85000</v>
      </c>
      <c r="P1633" s="4">
        <v>10</v>
      </c>
      <c r="Q1633" s="2">
        <v>45938</v>
      </c>
      <c r="R1633" s="2">
        <v>46160</v>
      </c>
      <c r="S1633" s="2">
        <v>45917</v>
      </c>
      <c r="T1633" s="2"/>
      <c r="U1633" t="str">
        <f t="shared" si="175"/>
        <v>No</v>
      </c>
      <c r="W16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3" t="str">
        <f t="shared" ca="1" si="176"/>
        <v>Overdue</v>
      </c>
      <c r="Y1633" t="str">
        <f t="shared" si="177"/>
        <v>Open</v>
      </c>
      <c r="Z1633" t="str">
        <f t="shared" si="178"/>
        <v>Sep-2025</v>
      </c>
      <c r="AA1633" t="str">
        <f t="shared" si="179"/>
        <v>Q3 2025</v>
      </c>
      <c r="AB1633" s="4">
        <f t="shared" ca="1" si="180"/>
        <v>285</v>
      </c>
      <c r="AC1633" t="str">
        <f t="shared" si="181"/>
        <v>Low</v>
      </c>
    </row>
    <row r="1634" spans="1:29">
      <c r="A1634" t="s">
        <v>5722</v>
      </c>
      <c r="B1634" s="2">
        <v>45858</v>
      </c>
      <c r="C1634" t="s">
        <v>30</v>
      </c>
      <c r="D1634" t="s">
        <v>1343</v>
      </c>
      <c r="E1634" t="s">
        <v>5723</v>
      </c>
      <c r="F1634" t="s">
        <v>5724</v>
      </c>
      <c r="G1634" t="s">
        <v>34</v>
      </c>
      <c r="H1634" t="s">
        <v>446</v>
      </c>
      <c r="I1634" t="s">
        <v>141</v>
      </c>
      <c r="J1634" t="s">
        <v>131</v>
      </c>
      <c r="K1634" t="s">
        <v>100</v>
      </c>
      <c r="L1634" t="s">
        <v>125</v>
      </c>
      <c r="M1634" t="s">
        <v>90</v>
      </c>
      <c r="N1634" t="s">
        <v>91</v>
      </c>
      <c r="O1634" s="3">
        <v>290000</v>
      </c>
      <c r="P1634" s="4">
        <v>40</v>
      </c>
      <c r="Q1634" s="2">
        <v>45907</v>
      </c>
      <c r="R1634" s="2">
        <v>46205</v>
      </c>
      <c r="S1634" s="2">
        <v>45867</v>
      </c>
      <c r="T1634" s="2"/>
      <c r="U1634" t="str">
        <f t="shared" si="175"/>
        <v>No</v>
      </c>
      <c r="W16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4" t="str">
        <f t="shared" ca="1" si="176"/>
        <v>Due/Open</v>
      </c>
      <c r="Y1634" t="str">
        <f t="shared" si="177"/>
        <v>Open</v>
      </c>
      <c r="Z1634" t="str">
        <f t="shared" si="178"/>
        <v>Jul-2025</v>
      </c>
      <c r="AA1634" t="str">
        <f t="shared" si="179"/>
        <v>Q3 2025</v>
      </c>
      <c r="AB1634" s="4">
        <f t="shared" ca="1" si="180"/>
        <v>341</v>
      </c>
      <c r="AC1634" t="str">
        <f t="shared" si="181"/>
        <v>Medium</v>
      </c>
    </row>
    <row r="1635" spans="1:29">
      <c r="A1635" t="s">
        <v>5725</v>
      </c>
      <c r="B1635" s="2">
        <v>45789</v>
      </c>
      <c r="C1635" t="s">
        <v>1244</v>
      </c>
      <c r="D1635" t="s">
        <v>1937</v>
      </c>
      <c r="E1635" t="s">
        <v>5726</v>
      </c>
      <c r="F1635" t="s">
        <v>5727</v>
      </c>
      <c r="G1635" t="s">
        <v>79</v>
      </c>
      <c r="H1635" t="s">
        <v>217</v>
      </c>
      <c r="I1635" t="s">
        <v>98</v>
      </c>
      <c r="J1635" t="s">
        <v>62</v>
      </c>
      <c r="K1635" t="s">
        <v>51</v>
      </c>
      <c r="L1635" t="s">
        <v>115</v>
      </c>
      <c r="M1635" t="s">
        <v>90</v>
      </c>
      <c r="N1635" t="s">
        <v>91</v>
      </c>
      <c r="O1635" s="3">
        <v>180000</v>
      </c>
      <c r="P1635" s="4">
        <v>40</v>
      </c>
      <c r="Q1635" s="2">
        <v>45820</v>
      </c>
      <c r="R1635" s="2">
        <v>46209</v>
      </c>
      <c r="S1635" s="2">
        <v>45807</v>
      </c>
      <c r="T1635" s="2"/>
      <c r="U1635" t="str">
        <f t="shared" si="175"/>
        <v>No</v>
      </c>
      <c r="W16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5" t="str">
        <f t="shared" ca="1" si="176"/>
        <v>Due/Open</v>
      </c>
      <c r="Y1635" t="str">
        <f t="shared" si="177"/>
        <v>Open</v>
      </c>
      <c r="Z1635" t="str">
        <f t="shared" si="178"/>
        <v>May-2025</v>
      </c>
      <c r="AA1635" t="str">
        <f t="shared" si="179"/>
        <v>Q2 2025</v>
      </c>
      <c r="AB1635" s="4">
        <f t="shared" ca="1" si="180"/>
        <v>410</v>
      </c>
      <c r="AC1635" t="str">
        <f t="shared" si="181"/>
        <v>Medium</v>
      </c>
    </row>
    <row r="1636" spans="1:29">
      <c r="A1636" t="s">
        <v>5728</v>
      </c>
      <c r="B1636" s="2">
        <v>45732</v>
      </c>
      <c r="C1636" t="s">
        <v>2354</v>
      </c>
      <c r="D1636" t="s">
        <v>449</v>
      </c>
      <c r="E1636" t="s">
        <v>5729</v>
      </c>
      <c r="F1636" t="s">
        <v>5730</v>
      </c>
      <c r="G1636" t="s">
        <v>179</v>
      </c>
      <c r="H1636" t="s">
        <v>318</v>
      </c>
      <c r="I1636" t="s">
        <v>98</v>
      </c>
      <c r="J1636" t="s">
        <v>99</v>
      </c>
      <c r="K1636" t="s">
        <v>51</v>
      </c>
      <c r="L1636" t="s">
        <v>39</v>
      </c>
      <c r="M1636" t="s">
        <v>73</v>
      </c>
      <c r="N1636" t="s">
        <v>73</v>
      </c>
      <c r="O1636" s="3">
        <v>505000</v>
      </c>
      <c r="P1636" s="4">
        <v>85</v>
      </c>
      <c r="Q1636" s="2">
        <v>45819</v>
      </c>
      <c r="R1636" s="2">
        <v>46206</v>
      </c>
      <c r="S1636" s="2">
        <v>45751</v>
      </c>
      <c r="T1636" s="2"/>
      <c r="U1636" t="str">
        <f t="shared" si="175"/>
        <v>No</v>
      </c>
      <c r="W16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6" t="str">
        <f t="shared" ca="1" si="176"/>
        <v>Due/Open</v>
      </c>
      <c r="Y1636" t="str">
        <f t="shared" si="177"/>
        <v>Open</v>
      </c>
      <c r="Z1636" t="str">
        <f t="shared" si="178"/>
        <v>Mar-2025</v>
      </c>
      <c r="AA1636" t="str">
        <f t="shared" si="179"/>
        <v>Q1 2025</v>
      </c>
      <c r="AB1636" s="4">
        <f t="shared" ca="1" si="180"/>
        <v>467</v>
      </c>
      <c r="AC1636" t="str">
        <f t="shared" si="181"/>
        <v>High</v>
      </c>
    </row>
    <row r="1637" spans="1:29">
      <c r="A1637" t="s">
        <v>5731</v>
      </c>
      <c r="B1637" s="2">
        <v>45842</v>
      </c>
      <c r="C1637" t="s">
        <v>1592</v>
      </c>
      <c r="D1637" t="s">
        <v>183</v>
      </c>
      <c r="E1637" t="s">
        <v>5732</v>
      </c>
      <c r="F1637" t="s">
        <v>5733</v>
      </c>
      <c r="G1637" t="s">
        <v>179</v>
      </c>
      <c r="H1637" t="s">
        <v>296</v>
      </c>
      <c r="I1637" t="s">
        <v>98</v>
      </c>
      <c r="J1637" t="s">
        <v>124</v>
      </c>
      <c r="K1637" t="s">
        <v>194</v>
      </c>
      <c r="L1637" t="s">
        <v>39</v>
      </c>
      <c r="M1637" t="s">
        <v>133</v>
      </c>
      <c r="N1637" t="s">
        <v>134</v>
      </c>
      <c r="O1637" s="3">
        <v>80000</v>
      </c>
      <c r="P1637" s="4">
        <v>0</v>
      </c>
      <c r="Q1637" s="2">
        <v>45858</v>
      </c>
      <c r="R1637" s="2"/>
      <c r="S1637" s="2">
        <v>45861</v>
      </c>
      <c r="T1637" s="2">
        <v>45858</v>
      </c>
      <c r="U1637" t="str">
        <f t="shared" si="175"/>
        <v>No</v>
      </c>
      <c r="V1637" t="s">
        <v>135</v>
      </c>
      <c r="W16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16</v>
      </c>
      <c r="X1637" t="str">
        <f t="shared" ca="1" si="176"/>
        <v>Closed</v>
      </c>
      <c r="Y1637" t="str">
        <f t="shared" si="177"/>
        <v>Closed</v>
      </c>
      <c r="Z1637" t="str">
        <f t="shared" si="178"/>
        <v>Jul-2025</v>
      </c>
      <c r="AA1637" t="str">
        <f t="shared" si="179"/>
        <v>Q3 2025</v>
      </c>
      <c r="AB1637" s="4">
        <f t="shared" ca="1" si="180"/>
        <v>357</v>
      </c>
      <c r="AC1637" t="str">
        <f t="shared" si="181"/>
        <v>Low</v>
      </c>
    </row>
    <row r="1638" spans="1:29">
      <c r="A1638" t="s">
        <v>5734</v>
      </c>
      <c r="B1638" s="2">
        <v>45981</v>
      </c>
      <c r="C1638" t="s">
        <v>2725</v>
      </c>
      <c r="D1638" t="s">
        <v>428</v>
      </c>
      <c r="E1638" t="s">
        <v>5735</v>
      </c>
      <c r="F1638" t="s">
        <v>5736</v>
      </c>
      <c r="G1638" t="s">
        <v>79</v>
      </c>
      <c r="H1638" t="s">
        <v>260</v>
      </c>
      <c r="I1638" t="s">
        <v>61</v>
      </c>
      <c r="J1638" t="s">
        <v>99</v>
      </c>
      <c r="K1638" t="s">
        <v>51</v>
      </c>
      <c r="L1638" t="s">
        <v>52</v>
      </c>
      <c r="M1638" t="s">
        <v>116</v>
      </c>
      <c r="N1638" t="s">
        <v>54</v>
      </c>
      <c r="O1638" s="3">
        <v>365000</v>
      </c>
      <c r="P1638" s="4">
        <v>20</v>
      </c>
      <c r="Q1638" s="2">
        <v>46043</v>
      </c>
      <c r="R1638" s="2">
        <v>46199</v>
      </c>
      <c r="S1638" s="2">
        <v>46009</v>
      </c>
      <c r="T1638" s="2"/>
      <c r="U1638" t="str">
        <f t="shared" si="175"/>
        <v>No</v>
      </c>
      <c r="W16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38" t="str">
        <f t="shared" ca="1" si="176"/>
        <v>Due/Open</v>
      </c>
      <c r="Y1638" t="str">
        <f t="shared" si="177"/>
        <v>Open</v>
      </c>
      <c r="Z1638" t="str">
        <f t="shared" si="178"/>
        <v>Nov-2025</v>
      </c>
      <c r="AA1638" t="str">
        <f t="shared" si="179"/>
        <v>Q4 2025</v>
      </c>
      <c r="AB1638" s="4">
        <f t="shared" ca="1" si="180"/>
        <v>218</v>
      </c>
      <c r="AC1638" t="str">
        <f t="shared" si="181"/>
        <v>High</v>
      </c>
    </row>
    <row r="1639" spans="1:29">
      <c r="A1639" t="s">
        <v>5737</v>
      </c>
      <c r="B1639" s="2">
        <v>45891</v>
      </c>
      <c r="C1639" t="s">
        <v>189</v>
      </c>
      <c r="D1639" t="s">
        <v>2143</v>
      </c>
      <c r="E1639" t="s">
        <v>5738</v>
      </c>
      <c r="F1639" t="s">
        <v>5739</v>
      </c>
      <c r="G1639" t="s">
        <v>34</v>
      </c>
      <c r="H1639" t="s">
        <v>446</v>
      </c>
      <c r="I1639" t="s">
        <v>98</v>
      </c>
      <c r="J1639" t="s">
        <v>62</v>
      </c>
      <c r="K1639" t="s">
        <v>51</v>
      </c>
      <c r="L1639" t="s">
        <v>239</v>
      </c>
      <c r="M1639" t="s">
        <v>133</v>
      </c>
      <c r="N1639" t="s">
        <v>134</v>
      </c>
      <c r="O1639" s="3">
        <v>230000</v>
      </c>
      <c r="P1639" s="4">
        <v>0</v>
      </c>
      <c r="Q1639" s="2">
        <v>45966</v>
      </c>
      <c r="R1639" s="2"/>
      <c r="S1639" s="2">
        <v>45914</v>
      </c>
      <c r="T1639" s="2">
        <v>45966</v>
      </c>
      <c r="U1639" t="str">
        <f t="shared" si="175"/>
        <v>No</v>
      </c>
      <c r="V1639" t="s">
        <v>135</v>
      </c>
      <c r="W163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639" t="str">
        <f t="shared" ca="1" si="176"/>
        <v>Closed</v>
      </c>
      <c r="Y1639" t="str">
        <f t="shared" si="177"/>
        <v>Closed</v>
      </c>
      <c r="Z1639" t="str">
        <f t="shared" si="178"/>
        <v>Aug-2025</v>
      </c>
      <c r="AA1639" t="str">
        <f t="shared" si="179"/>
        <v>Q3 2025</v>
      </c>
      <c r="AB1639" s="4">
        <f t="shared" ca="1" si="180"/>
        <v>308</v>
      </c>
      <c r="AC1639" t="str">
        <f t="shared" si="181"/>
        <v>Medium</v>
      </c>
    </row>
    <row r="1640" spans="1:29">
      <c r="A1640" t="s">
        <v>5740</v>
      </c>
      <c r="B1640" s="2">
        <v>46068</v>
      </c>
      <c r="C1640" t="s">
        <v>326</v>
      </c>
      <c r="D1640" t="s">
        <v>1683</v>
      </c>
      <c r="E1640" t="s">
        <v>5741</v>
      </c>
      <c r="F1640" t="s">
        <v>5742</v>
      </c>
      <c r="G1640" t="s">
        <v>34</v>
      </c>
      <c r="H1640" t="s">
        <v>60</v>
      </c>
      <c r="I1640" t="s">
        <v>61</v>
      </c>
      <c r="J1640" t="s">
        <v>50</v>
      </c>
      <c r="K1640" t="s">
        <v>51</v>
      </c>
      <c r="L1640" t="s">
        <v>39</v>
      </c>
      <c r="M1640" t="s">
        <v>53</v>
      </c>
      <c r="N1640" t="s">
        <v>54</v>
      </c>
      <c r="O1640" s="3">
        <v>230000</v>
      </c>
      <c r="P1640" s="4">
        <v>30</v>
      </c>
      <c r="Q1640" s="2">
        <v>46135</v>
      </c>
      <c r="R1640" s="2">
        <v>46205</v>
      </c>
      <c r="S1640" s="2">
        <v>46098</v>
      </c>
      <c r="T1640" s="2"/>
      <c r="U1640" t="str">
        <f t="shared" si="175"/>
        <v>No</v>
      </c>
      <c r="W16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0" t="str">
        <f t="shared" ca="1" si="176"/>
        <v>Due/Open</v>
      </c>
      <c r="Y1640" t="str">
        <f t="shared" si="177"/>
        <v>Open</v>
      </c>
      <c r="Z1640" t="str">
        <f t="shared" si="178"/>
        <v>Feb-2026</v>
      </c>
      <c r="AA1640" t="str">
        <f t="shared" si="179"/>
        <v>Q1 2026</v>
      </c>
      <c r="AB1640" s="4">
        <f t="shared" ca="1" si="180"/>
        <v>131</v>
      </c>
      <c r="AC1640" t="str">
        <f t="shared" si="181"/>
        <v>Medium</v>
      </c>
    </row>
    <row r="1641" spans="1:29">
      <c r="A1641" t="s">
        <v>5743</v>
      </c>
      <c r="B1641" s="2">
        <v>46182</v>
      </c>
      <c r="C1641" t="s">
        <v>1536</v>
      </c>
      <c r="D1641" t="s">
        <v>561</v>
      </c>
      <c r="E1641" t="s">
        <v>5744</v>
      </c>
      <c r="F1641" t="s">
        <v>5745</v>
      </c>
      <c r="G1641" t="s">
        <v>69</v>
      </c>
      <c r="H1641" t="s">
        <v>70</v>
      </c>
      <c r="I1641" t="s">
        <v>141</v>
      </c>
      <c r="J1641" t="s">
        <v>99</v>
      </c>
      <c r="K1641" t="s">
        <v>71</v>
      </c>
      <c r="L1641" t="s">
        <v>132</v>
      </c>
      <c r="M1641" t="s">
        <v>90</v>
      </c>
      <c r="N1641" t="s">
        <v>91</v>
      </c>
      <c r="O1641" s="3">
        <v>475000</v>
      </c>
      <c r="P1641" s="4">
        <v>55</v>
      </c>
      <c r="Q1641" s="2">
        <v>46254</v>
      </c>
      <c r="R1641" s="2">
        <v>46215</v>
      </c>
      <c r="S1641" s="2">
        <v>46186</v>
      </c>
      <c r="T1641" s="2"/>
      <c r="U1641" t="str">
        <f t="shared" si="175"/>
        <v>No</v>
      </c>
      <c r="W16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1" t="str">
        <f t="shared" ca="1" si="176"/>
        <v>Due/Open</v>
      </c>
      <c r="Y1641" t="str">
        <f t="shared" si="177"/>
        <v>Open</v>
      </c>
      <c r="Z1641" t="str">
        <f t="shared" si="178"/>
        <v>Jun-2026</v>
      </c>
      <c r="AA1641" t="str">
        <f t="shared" si="179"/>
        <v>Q2 2026</v>
      </c>
      <c r="AB1641" s="4">
        <f t="shared" ca="1" si="180"/>
        <v>17</v>
      </c>
      <c r="AC1641" t="str">
        <f t="shared" si="181"/>
        <v>High</v>
      </c>
    </row>
    <row r="1642" spans="1:29">
      <c r="A1642" t="s">
        <v>5746</v>
      </c>
      <c r="B1642" s="2">
        <v>46114</v>
      </c>
      <c r="C1642" t="s">
        <v>614</v>
      </c>
      <c r="D1642" t="s">
        <v>407</v>
      </c>
      <c r="E1642" t="s">
        <v>5747</v>
      </c>
      <c r="F1642" t="s">
        <v>5748</v>
      </c>
      <c r="G1642" t="s">
        <v>79</v>
      </c>
      <c r="H1642" t="s">
        <v>228</v>
      </c>
      <c r="I1642" t="s">
        <v>187</v>
      </c>
      <c r="J1642" t="s">
        <v>62</v>
      </c>
      <c r="K1642" t="s">
        <v>51</v>
      </c>
      <c r="L1642" t="s">
        <v>63</v>
      </c>
      <c r="M1642" t="s">
        <v>53</v>
      </c>
      <c r="N1642" t="s">
        <v>54</v>
      </c>
      <c r="O1642" s="3">
        <v>230000</v>
      </c>
      <c r="P1642" s="4">
        <v>30</v>
      </c>
      <c r="Q1642" s="2">
        <v>46154</v>
      </c>
      <c r="R1642" s="2">
        <v>46242</v>
      </c>
      <c r="S1642" s="2">
        <v>46116</v>
      </c>
      <c r="T1642" s="2"/>
      <c r="U1642" t="str">
        <f t="shared" si="175"/>
        <v>No</v>
      </c>
      <c r="W16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2" t="str">
        <f t="shared" ca="1" si="176"/>
        <v>Due/Open</v>
      </c>
      <c r="Y1642" t="str">
        <f t="shared" si="177"/>
        <v>Open</v>
      </c>
      <c r="Z1642" t="str">
        <f t="shared" si="178"/>
        <v>Apr-2026</v>
      </c>
      <c r="AA1642" t="str">
        <f t="shared" si="179"/>
        <v>Q2 2026</v>
      </c>
      <c r="AB1642" s="4">
        <f t="shared" ca="1" si="180"/>
        <v>85</v>
      </c>
      <c r="AC1642" t="str">
        <f t="shared" si="181"/>
        <v>Medium</v>
      </c>
    </row>
    <row r="1643" spans="1:29">
      <c r="A1643" t="s">
        <v>5749</v>
      </c>
      <c r="B1643" s="2">
        <v>45704</v>
      </c>
      <c r="C1643" t="s">
        <v>1599</v>
      </c>
      <c r="D1643" t="s">
        <v>552</v>
      </c>
      <c r="E1643" t="s">
        <v>5750</v>
      </c>
      <c r="F1643" t="s">
        <v>5751</v>
      </c>
      <c r="G1643" t="s">
        <v>34</v>
      </c>
      <c r="H1643" t="s">
        <v>238</v>
      </c>
      <c r="I1643" t="s">
        <v>98</v>
      </c>
      <c r="J1643" t="s">
        <v>37</v>
      </c>
      <c r="K1643" t="s">
        <v>38</v>
      </c>
      <c r="L1643" t="s">
        <v>154</v>
      </c>
      <c r="M1643" t="s">
        <v>53</v>
      </c>
      <c r="N1643" t="s">
        <v>54</v>
      </c>
      <c r="O1643" s="3">
        <v>115000</v>
      </c>
      <c r="P1643" s="4">
        <v>35</v>
      </c>
      <c r="Q1643" s="2">
        <v>45741</v>
      </c>
      <c r="R1643" s="2">
        <v>46158</v>
      </c>
      <c r="S1643" s="2">
        <v>45717</v>
      </c>
      <c r="T1643" s="2"/>
      <c r="U1643" t="str">
        <f t="shared" si="175"/>
        <v>No</v>
      </c>
      <c r="W16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3" t="str">
        <f t="shared" ca="1" si="176"/>
        <v>Overdue</v>
      </c>
      <c r="Y1643" t="str">
        <f t="shared" si="177"/>
        <v>Open</v>
      </c>
      <c r="Z1643" t="str">
        <f t="shared" si="178"/>
        <v>Feb-2025</v>
      </c>
      <c r="AA1643" t="str">
        <f t="shared" si="179"/>
        <v>Q1 2025</v>
      </c>
      <c r="AB1643" s="4">
        <f t="shared" ca="1" si="180"/>
        <v>495</v>
      </c>
      <c r="AC1643" t="str">
        <f t="shared" si="181"/>
        <v>Low</v>
      </c>
    </row>
    <row r="1644" spans="1:29">
      <c r="A1644" t="s">
        <v>5752</v>
      </c>
      <c r="B1644" s="2">
        <v>45926</v>
      </c>
      <c r="C1644" t="s">
        <v>1436</v>
      </c>
      <c r="D1644" t="s">
        <v>197</v>
      </c>
      <c r="E1644" t="s">
        <v>5753</v>
      </c>
      <c r="F1644" t="s">
        <v>5754</v>
      </c>
      <c r="G1644" t="s">
        <v>34</v>
      </c>
      <c r="H1644" t="s">
        <v>35</v>
      </c>
      <c r="I1644" t="s">
        <v>36</v>
      </c>
      <c r="J1644" t="s">
        <v>62</v>
      </c>
      <c r="K1644" t="s">
        <v>38</v>
      </c>
      <c r="L1644" t="s">
        <v>125</v>
      </c>
      <c r="M1644" t="s">
        <v>90</v>
      </c>
      <c r="N1644" t="s">
        <v>91</v>
      </c>
      <c r="O1644" s="3">
        <v>155000</v>
      </c>
      <c r="P1644" s="4">
        <v>55</v>
      </c>
      <c r="Q1644" s="2">
        <v>45957</v>
      </c>
      <c r="R1644" s="2">
        <v>46168</v>
      </c>
      <c r="S1644" s="2">
        <v>45929</v>
      </c>
      <c r="T1644" s="2"/>
      <c r="U1644" t="str">
        <f t="shared" si="175"/>
        <v>No</v>
      </c>
      <c r="W16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4" t="str">
        <f t="shared" ca="1" si="176"/>
        <v>Overdue</v>
      </c>
      <c r="Y1644" t="str">
        <f t="shared" si="177"/>
        <v>Open</v>
      </c>
      <c r="Z1644" t="str">
        <f t="shared" si="178"/>
        <v>Sep-2025</v>
      </c>
      <c r="AA1644" t="str">
        <f t="shared" si="179"/>
        <v>Q3 2025</v>
      </c>
      <c r="AB1644" s="4">
        <f t="shared" ca="1" si="180"/>
        <v>273</v>
      </c>
      <c r="AC1644" t="str">
        <f t="shared" si="181"/>
        <v>Medium</v>
      </c>
    </row>
    <row r="1645" spans="1:29">
      <c r="A1645" t="s">
        <v>5755</v>
      </c>
      <c r="B1645" s="2">
        <v>46086</v>
      </c>
      <c r="C1645" t="s">
        <v>1097</v>
      </c>
      <c r="D1645" t="s">
        <v>701</v>
      </c>
      <c r="E1645" t="s">
        <v>5756</v>
      </c>
      <c r="F1645" t="s">
        <v>5757</v>
      </c>
      <c r="G1645" t="s">
        <v>47</v>
      </c>
      <c r="H1645" t="s">
        <v>89</v>
      </c>
      <c r="I1645" t="s">
        <v>98</v>
      </c>
      <c r="J1645" t="s">
        <v>50</v>
      </c>
      <c r="K1645" t="s">
        <v>100</v>
      </c>
      <c r="L1645" t="s">
        <v>125</v>
      </c>
      <c r="M1645" t="s">
        <v>116</v>
      </c>
      <c r="N1645" t="s">
        <v>54</v>
      </c>
      <c r="O1645" s="3">
        <v>505000</v>
      </c>
      <c r="P1645" s="4">
        <v>20</v>
      </c>
      <c r="Q1645" s="2">
        <v>46147</v>
      </c>
      <c r="R1645" s="2">
        <v>46215</v>
      </c>
      <c r="S1645" s="2">
        <v>46092</v>
      </c>
      <c r="T1645" s="2"/>
      <c r="U1645" t="str">
        <f t="shared" si="175"/>
        <v>No</v>
      </c>
      <c r="W16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5" t="str">
        <f t="shared" ca="1" si="176"/>
        <v>Due/Open</v>
      </c>
      <c r="Y1645" t="str">
        <f t="shared" si="177"/>
        <v>Open</v>
      </c>
      <c r="Z1645" t="str">
        <f t="shared" si="178"/>
        <v>Mar-2026</v>
      </c>
      <c r="AA1645" t="str">
        <f t="shared" si="179"/>
        <v>Q1 2026</v>
      </c>
      <c r="AB1645" s="4">
        <f t="shared" ca="1" si="180"/>
        <v>113</v>
      </c>
      <c r="AC1645" t="str">
        <f t="shared" si="181"/>
        <v>High</v>
      </c>
    </row>
    <row r="1646" spans="1:29">
      <c r="A1646" t="s">
        <v>5758</v>
      </c>
      <c r="B1646" s="2">
        <v>45828</v>
      </c>
      <c r="C1646" t="s">
        <v>5759</v>
      </c>
      <c r="D1646" t="s">
        <v>66</v>
      </c>
      <c r="E1646" t="s">
        <v>5760</v>
      </c>
      <c r="F1646" t="s">
        <v>5761</v>
      </c>
      <c r="G1646" t="s">
        <v>179</v>
      </c>
      <c r="H1646" t="s">
        <v>180</v>
      </c>
      <c r="I1646" t="s">
        <v>148</v>
      </c>
      <c r="J1646" t="s">
        <v>37</v>
      </c>
      <c r="K1646" t="s">
        <v>38</v>
      </c>
      <c r="L1646" t="s">
        <v>52</v>
      </c>
      <c r="M1646" t="s">
        <v>210</v>
      </c>
      <c r="N1646" t="s">
        <v>134</v>
      </c>
      <c r="O1646" s="3">
        <v>100000</v>
      </c>
      <c r="P1646" s="4">
        <v>0</v>
      </c>
      <c r="Q1646" s="2">
        <v>45845</v>
      </c>
      <c r="R1646" s="2"/>
      <c r="S1646" s="2">
        <v>45852</v>
      </c>
      <c r="T1646" s="2">
        <v>45845</v>
      </c>
      <c r="U1646" t="str">
        <f t="shared" si="175"/>
        <v>No</v>
      </c>
      <c r="V1646" t="s">
        <v>276</v>
      </c>
      <c r="W16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646" t="str">
        <f t="shared" ca="1" si="176"/>
        <v>Closed</v>
      </c>
      <c r="Y1646" t="str">
        <f t="shared" si="177"/>
        <v>Closed</v>
      </c>
      <c r="Z1646" t="str">
        <f t="shared" si="178"/>
        <v>Jun-2025</v>
      </c>
      <c r="AA1646" t="str">
        <f t="shared" si="179"/>
        <v>Q2 2025</v>
      </c>
      <c r="AB1646" s="4">
        <f t="shared" ca="1" si="180"/>
        <v>371</v>
      </c>
      <c r="AC1646" t="str">
        <f t="shared" si="181"/>
        <v>Low</v>
      </c>
    </row>
    <row r="1647" spans="1:29">
      <c r="A1647" t="s">
        <v>5762</v>
      </c>
      <c r="B1647" s="2">
        <v>45805</v>
      </c>
      <c r="C1647" t="s">
        <v>2782</v>
      </c>
      <c r="D1647" t="s">
        <v>852</v>
      </c>
      <c r="E1647" t="s">
        <v>5763</v>
      </c>
      <c r="F1647" t="s">
        <v>5764</v>
      </c>
      <c r="G1647" t="s">
        <v>79</v>
      </c>
      <c r="H1647" t="s">
        <v>260</v>
      </c>
      <c r="I1647" t="s">
        <v>36</v>
      </c>
      <c r="J1647" t="s">
        <v>124</v>
      </c>
      <c r="K1647" t="s">
        <v>38</v>
      </c>
      <c r="L1647" t="s">
        <v>154</v>
      </c>
      <c r="M1647" t="s">
        <v>166</v>
      </c>
      <c r="N1647" t="s">
        <v>167</v>
      </c>
      <c r="O1647" s="3">
        <v>95000</v>
      </c>
      <c r="P1647" s="4">
        <v>65</v>
      </c>
      <c r="Q1647" s="2">
        <v>45857</v>
      </c>
      <c r="R1647" s="2">
        <v>46162</v>
      </c>
      <c r="S1647" s="2">
        <v>45817</v>
      </c>
      <c r="T1647" s="2"/>
      <c r="U1647" t="str">
        <f t="shared" si="175"/>
        <v>No</v>
      </c>
      <c r="W16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7" t="str">
        <f t="shared" ca="1" si="176"/>
        <v>Overdue</v>
      </c>
      <c r="Y1647" t="str">
        <f t="shared" si="177"/>
        <v>Open</v>
      </c>
      <c r="Z1647" t="str">
        <f t="shared" si="178"/>
        <v>May-2025</v>
      </c>
      <c r="AA1647" t="str">
        <f t="shared" si="179"/>
        <v>Q2 2025</v>
      </c>
      <c r="AB1647" s="4">
        <f t="shared" ca="1" si="180"/>
        <v>394</v>
      </c>
      <c r="AC1647" t="str">
        <f t="shared" si="181"/>
        <v>Low</v>
      </c>
    </row>
    <row r="1648" spans="1:29">
      <c r="A1648" t="s">
        <v>5765</v>
      </c>
      <c r="B1648" s="2">
        <v>46061</v>
      </c>
      <c r="C1648" t="s">
        <v>796</v>
      </c>
      <c r="D1648" t="s">
        <v>547</v>
      </c>
      <c r="E1648" t="s">
        <v>5766</v>
      </c>
      <c r="F1648" t="s">
        <v>5767</v>
      </c>
      <c r="G1648" t="s">
        <v>69</v>
      </c>
      <c r="H1648" t="s">
        <v>270</v>
      </c>
      <c r="I1648" t="s">
        <v>98</v>
      </c>
      <c r="J1648" t="s">
        <v>50</v>
      </c>
      <c r="K1648" t="s">
        <v>114</v>
      </c>
      <c r="L1648" t="s">
        <v>154</v>
      </c>
      <c r="M1648" t="s">
        <v>40</v>
      </c>
      <c r="N1648" t="s">
        <v>41</v>
      </c>
      <c r="O1648" s="3">
        <v>520000</v>
      </c>
      <c r="P1648" s="4">
        <v>100</v>
      </c>
      <c r="Q1648" s="2">
        <v>46073</v>
      </c>
      <c r="R1648" s="2"/>
      <c r="S1648" s="2">
        <v>46063</v>
      </c>
      <c r="T1648" s="2">
        <v>46073</v>
      </c>
      <c r="U1648" t="str">
        <f t="shared" si="175"/>
        <v>Yes</v>
      </c>
      <c r="W164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12</v>
      </c>
      <c r="X1648" t="str">
        <f t="shared" ca="1" si="176"/>
        <v>Closed</v>
      </c>
      <c r="Y1648" t="str">
        <f t="shared" si="177"/>
        <v>Closed</v>
      </c>
      <c r="Z1648" t="str">
        <f t="shared" si="178"/>
        <v>Feb-2026</v>
      </c>
      <c r="AA1648" t="str">
        <f t="shared" si="179"/>
        <v>Q1 2026</v>
      </c>
      <c r="AB1648" s="4">
        <f t="shared" ca="1" si="180"/>
        <v>138</v>
      </c>
      <c r="AC1648" t="str">
        <f t="shared" si="181"/>
        <v>High</v>
      </c>
    </row>
    <row r="1649" spans="1:29">
      <c r="A1649" t="s">
        <v>5768</v>
      </c>
      <c r="B1649" s="2">
        <v>45728</v>
      </c>
      <c r="C1649" t="s">
        <v>2169</v>
      </c>
      <c r="D1649" t="s">
        <v>110</v>
      </c>
      <c r="E1649" t="s">
        <v>5769</v>
      </c>
      <c r="F1649" t="s">
        <v>5770</v>
      </c>
      <c r="G1649" t="s">
        <v>69</v>
      </c>
      <c r="H1649" t="s">
        <v>270</v>
      </c>
      <c r="I1649" t="s">
        <v>36</v>
      </c>
      <c r="J1649" t="s">
        <v>62</v>
      </c>
      <c r="K1649" t="s">
        <v>194</v>
      </c>
      <c r="L1649" t="s">
        <v>115</v>
      </c>
      <c r="M1649" t="s">
        <v>82</v>
      </c>
      <c r="N1649" t="s">
        <v>83</v>
      </c>
      <c r="O1649" s="3">
        <v>210000</v>
      </c>
      <c r="P1649" s="4">
        <v>10</v>
      </c>
      <c r="Q1649" s="2">
        <v>45771</v>
      </c>
      <c r="R1649" s="2">
        <v>46211</v>
      </c>
      <c r="S1649" s="2">
        <v>45733</v>
      </c>
      <c r="T1649" s="2"/>
      <c r="U1649" t="str">
        <f t="shared" si="175"/>
        <v>No</v>
      </c>
      <c r="W16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49" t="str">
        <f t="shared" ca="1" si="176"/>
        <v>Due/Open</v>
      </c>
      <c r="Y1649" t="str">
        <f t="shared" si="177"/>
        <v>Open</v>
      </c>
      <c r="Z1649" t="str">
        <f t="shared" si="178"/>
        <v>Mar-2025</v>
      </c>
      <c r="AA1649" t="str">
        <f t="shared" si="179"/>
        <v>Q1 2025</v>
      </c>
      <c r="AB1649" s="4">
        <f t="shared" ca="1" si="180"/>
        <v>471</v>
      </c>
      <c r="AC1649" t="str">
        <f t="shared" si="181"/>
        <v>Medium</v>
      </c>
    </row>
    <row r="1650" spans="1:29">
      <c r="A1650" t="s">
        <v>5771</v>
      </c>
      <c r="B1650" s="2">
        <v>45681</v>
      </c>
      <c r="C1650" t="s">
        <v>1085</v>
      </c>
      <c r="D1650" t="s">
        <v>1269</v>
      </c>
      <c r="E1650" t="s">
        <v>5772</v>
      </c>
      <c r="F1650" t="s">
        <v>5773</v>
      </c>
      <c r="G1650" t="s">
        <v>69</v>
      </c>
      <c r="H1650" t="s">
        <v>193</v>
      </c>
      <c r="I1650" t="s">
        <v>36</v>
      </c>
      <c r="J1650" t="s">
        <v>124</v>
      </c>
      <c r="K1650" t="s">
        <v>100</v>
      </c>
      <c r="L1650" t="s">
        <v>39</v>
      </c>
      <c r="M1650" t="s">
        <v>40</v>
      </c>
      <c r="N1650" t="s">
        <v>41</v>
      </c>
      <c r="O1650" s="3">
        <v>240000</v>
      </c>
      <c r="P1650" s="4">
        <v>100</v>
      </c>
      <c r="Q1650" s="2">
        <v>45710</v>
      </c>
      <c r="R1650" s="2"/>
      <c r="S1650" s="2">
        <v>45695</v>
      </c>
      <c r="T1650" s="2">
        <v>45710</v>
      </c>
      <c r="U1650" t="str">
        <f t="shared" si="175"/>
        <v>Yes</v>
      </c>
      <c r="W165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1650" t="str">
        <f t="shared" ca="1" si="176"/>
        <v>Closed</v>
      </c>
      <c r="Y1650" t="str">
        <f t="shared" si="177"/>
        <v>Closed</v>
      </c>
      <c r="Z1650" t="str">
        <f t="shared" si="178"/>
        <v>Jan-2025</v>
      </c>
      <c r="AA1650" t="str">
        <f t="shared" si="179"/>
        <v>Q1 2025</v>
      </c>
      <c r="AB1650" s="4">
        <f t="shared" ca="1" si="180"/>
        <v>518</v>
      </c>
      <c r="AC1650" t="str">
        <f t="shared" si="181"/>
        <v>Medium</v>
      </c>
    </row>
    <row r="1651" spans="1:29">
      <c r="A1651" t="s">
        <v>5774</v>
      </c>
      <c r="B1651" s="2">
        <v>45992</v>
      </c>
      <c r="C1651" t="s">
        <v>1301</v>
      </c>
      <c r="D1651" t="s">
        <v>459</v>
      </c>
      <c r="E1651" t="s">
        <v>5775</v>
      </c>
      <c r="F1651" t="s">
        <v>5776</v>
      </c>
      <c r="G1651" t="s">
        <v>34</v>
      </c>
      <c r="H1651" t="s">
        <v>238</v>
      </c>
      <c r="I1651" t="s">
        <v>36</v>
      </c>
      <c r="J1651" t="s">
        <v>131</v>
      </c>
      <c r="K1651" t="s">
        <v>71</v>
      </c>
      <c r="L1651" t="s">
        <v>154</v>
      </c>
      <c r="M1651" t="s">
        <v>133</v>
      </c>
      <c r="N1651" t="s">
        <v>134</v>
      </c>
      <c r="O1651" s="3">
        <v>345000</v>
      </c>
      <c r="P1651" s="4">
        <v>0</v>
      </c>
      <c r="Q1651" s="2">
        <v>46011</v>
      </c>
      <c r="R1651" s="2"/>
      <c r="S1651" s="2">
        <v>46000</v>
      </c>
      <c r="T1651" s="2">
        <v>46011</v>
      </c>
      <c r="U1651" t="str">
        <f t="shared" si="175"/>
        <v>No</v>
      </c>
      <c r="V1651" t="s">
        <v>452</v>
      </c>
      <c r="W165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19</v>
      </c>
      <c r="X1651" t="str">
        <f t="shared" ca="1" si="176"/>
        <v>Closed</v>
      </c>
      <c r="Y1651" t="str">
        <f t="shared" si="177"/>
        <v>Closed</v>
      </c>
      <c r="Z1651" t="str">
        <f t="shared" si="178"/>
        <v>Dec-2025</v>
      </c>
      <c r="AA1651" t="str">
        <f t="shared" si="179"/>
        <v>Q4 2025</v>
      </c>
      <c r="AB1651" s="4">
        <f t="shared" ca="1" si="180"/>
        <v>207</v>
      </c>
      <c r="AC1651" t="str">
        <f t="shared" si="181"/>
        <v>High</v>
      </c>
    </row>
    <row r="1652" spans="1:29">
      <c r="A1652" t="s">
        <v>5777</v>
      </c>
      <c r="B1652" s="2">
        <v>45734</v>
      </c>
      <c r="C1652" t="s">
        <v>746</v>
      </c>
      <c r="D1652" t="s">
        <v>710</v>
      </c>
      <c r="E1652" t="s">
        <v>5778</v>
      </c>
      <c r="F1652" t="s">
        <v>5779</v>
      </c>
      <c r="G1652" t="s">
        <v>79</v>
      </c>
      <c r="H1652" t="s">
        <v>228</v>
      </c>
      <c r="I1652" t="s">
        <v>36</v>
      </c>
      <c r="J1652" t="s">
        <v>62</v>
      </c>
      <c r="K1652" t="s">
        <v>51</v>
      </c>
      <c r="L1652" t="s">
        <v>72</v>
      </c>
      <c r="M1652" t="s">
        <v>166</v>
      </c>
      <c r="N1652" t="s">
        <v>167</v>
      </c>
      <c r="O1652" s="3">
        <v>150000</v>
      </c>
      <c r="P1652" s="4">
        <v>65</v>
      </c>
      <c r="Q1652" s="2">
        <v>45780</v>
      </c>
      <c r="R1652" s="2">
        <v>46188</v>
      </c>
      <c r="S1652" s="2">
        <v>45752</v>
      </c>
      <c r="T1652" s="2"/>
      <c r="U1652" t="str">
        <f t="shared" si="175"/>
        <v>No</v>
      </c>
      <c r="W16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2" t="str">
        <f t="shared" ca="1" si="176"/>
        <v>Overdue</v>
      </c>
      <c r="Y1652" t="str">
        <f t="shared" si="177"/>
        <v>Open</v>
      </c>
      <c r="Z1652" t="str">
        <f t="shared" si="178"/>
        <v>Mar-2025</v>
      </c>
      <c r="AA1652" t="str">
        <f t="shared" si="179"/>
        <v>Q1 2025</v>
      </c>
      <c r="AB1652" s="4">
        <f t="shared" ca="1" si="180"/>
        <v>465</v>
      </c>
      <c r="AC1652" t="str">
        <f t="shared" si="181"/>
        <v>Medium</v>
      </c>
    </row>
    <row r="1653" spans="1:29">
      <c r="A1653" t="s">
        <v>5780</v>
      </c>
      <c r="B1653" s="2">
        <v>45734</v>
      </c>
      <c r="C1653" t="s">
        <v>219</v>
      </c>
      <c r="D1653" t="s">
        <v>1118</v>
      </c>
      <c r="E1653" t="s">
        <v>5781</v>
      </c>
      <c r="F1653" t="s">
        <v>5782</v>
      </c>
      <c r="G1653" t="s">
        <v>79</v>
      </c>
      <c r="H1653" t="s">
        <v>106</v>
      </c>
      <c r="I1653" t="s">
        <v>98</v>
      </c>
      <c r="J1653" t="s">
        <v>62</v>
      </c>
      <c r="K1653" t="s">
        <v>114</v>
      </c>
      <c r="L1653" t="s">
        <v>142</v>
      </c>
      <c r="M1653" t="s">
        <v>90</v>
      </c>
      <c r="N1653" t="s">
        <v>91</v>
      </c>
      <c r="O1653" s="3">
        <v>315000</v>
      </c>
      <c r="P1653" s="4">
        <v>40</v>
      </c>
      <c r="Q1653" s="2">
        <v>45754</v>
      </c>
      <c r="R1653" s="2">
        <v>46208</v>
      </c>
      <c r="S1653" s="2">
        <v>45750</v>
      </c>
      <c r="T1653" s="2"/>
      <c r="U1653" t="str">
        <f t="shared" si="175"/>
        <v>No</v>
      </c>
      <c r="W16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3" t="str">
        <f t="shared" ca="1" si="176"/>
        <v>Due/Open</v>
      </c>
      <c r="Y1653" t="str">
        <f t="shared" si="177"/>
        <v>Open</v>
      </c>
      <c r="Z1653" t="str">
        <f t="shared" si="178"/>
        <v>Mar-2025</v>
      </c>
      <c r="AA1653" t="str">
        <f t="shared" si="179"/>
        <v>Q1 2025</v>
      </c>
      <c r="AB1653" s="4">
        <f t="shared" ca="1" si="180"/>
        <v>465</v>
      </c>
      <c r="AC1653" t="str">
        <f t="shared" si="181"/>
        <v>High</v>
      </c>
    </row>
    <row r="1654" spans="1:29">
      <c r="A1654" t="s">
        <v>5783</v>
      </c>
      <c r="B1654" s="2">
        <v>46028</v>
      </c>
      <c r="C1654" t="s">
        <v>5784</v>
      </c>
      <c r="D1654" t="s">
        <v>627</v>
      </c>
      <c r="E1654" t="s">
        <v>5785</v>
      </c>
      <c r="F1654" t="s">
        <v>5786</v>
      </c>
      <c r="G1654" t="s">
        <v>179</v>
      </c>
      <c r="H1654" t="s">
        <v>318</v>
      </c>
      <c r="I1654" t="s">
        <v>187</v>
      </c>
      <c r="J1654" t="s">
        <v>124</v>
      </c>
      <c r="K1654" t="s">
        <v>194</v>
      </c>
      <c r="L1654" t="s">
        <v>125</v>
      </c>
      <c r="M1654" t="s">
        <v>40</v>
      </c>
      <c r="N1654" t="s">
        <v>41</v>
      </c>
      <c r="O1654" s="3">
        <v>285000</v>
      </c>
      <c r="P1654" s="4">
        <v>100</v>
      </c>
      <c r="Q1654" s="2">
        <v>46096</v>
      </c>
      <c r="R1654" s="2"/>
      <c r="S1654" s="2">
        <v>46030</v>
      </c>
      <c r="T1654" s="2">
        <v>46096</v>
      </c>
      <c r="U1654" t="str">
        <f t="shared" si="175"/>
        <v>Yes</v>
      </c>
      <c r="W165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68</v>
      </c>
      <c r="X1654" t="str">
        <f t="shared" ca="1" si="176"/>
        <v>Closed</v>
      </c>
      <c r="Y1654" t="str">
        <f t="shared" si="177"/>
        <v>Closed</v>
      </c>
      <c r="Z1654" t="str">
        <f t="shared" si="178"/>
        <v>Jan-2026</v>
      </c>
      <c r="AA1654" t="str">
        <f t="shared" si="179"/>
        <v>Q1 2026</v>
      </c>
      <c r="AB1654" s="4">
        <f t="shared" ca="1" si="180"/>
        <v>171</v>
      </c>
      <c r="AC1654" t="str">
        <f t="shared" si="181"/>
        <v>Medium</v>
      </c>
    </row>
    <row r="1655" spans="1:29">
      <c r="A1655" t="s">
        <v>5787</v>
      </c>
      <c r="B1655" s="2">
        <v>46067</v>
      </c>
      <c r="C1655" t="s">
        <v>1952</v>
      </c>
      <c r="D1655" t="s">
        <v>357</v>
      </c>
      <c r="E1655" t="s">
        <v>5788</v>
      </c>
      <c r="F1655" t="s">
        <v>5789</v>
      </c>
      <c r="G1655" t="s">
        <v>34</v>
      </c>
      <c r="H1655" t="s">
        <v>173</v>
      </c>
      <c r="I1655" t="s">
        <v>98</v>
      </c>
      <c r="J1655" t="s">
        <v>37</v>
      </c>
      <c r="K1655" t="s">
        <v>51</v>
      </c>
      <c r="L1655" t="s">
        <v>132</v>
      </c>
      <c r="M1655" t="s">
        <v>53</v>
      </c>
      <c r="N1655" t="s">
        <v>54</v>
      </c>
      <c r="O1655" s="3">
        <v>140000</v>
      </c>
      <c r="P1655" s="4">
        <v>35</v>
      </c>
      <c r="Q1655" s="2">
        <v>46138</v>
      </c>
      <c r="R1655" s="2">
        <v>46168</v>
      </c>
      <c r="S1655" s="2">
        <v>46073</v>
      </c>
      <c r="T1655" s="2"/>
      <c r="U1655" t="str">
        <f t="shared" si="175"/>
        <v>No</v>
      </c>
      <c r="W16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5" t="str">
        <f t="shared" ca="1" si="176"/>
        <v>Overdue</v>
      </c>
      <c r="Y1655" t="str">
        <f t="shared" si="177"/>
        <v>Open</v>
      </c>
      <c r="Z1655" t="str">
        <f t="shared" si="178"/>
        <v>Feb-2026</v>
      </c>
      <c r="AA1655" t="str">
        <f t="shared" si="179"/>
        <v>Q1 2026</v>
      </c>
      <c r="AB1655" s="4">
        <f t="shared" ca="1" si="180"/>
        <v>132</v>
      </c>
      <c r="AC1655" t="str">
        <f t="shared" si="181"/>
        <v>Medium</v>
      </c>
    </row>
    <row r="1656" spans="1:29">
      <c r="A1656" t="s">
        <v>5790</v>
      </c>
      <c r="B1656" s="2">
        <v>45818</v>
      </c>
      <c r="C1656" t="s">
        <v>2789</v>
      </c>
      <c r="D1656" t="s">
        <v>914</v>
      </c>
      <c r="E1656" t="s">
        <v>5791</v>
      </c>
      <c r="F1656" t="s">
        <v>5792</v>
      </c>
      <c r="G1656" t="s">
        <v>79</v>
      </c>
      <c r="H1656" t="s">
        <v>260</v>
      </c>
      <c r="I1656" t="s">
        <v>98</v>
      </c>
      <c r="J1656" t="s">
        <v>50</v>
      </c>
      <c r="K1656" t="s">
        <v>194</v>
      </c>
      <c r="L1656" t="s">
        <v>107</v>
      </c>
      <c r="M1656" t="s">
        <v>210</v>
      </c>
      <c r="N1656" t="s">
        <v>134</v>
      </c>
      <c r="O1656" s="3">
        <v>440000</v>
      </c>
      <c r="P1656" s="4">
        <v>0</v>
      </c>
      <c r="Q1656" s="2">
        <v>45841</v>
      </c>
      <c r="R1656" s="2"/>
      <c r="S1656" s="2">
        <v>45825</v>
      </c>
      <c r="T1656" s="2">
        <v>45841</v>
      </c>
      <c r="U1656" t="str">
        <f t="shared" si="175"/>
        <v>No</v>
      </c>
      <c r="V1656" t="s">
        <v>276</v>
      </c>
      <c r="W165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23</v>
      </c>
      <c r="X1656" t="str">
        <f t="shared" ca="1" si="176"/>
        <v>Closed</v>
      </c>
      <c r="Y1656" t="str">
        <f t="shared" si="177"/>
        <v>Closed</v>
      </c>
      <c r="Z1656" t="str">
        <f t="shared" si="178"/>
        <v>Jun-2025</v>
      </c>
      <c r="AA1656" t="str">
        <f t="shared" si="179"/>
        <v>Q2 2025</v>
      </c>
      <c r="AB1656" s="4">
        <f t="shared" ca="1" si="180"/>
        <v>381</v>
      </c>
      <c r="AC1656" t="str">
        <f t="shared" si="181"/>
        <v>High</v>
      </c>
    </row>
    <row r="1657" spans="1:29">
      <c r="A1657" t="s">
        <v>5793</v>
      </c>
      <c r="B1657" s="2">
        <v>46084</v>
      </c>
      <c r="C1657" t="s">
        <v>5794</v>
      </c>
      <c r="D1657" t="s">
        <v>299</v>
      </c>
      <c r="E1657" t="s">
        <v>5795</v>
      </c>
      <c r="F1657" t="s">
        <v>5796</v>
      </c>
      <c r="G1657" t="s">
        <v>34</v>
      </c>
      <c r="H1657" t="s">
        <v>60</v>
      </c>
      <c r="I1657" t="s">
        <v>98</v>
      </c>
      <c r="J1657" t="s">
        <v>50</v>
      </c>
      <c r="K1657" t="s">
        <v>71</v>
      </c>
      <c r="L1657" t="s">
        <v>107</v>
      </c>
      <c r="M1657" t="s">
        <v>53</v>
      </c>
      <c r="N1657" t="s">
        <v>54</v>
      </c>
      <c r="O1657" s="3">
        <v>270000</v>
      </c>
      <c r="P1657" s="4">
        <v>35</v>
      </c>
      <c r="Q1657" s="2">
        <v>46164</v>
      </c>
      <c r="R1657" s="2">
        <v>46238</v>
      </c>
      <c r="S1657" s="2">
        <v>46087</v>
      </c>
      <c r="T1657" s="2"/>
      <c r="U1657" t="str">
        <f t="shared" si="175"/>
        <v>No</v>
      </c>
      <c r="W16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7" t="str">
        <f t="shared" ca="1" si="176"/>
        <v>Due/Open</v>
      </c>
      <c r="Y1657" t="str">
        <f t="shared" si="177"/>
        <v>Open</v>
      </c>
      <c r="Z1657" t="str">
        <f t="shared" si="178"/>
        <v>Mar-2026</v>
      </c>
      <c r="AA1657" t="str">
        <f t="shared" si="179"/>
        <v>Q1 2026</v>
      </c>
      <c r="AB1657" s="4">
        <f t="shared" ca="1" si="180"/>
        <v>115</v>
      </c>
      <c r="AC1657" t="str">
        <f t="shared" si="181"/>
        <v>Medium</v>
      </c>
    </row>
    <row r="1658" spans="1:29">
      <c r="A1658" t="s">
        <v>5797</v>
      </c>
      <c r="B1658" s="2">
        <v>45820</v>
      </c>
      <c r="C1658" t="s">
        <v>1536</v>
      </c>
      <c r="D1658" t="s">
        <v>252</v>
      </c>
      <c r="E1658" t="s">
        <v>5798</v>
      </c>
      <c r="F1658" t="s">
        <v>5799</v>
      </c>
      <c r="G1658" t="s">
        <v>79</v>
      </c>
      <c r="H1658" t="s">
        <v>97</v>
      </c>
      <c r="I1658" t="s">
        <v>49</v>
      </c>
      <c r="J1658" t="s">
        <v>131</v>
      </c>
      <c r="K1658" t="s">
        <v>194</v>
      </c>
      <c r="L1658" t="s">
        <v>154</v>
      </c>
      <c r="M1658" t="s">
        <v>166</v>
      </c>
      <c r="N1658" t="s">
        <v>167</v>
      </c>
      <c r="O1658" s="3">
        <v>350000</v>
      </c>
      <c r="P1658" s="4">
        <v>65</v>
      </c>
      <c r="Q1658" s="2">
        <v>45875</v>
      </c>
      <c r="R1658" s="2">
        <v>46227</v>
      </c>
      <c r="S1658" s="2">
        <v>45848</v>
      </c>
      <c r="T1658" s="2"/>
      <c r="U1658" t="str">
        <f t="shared" si="175"/>
        <v>No</v>
      </c>
      <c r="W16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58" t="str">
        <f t="shared" ca="1" si="176"/>
        <v>Due/Open</v>
      </c>
      <c r="Y1658" t="str">
        <f t="shared" si="177"/>
        <v>Open</v>
      </c>
      <c r="Z1658" t="str">
        <f t="shared" si="178"/>
        <v>Jun-2025</v>
      </c>
      <c r="AA1658" t="str">
        <f t="shared" si="179"/>
        <v>Q2 2025</v>
      </c>
      <c r="AB1658" s="4">
        <f t="shared" ca="1" si="180"/>
        <v>379</v>
      </c>
      <c r="AC1658" t="str">
        <f t="shared" si="181"/>
        <v>High</v>
      </c>
    </row>
    <row r="1659" spans="1:29">
      <c r="A1659" t="s">
        <v>5800</v>
      </c>
      <c r="B1659" s="2">
        <v>46129</v>
      </c>
      <c r="C1659" t="s">
        <v>4329</v>
      </c>
      <c r="D1659" t="s">
        <v>304</v>
      </c>
      <c r="E1659" t="s">
        <v>5801</v>
      </c>
      <c r="F1659" t="s">
        <v>5802</v>
      </c>
      <c r="G1659" t="s">
        <v>47</v>
      </c>
      <c r="H1659" t="s">
        <v>122</v>
      </c>
      <c r="I1659" t="s">
        <v>123</v>
      </c>
      <c r="J1659" t="s">
        <v>37</v>
      </c>
      <c r="K1659" t="s">
        <v>71</v>
      </c>
      <c r="L1659" t="s">
        <v>39</v>
      </c>
      <c r="M1659" t="s">
        <v>133</v>
      </c>
      <c r="N1659" t="s">
        <v>134</v>
      </c>
      <c r="O1659" s="3">
        <v>165000</v>
      </c>
      <c r="P1659" s="4">
        <v>0</v>
      </c>
      <c r="Q1659" s="2">
        <v>46183</v>
      </c>
      <c r="R1659" s="2"/>
      <c r="S1659" s="2">
        <v>46131</v>
      </c>
      <c r="T1659" s="2">
        <v>46183</v>
      </c>
      <c r="U1659" t="str">
        <f t="shared" si="175"/>
        <v>No</v>
      </c>
      <c r="V1659" t="s">
        <v>1105</v>
      </c>
      <c r="W16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54</v>
      </c>
      <c r="X1659" t="str">
        <f t="shared" ca="1" si="176"/>
        <v>Closed</v>
      </c>
      <c r="Y1659" t="str">
        <f t="shared" si="177"/>
        <v>Closed</v>
      </c>
      <c r="Z1659" t="str">
        <f t="shared" si="178"/>
        <v>Apr-2026</v>
      </c>
      <c r="AA1659" t="str">
        <f t="shared" si="179"/>
        <v>Q2 2026</v>
      </c>
      <c r="AB1659" s="4">
        <f t="shared" ca="1" si="180"/>
        <v>70</v>
      </c>
      <c r="AC1659" t="str">
        <f t="shared" si="181"/>
        <v>Medium</v>
      </c>
    </row>
    <row r="1660" spans="1:29">
      <c r="A1660" t="s">
        <v>5803</v>
      </c>
      <c r="B1660" s="2">
        <v>45665</v>
      </c>
      <c r="C1660" t="s">
        <v>2336</v>
      </c>
      <c r="D1660" t="s">
        <v>1127</v>
      </c>
      <c r="E1660" t="s">
        <v>5804</v>
      </c>
      <c r="F1660" t="s">
        <v>5805</v>
      </c>
      <c r="G1660" t="s">
        <v>34</v>
      </c>
      <c r="H1660" t="s">
        <v>160</v>
      </c>
      <c r="I1660" t="s">
        <v>49</v>
      </c>
      <c r="J1660" t="s">
        <v>62</v>
      </c>
      <c r="K1660" t="s">
        <v>51</v>
      </c>
      <c r="L1660" t="s">
        <v>72</v>
      </c>
      <c r="M1660" t="s">
        <v>73</v>
      </c>
      <c r="N1660" t="s">
        <v>73</v>
      </c>
      <c r="O1660" s="3">
        <v>240000</v>
      </c>
      <c r="P1660" s="4">
        <v>85</v>
      </c>
      <c r="Q1660" s="2">
        <v>45746</v>
      </c>
      <c r="R1660" s="2">
        <v>46220</v>
      </c>
      <c r="S1660" s="2">
        <v>45678</v>
      </c>
      <c r="T1660" s="2"/>
      <c r="U1660" t="str">
        <f t="shared" si="175"/>
        <v>No</v>
      </c>
      <c r="W16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0" t="str">
        <f t="shared" ca="1" si="176"/>
        <v>Due/Open</v>
      </c>
      <c r="Y1660" t="str">
        <f t="shared" si="177"/>
        <v>Open</v>
      </c>
      <c r="Z1660" t="str">
        <f t="shared" si="178"/>
        <v>Jan-2025</v>
      </c>
      <c r="AA1660" t="str">
        <f t="shared" si="179"/>
        <v>Q1 2025</v>
      </c>
      <c r="AB1660" s="4">
        <f t="shared" ca="1" si="180"/>
        <v>534</v>
      </c>
      <c r="AC1660" t="str">
        <f t="shared" si="181"/>
        <v>Medium</v>
      </c>
    </row>
    <row r="1661" spans="1:29">
      <c r="A1661" t="s">
        <v>5806</v>
      </c>
      <c r="B1661" s="2">
        <v>46034</v>
      </c>
      <c r="C1661" t="s">
        <v>3556</v>
      </c>
      <c r="D1661" t="s">
        <v>86</v>
      </c>
      <c r="E1661" t="s">
        <v>5807</v>
      </c>
      <c r="F1661" t="s">
        <v>5808</v>
      </c>
      <c r="G1661" t="s">
        <v>179</v>
      </c>
      <c r="H1661" t="s">
        <v>487</v>
      </c>
      <c r="I1661" t="s">
        <v>36</v>
      </c>
      <c r="J1661" t="s">
        <v>62</v>
      </c>
      <c r="K1661" t="s">
        <v>51</v>
      </c>
      <c r="L1661" t="s">
        <v>72</v>
      </c>
      <c r="M1661" t="s">
        <v>82</v>
      </c>
      <c r="N1661" t="s">
        <v>83</v>
      </c>
      <c r="O1661" s="3">
        <v>215000</v>
      </c>
      <c r="P1661" s="4">
        <v>5</v>
      </c>
      <c r="Q1661" s="2">
        <v>46054</v>
      </c>
      <c r="R1661" s="2">
        <v>46182</v>
      </c>
      <c r="S1661" s="2">
        <v>46053</v>
      </c>
      <c r="T1661" s="2"/>
      <c r="U1661" t="str">
        <f t="shared" si="175"/>
        <v>No</v>
      </c>
      <c r="W16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1" t="str">
        <f t="shared" ca="1" si="176"/>
        <v>Overdue</v>
      </c>
      <c r="Y1661" t="str">
        <f t="shared" si="177"/>
        <v>Open</v>
      </c>
      <c r="Z1661" t="str">
        <f t="shared" si="178"/>
        <v>Jan-2026</v>
      </c>
      <c r="AA1661" t="str">
        <f t="shared" si="179"/>
        <v>Q1 2026</v>
      </c>
      <c r="AB1661" s="4">
        <f t="shared" ca="1" si="180"/>
        <v>165</v>
      </c>
      <c r="AC1661" t="str">
        <f t="shared" si="181"/>
        <v>Medium</v>
      </c>
    </row>
    <row r="1662" spans="1:29">
      <c r="A1662" t="s">
        <v>5809</v>
      </c>
      <c r="B1662" s="2">
        <v>45905</v>
      </c>
      <c r="C1662" t="s">
        <v>499</v>
      </c>
      <c r="D1662" t="s">
        <v>640</v>
      </c>
      <c r="E1662" t="s">
        <v>5810</v>
      </c>
      <c r="F1662" t="s">
        <v>5811</v>
      </c>
      <c r="G1662" t="s">
        <v>79</v>
      </c>
      <c r="H1662" t="s">
        <v>106</v>
      </c>
      <c r="I1662" t="s">
        <v>98</v>
      </c>
      <c r="J1662" t="s">
        <v>131</v>
      </c>
      <c r="K1662" t="s">
        <v>194</v>
      </c>
      <c r="L1662" t="s">
        <v>107</v>
      </c>
      <c r="M1662" t="s">
        <v>116</v>
      </c>
      <c r="N1662" t="s">
        <v>54</v>
      </c>
      <c r="O1662" s="3">
        <v>205000</v>
      </c>
      <c r="P1662" s="4">
        <v>15</v>
      </c>
      <c r="Q1662" s="2">
        <v>45925</v>
      </c>
      <c r="R1662" s="2">
        <v>46228</v>
      </c>
      <c r="S1662" s="2">
        <v>45914</v>
      </c>
      <c r="T1662" s="2"/>
      <c r="U1662" t="str">
        <f t="shared" si="175"/>
        <v>No</v>
      </c>
      <c r="W16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2" t="str">
        <f t="shared" ca="1" si="176"/>
        <v>Due/Open</v>
      </c>
      <c r="Y1662" t="str">
        <f t="shared" si="177"/>
        <v>Open</v>
      </c>
      <c r="Z1662" t="str">
        <f t="shared" si="178"/>
        <v>Sep-2025</v>
      </c>
      <c r="AA1662" t="str">
        <f t="shared" si="179"/>
        <v>Q3 2025</v>
      </c>
      <c r="AB1662" s="4">
        <f t="shared" ca="1" si="180"/>
        <v>294</v>
      </c>
      <c r="AC1662" t="str">
        <f t="shared" si="181"/>
        <v>Medium</v>
      </c>
    </row>
    <row r="1663" spans="1:29">
      <c r="A1663" t="s">
        <v>5812</v>
      </c>
      <c r="B1663" s="2">
        <v>45795</v>
      </c>
      <c r="C1663" t="s">
        <v>5813</v>
      </c>
      <c r="D1663" t="s">
        <v>2704</v>
      </c>
      <c r="E1663" t="s">
        <v>5814</v>
      </c>
      <c r="F1663" t="s">
        <v>5815</v>
      </c>
      <c r="G1663" t="s">
        <v>79</v>
      </c>
      <c r="H1663" t="s">
        <v>228</v>
      </c>
      <c r="I1663" t="s">
        <v>141</v>
      </c>
      <c r="J1663" t="s">
        <v>99</v>
      </c>
      <c r="K1663" t="s">
        <v>100</v>
      </c>
      <c r="L1663" t="s">
        <v>132</v>
      </c>
      <c r="M1663" t="s">
        <v>166</v>
      </c>
      <c r="N1663" t="s">
        <v>167</v>
      </c>
      <c r="O1663" s="3">
        <v>505000</v>
      </c>
      <c r="P1663" s="4">
        <v>60</v>
      </c>
      <c r="Q1663" s="2">
        <v>45820</v>
      </c>
      <c r="R1663" s="2">
        <v>46181</v>
      </c>
      <c r="S1663" s="2">
        <v>45818</v>
      </c>
      <c r="T1663" s="2"/>
      <c r="U1663" t="str">
        <f t="shared" si="175"/>
        <v>No</v>
      </c>
      <c r="W16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3" t="str">
        <f t="shared" ca="1" si="176"/>
        <v>Overdue</v>
      </c>
      <c r="Y1663" t="str">
        <f t="shared" si="177"/>
        <v>Open</v>
      </c>
      <c r="Z1663" t="str">
        <f t="shared" si="178"/>
        <v>May-2025</v>
      </c>
      <c r="AA1663" t="str">
        <f t="shared" si="179"/>
        <v>Q2 2025</v>
      </c>
      <c r="AB1663" s="4">
        <f t="shared" ca="1" si="180"/>
        <v>404</v>
      </c>
      <c r="AC1663" t="str">
        <f t="shared" si="181"/>
        <v>High</v>
      </c>
    </row>
    <row r="1664" spans="1:29">
      <c r="A1664" t="s">
        <v>5816</v>
      </c>
      <c r="B1664" s="2">
        <v>45968</v>
      </c>
      <c r="C1664" t="s">
        <v>127</v>
      </c>
      <c r="D1664" t="s">
        <v>2897</v>
      </c>
      <c r="E1664" t="s">
        <v>5817</v>
      </c>
      <c r="F1664" t="s">
        <v>5818</v>
      </c>
      <c r="G1664" t="s">
        <v>79</v>
      </c>
      <c r="H1664" t="s">
        <v>217</v>
      </c>
      <c r="I1664" t="s">
        <v>36</v>
      </c>
      <c r="J1664" t="s">
        <v>62</v>
      </c>
      <c r="K1664" t="s">
        <v>194</v>
      </c>
      <c r="L1664" t="s">
        <v>63</v>
      </c>
      <c r="M1664" t="s">
        <v>40</v>
      </c>
      <c r="N1664" t="s">
        <v>41</v>
      </c>
      <c r="O1664" s="3">
        <v>450000</v>
      </c>
      <c r="P1664" s="4">
        <v>100</v>
      </c>
      <c r="Q1664" s="2">
        <v>46046</v>
      </c>
      <c r="R1664" s="2"/>
      <c r="S1664" s="2">
        <v>45993</v>
      </c>
      <c r="T1664" s="2">
        <v>46046</v>
      </c>
      <c r="U1664" t="str">
        <f t="shared" si="175"/>
        <v>Yes</v>
      </c>
      <c r="W166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78</v>
      </c>
      <c r="X1664" t="str">
        <f t="shared" ca="1" si="176"/>
        <v>Closed</v>
      </c>
      <c r="Y1664" t="str">
        <f t="shared" si="177"/>
        <v>Closed</v>
      </c>
      <c r="Z1664" t="str">
        <f t="shared" si="178"/>
        <v>Nov-2025</v>
      </c>
      <c r="AA1664" t="str">
        <f t="shared" si="179"/>
        <v>Q4 2025</v>
      </c>
      <c r="AB1664" s="4">
        <f t="shared" ca="1" si="180"/>
        <v>231</v>
      </c>
      <c r="AC1664" t="str">
        <f t="shared" si="181"/>
        <v>High</v>
      </c>
    </row>
    <row r="1665" spans="1:29">
      <c r="A1665" t="s">
        <v>5819</v>
      </c>
      <c r="B1665" s="2">
        <v>45968</v>
      </c>
      <c r="C1665" t="s">
        <v>3520</v>
      </c>
      <c r="D1665" t="s">
        <v>332</v>
      </c>
      <c r="E1665" t="s">
        <v>5820</v>
      </c>
      <c r="F1665" t="s">
        <v>5821</v>
      </c>
      <c r="G1665" t="s">
        <v>179</v>
      </c>
      <c r="H1665" t="s">
        <v>296</v>
      </c>
      <c r="I1665" t="s">
        <v>141</v>
      </c>
      <c r="J1665" t="s">
        <v>37</v>
      </c>
      <c r="K1665" t="s">
        <v>71</v>
      </c>
      <c r="L1665" t="s">
        <v>107</v>
      </c>
      <c r="M1665" t="s">
        <v>166</v>
      </c>
      <c r="N1665" t="s">
        <v>167</v>
      </c>
      <c r="O1665" s="3">
        <v>140000</v>
      </c>
      <c r="P1665" s="4">
        <v>60</v>
      </c>
      <c r="Q1665" s="2">
        <v>45990</v>
      </c>
      <c r="R1665" s="2">
        <v>46167</v>
      </c>
      <c r="S1665" s="2">
        <v>45980</v>
      </c>
      <c r="T1665" s="2"/>
      <c r="U1665" t="str">
        <f t="shared" si="175"/>
        <v>No</v>
      </c>
      <c r="W16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5" t="str">
        <f t="shared" ca="1" si="176"/>
        <v>Overdue</v>
      </c>
      <c r="Y1665" t="str">
        <f t="shared" si="177"/>
        <v>Open</v>
      </c>
      <c r="Z1665" t="str">
        <f t="shared" si="178"/>
        <v>Nov-2025</v>
      </c>
      <c r="AA1665" t="str">
        <f t="shared" si="179"/>
        <v>Q4 2025</v>
      </c>
      <c r="AB1665" s="4">
        <f t="shared" ca="1" si="180"/>
        <v>231</v>
      </c>
      <c r="AC1665" t="str">
        <f t="shared" si="181"/>
        <v>Medium</v>
      </c>
    </row>
    <row r="1666" spans="1:29">
      <c r="A1666" t="s">
        <v>5822</v>
      </c>
      <c r="B1666" s="2">
        <v>45774</v>
      </c>
      <c r="C1666" t="s">
        <v>2782</v>
      </c>
      <c r="D1666" t="s">
        <v>1366</v>
      </c>
      <c r="E1666" t="s">
        <v>5823</v>
      </c>
      <c r="F1666" t="s">
        <v>5824</v>
      </c>
      <c r="G1666" t="s">
        <v>47</v>
      </c>
      <c r="H1666" t="s">
        <v>418</v>
      </c>
      <c r="I1666" t="s">
        <v>98</v>
      </c>
      <c r="J1666" t="s">
        <v>99</v>
      </c>
      <c r="K1666" t="s">
        <v>51</v>
      </c>
      <c r="L1666" t="s">
        <v>39</v>
      </c>
      <c r="M1666" t="s">
        <v>73</v>
      </c>
      <c r="N1666" t="s">
        <v>73</v>
      </c>
      <c r="O1666" s="3">
        <v>165000</v>
      </c>
      <c r="P1666" s="4">
        <v>85</v>
      </c>
      <c r="Q1666" s="2">
        <v>45794</v>
      </c>
      <c r="R1666" s="2">
        <v>46201</v>
      </c>
      <c r="S1666" s="2">
        <v>45794</v>
      </c>
      <c r="T1666" s="2"/>
      <c r="U1666" t="str">
        <f t="shared" ref="U1666:U1729" si="182">IF(M1666="Converted","Yes","No")</f>
        <v>No</v>
      </c>
      <c r="W16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6" t="str">
        <f t="shared" ref="X1666:X1729" ca="1" si="183">IF(OR(M1666="Converted",M1666="Lost",M1666="Not Interested"),"Closed",IF(R1666&lt;TODAY(),"Overdue","Due/Open"))</f>
        <v>Due/Open</v>
      </c>
      <c r="Y1666" t="str">
        <f t="shared" ref="Y1666:Y1729" si="184">IF(OR(M1666="Converted",M1666="Lost",M1666="Not Interested"),"Closed","Open")</f>
        <v>Open</v>
      </c>
      <c r="Z1666" t="str">
        <f t="shared" ref="Z1666:Z1729" si="185">TEXT(B1666,"mmm-yyyy")</f>
        <v>Apr-2025</v>
      </c>
      <c r="AA1666" t="str">
        <f t="shared" ref="AA1666:AA1729" si="186">"Q"&amp;ROUNDUP(MONTH(B1666)/3,0)&amp;" "&amp;YEAR(B1666)</f>
        <v>Q2 2025</v>
      </c>
      <c r="AB1666" s="4">
        <f t="shared" ref="AB1666:AB1729" ca="1" si="187">TODAY()-B1666</f>
        <v>425</v>
      </c>
      <c r="AC1666" t="str">
        <f t="shared" ref="AC1666:AC1729" si="188">IF(O1666&gt;=300000,"High",IF(O1666&gt;=120000,"Medium","Low"))</f>
        <v>Medium</v>
      </c>
    </row>
    <row r="1667" spans="1:29">
      <c r="A1667" t="s">
        <v>5825</v>
      </c>
      <c r="B1667" s="2">
        <v>45975</v>
      </c>
      <c r="C1667" t="s">
        <v>1107</v>
      </c>
      <c r="D1667" t="s">
        <v>767</v>
      </c>
      <c r="E1667" t="s">
        <v>5826</v>
      </c>
      <c r="F1667" t="s">
        <v>5827</v>
      </c>
      <c r="G1667" t="s">
        <v>69</v>
      </c>
      <c r="H1667" t="s">
        <v>312</v>
      </c>
      <c r="I1667" t="s">
        <v>49</v>
      </c>
      <c r="J1667" t="s">
        <v>99</v>
      </c>
      <c r="K1667" t="s">
        <v>38</v>
      </c>
      <c r="L1667" t="s">
        <v>72</v>
      </c>
      <c r="M1667" t="s">
        <v>166</v>
      </c>
      <c r="N1667" t="s">
        <v>167</v>
      </c>
      <c r="O1667" s="3">
        <v>170000</v>
      </c>
      <c r="P1667" s="4">
        <v>70</v>
      </c>
      <c r="Q1667" s="2">
        <v>46039</v>
      </c>
      <c r="R1667" s="2">
        <v>46241</v>
      </c>
      <c r="S1667" s="2">
        <v>45978</v>
      </c>
      <c r="T1667" s="2"/>
      <c r="U1667" t="str">
        <f t="shared" si="182"/>
        <v>No</v>
      </c>
      <c r="W16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67" t="str">
        <f t="shared" ca="1" si="183"/>
        <v>Due/Open</v>
      </c>
      <c r="Y1667" t="str">
        <f t="shared" si="184"/>
        <v>Open</v>
      </c>
      <c r="Z1667" t="str">
        <f t="shared" si="185"/>
        <v>Nov-2025</v>
      </c>
      <c r="AA1667" t="str">
        <f t="shared" si="186"/>
        <v>Q4 2025</v>
      </c>
      <c r="AB1667" s="4">
        <f t="shared" ca="1" si="187"/>
        <v>224</v>
      </c>
      <c r="AC1667" t="str">
        <f t="shared" si="188"/>
        <v>Medium</v>
      </c>
    </row>
    <row r="1668" spans="1:29">
      <c r="A1668" t="s">
        <v>5828</v>
      </c>
      <c r="B1668" s="2">
        <v>45659</v>
      </c>
      <c r="C1668" t="s">
        <v>3178</v>
      </c>
      <c r="D1668" t="s">
        <v>1098</v>
      </c>
      <c r="E1668" t="s">
        <v>5829</v>
      </c>
      <c r="F1668" t="s">
        <v>5830</v>
      </c>
      <c r="G1668" t="s">
        <v>69</v>
      </c>
      <c r="H1668" t="s">
        <v>312</v>
      </c>
      <c r="I1668" t="s">
        <v>148</v>
      </c>
      <c r="J1668" t="s">
        <v>62</v>
      </c>
      <c r="K1668" t="s">
        <v>38</v>
      </c>
      <c r="L1668" t="s">
        <v>81</v>
      </c>
      <c r="M1668" t="s">
        <v>133</v>
      </c>
      <c r="N1668" t="s">
        <v>134</v>
      </c>
      <c r="O1668" s="3">
        <v>330000</v>
      </c>
      <c r="P1668" s="4">
        <v>0</v>
      </c>
      <c r="Q1668" s="2">
        <v>45669</v>
      </c>
      <c r="R1668" s="2"/>
      <c r="S1668" s="2">
        <v>45688</v>
      </c>
      <c r="T1668" s="2">
        <v>45669</v>
      </c>
      <c r="U1668" t="str">
        <f t="shared" si="182"/>
        <v>No</v>
      </c>
      <c r="V1668" t="s">
        <v>135</v>
      </c>
      <c r="W16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668" t="str">
        <f t="shared" ca="1" si="183"/>
        <v>Closed</v>
      </c>
      <c r="Y1668" t="str">
        <f t="shared" si="184"/>
        <v>Closed</v>
      </c>
      <c r="Z1668" t="str">
        <f t="shared" si="185"/>
        <v>Jan-2025</v>
      </c>
      <c r="AA1668" t="str">
        <f t="shared" si="186"/>
        <v>Q1 2025</v>
      </c>
      <c r="AB1668" s="4">
        <f t="shared" ca="1" si="187"/>
        <v>540</v>
      </c>
      <c r="AC1668" t="str">
        <f t="shared" si="188"/>
        <v>High</v>
      </c>
    </row>
    <row r="1669" spans="1:29">
      <c r="A1669" t="s">
        <v>5831</v>
      </c>
      <c r="B1669" s="2">
        <v>45703</v>
      </c>
      <c r="C1669" t="s">
        <v>2604</v>
      </c>
      <c r="D1669" t="s">
        <v>715</v>
      </c>
      <c r="E1669" t="s">
        <v>5832</v>
      </c>
      <c r="F1669" t="s">
        <v>5833</v>
      </c>
      <c r="G1669" t="s">
        <v>47</v>
      </c>
      <c r="H1669" t="s">
        <v>493</v>
      </c>
      <c r="I1669" t="s">
        <v>123</v>
      </c>
      <c r="J1669" t="s">
        <v>37</v>
      </c>
      <c r="K1669" t="s">
        <v>71</v>
      </c>
      <c r="L1669" t="s">
        <v>132</v>
      </c>
      <c r="M1669" t="s">
        <v>40</v>
      </c>
      <c r="N1669" t="s">
        <v>41</v>
      </c>
      <c r="O1669" s="3">
        <v>65000</v>
      </c>
      <c r="P1669" s="4">
        <v>100</v>
      </c>
      <c r="Q1669" s="2">
        <v>45784</v>
      </c>
      <c r="R1669" s="2"/>
      <c r="S1669" s="2">
        <v>45705</v>
      </c>
      <c r="T1669" s="2">
        <v>45784</v>
      </c>
      <c r="U1669" t="str">
        <f t="shared" si="182"/>
        <v>Yes</v>
      </c>
      <c r="W16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81</v>
      </c>
      <c r="X1669" t="str">
        <f t="shared" ca="1" si="183"/>
        <v>Closed</v>
      </c>
      <c r="Y1669" t="str">
        <f t="shared" si="184"/>
        <v>Closed</v>
      </c>
      <c r="Z1669" t="str">
        <f t="shared" si="185"/>
        <v>Feb-2025</v>
      </c>
      <c r="AA1669" t="str">
        <f t="shared" si="186"/>
        <v>Q1 2025</v>
      </c>
      <c r="AB1669" s="4">
        <f t="shared" ca="1" si="187"/>
        <v>496</v>
      </c>
      <c r="AC1669" t="str">
        <f t="shared" si="188"/>
        <v>Low</v>
      </c>
    </row>
    <row r="1670" spans="1:29">
      <c r="A1670" t="s">
        <v>5834</v>
      </c>
      <c r="B1670" s="2">
        <v>45837</v>
      </c>
      <c r="C1670" t="s">
        <v>489</v>
      </c>
      <c r="D1670" t="s">
        <v>522</v>
      </c>
      <c r="E1670" t="s">
        <v>5835</v>
      </c>
      <c r="F1670" t="s">
        <v>5836</v>
      </c>
      <c r="G1670" t="s">
        <v>34</v>
      </c>
      <c r="H1670" t="s">
        <v>35</v>
      </c>
      <c r="I1670" t="s">
        <v>61</v>
      </c>
      <c r="J1670" t="s">
        <v>50</v>
      </c>
      <c r="K1670" t="s">
        <v>51</v>
      </c>
      <c r="L1670" t="s">
        <v>39</v>
      </c>
      <c r="M1670" t="s">
        <v>133</v>
      </c>
      <c r="N1670" t="s">
        <v>134</v>
      </c>
      <c r="O1670" s="3">
        <v>360000</v>
      </c>
      <c r="P1670" s="4">
        <v>0</v>
      </c>
      <c r="Q1670" s="2">
        <v>45907</v>
      </c>
      <c r="R1670" s="2"/>
      <c r="S1670" s="2">
        <v>45855</v>
      </c>
      <c r="T1670" s="2">
        <v>45907</v>
      </c>
      <c r="U1670" t="str">
        <f t="shared" si="182"/>
        <v>No</v>
      </c>
      <c r="V1670" t="s">
        <v>1105</v>
      </c>
      <c r="W167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1670" t="str">
        <f t="shared" ca="1" si="183"/>
        <v>Closed</v>
      </c>
      <c r="Y1670" t="str">
        <f t="shared" si="184"/>
        <v>Closed</v>
      </c>
      <c r="Z1670" t="str">
        <f t="shared" si="185"/>
        <v>Jun-2025</v>
      </c>
      <c r="AA1670" t="str">
        <f t="shared" si="186"/>
        <v>Q2 2025</v>
      </c>
      <c r="AB1670" s="4">
        <f t="shared" ca="1" si="187"/>
        <v>362</v>
      </c>
      <c r="AC1670" t="str">
        <f t="shared" si="188"/>
        <v>High</v>
      </c>
    </row>
    <row r="1671" spans="1:29">
      <c r="A1671" t="s">
        <v>5837</v>
      </c>
      <c r="B1671" s="2">
        <v>45868</v>
      </c>
      <c r="C1671" t="s">
        <v>2254</v>
      </c>
      <c r="D1671" t="s">
        <v>1876</v>
      </c>
      <c r="E1671" t="s">
        <v>5838</v>
      </c>
      <c r="F1671" t="s">
        <v>5839</v>
      </c>
      <c r="G1671" t="s">
        <v>47</v>
      </c>
      <c r="H1671" t="s">
        <v>48</v>
      </c>
      <c r="I1671" t="s">
        <v>98</v>
      </c>
      <c r="J1671" t="s">
        <v>50</v>
      </c>
      <c r="K1671" t="s">
        <v>71</v>
      </c>
      <c r="L1671" t="s">
        <v>142</v>
      </c>
      <c r="M1671" t="s">
        <v>166</v>
      </c>
      <c r="N1671" t="s">
        <v>167</v>
      </c>
      <c r="O1671" s="3">
        <v>345000</v>
      </c>
      <c r="P1671" s="4">
        <v>65</v>
      </c>
      <c r="Q1671" s="2">
        <v>45906</v>
      </c>
      <c r="R1671" s="2">
        <v>46218</v>
      </c>
      <c r="S1671" s="2">
        <v>45892</v>
      </c>
      <c r="T1671" s="2"/>
      <c r="U1671" t="str">
        <f t="shared" si="182"/>
        <v>No</v>
      </c>
      <c r="W16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1" t="str">
        <f t="shared" ca="1" si="183"/>
        <v>Due/Open</v>
      </c>
      <c r="Y1671" t="str">
        <f t="shared" si="184"/>
        <v>Open</v>
      </c>
      <c r="Z1671" t="str">
        <f t="shared" si="185"/>
        <v>Jul-2025</v>
      </c>
      <c r="AA1671" t="str">
        <f t="shared" si="186"/>
        <v>Q3 2025</v>
      </c>
      <c r="AB1671" s="4">
        <f t="shared" ca="1" si="187"/>
        <v>331</v>
      </c>
      <c r="AC1671" t="str">
        <f t="shared" si="188"/>
        <v>High</v>
      </c>
    </row>
    <row r="1672" spans="1:29">
      <c r="A1672" t="s">
        <v>5840</v>
      </c>
      <c r="B1672" s="2">
        <v>45819</v>
      </c>
      <c r="C1672" t="s">
        <v>2254</v>
      </c>
      <c r="D1672" t="s">
        <v>636</v>
      </c>
      <c r="E1672" t="s">
        <v>5841</v>
      </c>
      <c r="F1672" t="s">
        <v>5842</v>
      </c>
      <c r="G1672" t="s">
        <v>34</v>
      </c>
      <c r="H1672" t="s">
        <v>173</v>
      </c>
      <c r="I1672" t="s">
        <v>61</v>
      </c>
      <c r="J1672" t="s">
        <v>50</v>
      </c>
      <c r="K1672" t="s">
        <v>71</v>
      </c>
      <c r="L1672" t="s">
        <v>39</v>
      </c>
      <c r="M1672" t="s">
        <v>53</v>
      </c>
      <c r="N1672" t="s">
        <v>54</v>
      </c>
      <c r="O1672" s="3">
        <v>540000</v>
      </c>
      <c r="P1672" s="4">
        <v>25</v>
      </c>
      <c r="Q1672" s="2">
        <v>45914</v>
      </c>
      <c r="R1672" s="2">
        <v>46179</v>
      </c>
      <c r="S1672" s="2">
        <v>45834</v>
      </c>
      <c r="T1672" s="2"/>
      <c r="U1672" t="str">
        <f t="shared" si="182"/>
        <v>No</v>
      </c>
      <c r="W16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2" t="str">
        <f t="shared" ca="1" si="183"/>
        <v>Overdue</v>
      </c>
      <c r="Y1672" t="str">
        <f t="shared" si="184"/>
        <v>Open</v>
      </c>
      <c r="Z1672" t="str">
        <f t="shared" si="185"/>
        <v>Jun-2025</v>
      </c>
      <c r="AA1672" t="str">
        <f t="shared" si="186"/>
        <v>Q2 2025</v>
      </c>
      <c r="AB1672" s="4">
        <f t="shared" ca="1" si="187"/>
        <v>380</v>
      </c>
      <c r="AC1672" t="str">
        <f t="shared" si="188"/>
        <v>High</v>
      </c>
    </row>
    <row r="1673" spans="1:29">
      <c r="A1673" t="s">
        <v>5843</v>
      </c>
      <c r="B1673" s="2">
        <v>45802</v>
      </c>
      <c r="C1673" t="s">
        <v>3507</v>
      </c>
      <c r="D1673" t="s">
        <v>1021</v>
      </c>
      <c r="E1673" t="s">
        <v>5844</v>
      </c>
      <c r="F1673" t="s">
        <v>5845</v>
      </c>
      <c r="G1673" t="s">
        <v>79</v>
      </c>
      <c r="H1673" t="s">
        <v>260</v>
      </c>
      <c r="I1673" t="s">
        <v>49</v>
      </c>
      <c r="J1673" t="s">
        <v>50</v>
      </c>
      <c r="K1673" t="s">
        <v>194</v>
      </c>
      <c r="L1673" t="s">
        <v>115</v>
      </c>
      <c r="M1673" t="s">
        <v>133</v>
      </c>
      <c r="N1673" t="s">
        <v>134</v>
      </c>
      <c r="O1673" s="3">
        <v>540000</v>
      </c>
      <c r="P1673" s="4">
        <v>0</v>
      </c>
      <c r="Q1673" s="2">
        <v>45813</v>
      </c>
      <c r="R1673" s="2"/>
      <c r="S1673" s="2">
        <v>45806</v>
      </c>
      <c r="T1673" s="2">
        <v>45813</v>
      </c>
      <c r="U1673" t="str">
        <f t="shared" si="182"/>
        <v>No</v>
      </c>
      <c r="V1673" t="s">
        <v>276</v>
      </c>
      <c r="W167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1673" t="str">
        <f t="shared" ca="1" si="183"/>
        <v>Closed</v>
      </c>
      <c r="Y1673" t="str">
        <f t="shared" si="184"/>
        <v>Closed</v>
      </c>
      <c r="Z1673" t="str">
        <f t="shared" si="185"/>
        <v>May-2025</v>
      </c>
      <c r="AA1673" t="str">
        <f t="shared" si="186"/>
        <v>Q2 2025</v>
      </c>
      <c r="AB1673" s="4">
        <f t="shared" ca="1" si="187"/>
        <v>397</v>
      </c>
      <c r="AC1673" t="str">
        <f t="shared" si="188"/>
        <v>High</v>
      </c>
    </row>
    <row r="1674" spans="1:29">
      <c r="A1674" t="s">
        <v>5846</v>
      </c>
      <c r="B1674" s="2">
        <v>45894</v>
      </c>
      <c r="C1674" t="s">
        <v>2546</v>
      </c>
      <c r="D1674" t="s">
        <v>31</v>
      </c>
      <c r="E1674" t="s">
        <v>5847</v>
      </c>
      <c r="F1674" t="s">
        <v>5848</v>
      </c>
      <c r="G1674" t="s">
        <v>47</v>
      </c>
      <c r="H1674" t="s">
        <v>113</v>
      </c>
      <c r="I1674" t="s">
        <v>36</v>
      </c>
      <c r="J1674" t="s">
        <v>124</v>
      </c>
      <c r="K1674" t="s">
        <v>114</v>
      </c>
      <c r="L1674" t="s">
        <v>72</v>
      </c>
      <c r="M1674" t="s">
        <v>53</v>
      </c>
      <c r="N1674" t="s">
        <v>54</v>
      </c>
      <c r="O1674" s="3">
        <v>290000</v>
      </c>
      <c r="P1674" s="4">
        <v>30</v>
      </c>
      <c r="Q1674" s="2">
        <v>45936</v>
      </c>
      <c r="R1674" s="2">
        <v>46241</v>
      </c>
      <c r="S1674" s="2">
        <v>45924</v>
      </c>
      <c r="T1674" s="2"/>
      <c r="U1674" t="str">
        <f t="shared" si="182"/>
        <v>No</v>
      </c>
      <c r="W16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4" t="str">
        <f t="shared" ca="1" si="183"/>
        <v>Due/Open</v>
      </c>
      <c r="Y1674" t="str">
        <f t="shared" si="184"/>
        <v>Open</v>
      </c>
      <c r="Z1674" t="str">
        <f t="shared" si="185"/>
        <v>Aug-2025</v>
      </c>
      <c r="AA1674" t="str">
        <f t="shared" si="186"/>
        <v>Q3 2025</v>
      </c>
      <c r="AB1674" s="4">
        <f t="shared" ca="1" si="187"/>
        <v>305</v>
      </c>
      <c r="AC1674" t="str">
        <f t="shared" si="188"/>
        <v>Medium</v>
      </c>
    </row>
    <row r="1675" spans="1:29">
      <c r="A1675" t="s">
        <v>5849</v>
      </c>
      <c r="B1675" s="2">
        <v>45986</v>
      </c>
      <c r="C1675" t="s">
        <v>860</v>
      </c>
      <c r="D1675" t="s">
        <v>443</v>
      </c>
      <c r="E1675" t="s">
        <v>5850</v>
      </c>
      <c r="F1675" t="s">
        <v>5851</v>
      </c>
      <c r="G1675" t="s">
        <v>69</v>
      </c>
      <c r="H1675" t="s">
        <v>270</v>
      </c>
      <c r="I1675" t="s">
        <v>36</v>
      </c>
      <c r="J1675" t="s">
        <v>99</v>
      </c>
      <c r="K1675" t="s">
        <v>51</v>
      </c>
      <c r="L1675" t="s">
        <v>63</v>
      </c>
      <c r="M1675" t="s">
        <v>166</v>
      </c>
      <c r="N1675" t="s">
        <v>167</v>
      </c>
      <c r="O1675" s="3">
        <v>470000</v>
      </c>
      <c r="P1675" s="4">
        <v>70</v>
      </c>
      <c r="Q1675" s="2">
        <v>46040</v>
      </c>
      <c r="R1675" s="2">
        <v>46218</v>
      </c>
      <c r="S1675" s="2">
        <v>45993</v>
      </c>
      <c r="T1675" s="2"/>
      <c r="U1675" t="str">
        <f t="shared" si="182"/>
        <v>No</v>
      </c>
      <c r="W16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5" t="str">
        <f t="shared" ca="1" si="183"/>
        <v>Due/Open</v>
      </c>
      <c r="Y1675" t="str">
        <f t="shared" si="184"/>
        <v>Open</v>
      </c>
      <c r="Z1675" t="str">
        <f t="shared" si="185"/>
        <v>Nov-2025</v>
      </c>
      <c r="AA1675" t="str">
        <f t="shared" si="186"/>
        <v>Q4 2025</v>
      </c>
      <c r="AB1675" s="4">
        <f t="shared" ca="1" si="187"/>
        <v>213</v>
      </c>
      <c r="AC1675" t="str">
        <f t="shared" si="188"/>
        <v>High</v>
      </c>
    </row>
    <row r="1676" spans="1:29">
      <c r="A1676" t="s">
        <v>5852</v>
      </c>
      <c r="B1676" s="2">
        <v>46012</v>
      </c>
      <c r="C1676" t="s">
        <v>2559</v>
      </c>
      <c r="D1676" t="s">
        <v>2179</v>
      </c>
      <c r="E1676" t="s">
        <v>5853</v>
      </c>
      <c r="F1676" t="s">
        <v>5854</v>
      </c>
      <c r="G1676" t="s">
        <v>79</v>
      </c>
      <c r="H1676" t="s">
        <v>80</v>
      </c>
      <c r="I1676" t="s">
        <v>98</v>
      </c>
      <c r="J1676" t="s">
        <v>99</v>
      </c>
      <c r="K1676" t="s">
        <v>51</v>
      </c>
      <c r="L1676" t="s">
        <v>239</v>
      </c>
      <c r="M1676" t="s">
        <v>53</v>
      </c>
      <c r="N1676" t="s">
        <v>54</v>
      </c>
      <c r="O1676" s="3">
        <v>365000</v>
      </c>
      <c r="P1676" s="4">
        <v>35</v>
      </c>
      <c r="Q1676" s="2">
        <v>46065</v>
      </c>
      <c r="R1676" s="2">
        <v>46224</v>
      </c>
      <c r="S1676" s="2">
        <v>46039</v>
      </c>
      <c r="T1676" s="2"/>
      <c r="U1676" t="str">
        <f t="shared" si="182"/>
        <v>No</v>
      </c>
      <c r="W16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6" t="str">
        <f t="shared" ca="1" si="183"/>
        <v>Due/Open</v>
      </c>
      <c r="Y1676" t="str">
        <f t="shared" si="184"/>
        <v>Open</v>
      </c>
      <c r="Z1676" t="str">
        <f t="shared" si="185"/>
        <v>Dec-2025</v>
      </c>
      <c r="AA1676" t="str">
        <f t="shared" si="186"/>
        <v>Q4 2025</v>
      </c>
      <c r="AB1676" s="4">
        <f t="shared" ca="1" si="187"/>
        <v>187</v>
      </c>
      <c r="AC1676" t="str">
        <f t="shared" si="188"/>
        <v>High</v>
      </c>
    </row>
    <row r="1677" spans="1:29">
      <c r="A1677" t="s">
        <v>5855</v>
      </c>
      <c r="B1677" s="2">
        <v>46121</v>
      </c>
      <c r="C1677" t="s">
        <v>458</v>
      </c>
      <c r="D1677" t="s">
        <v>517</v>
      </c>
      <c r="E1677" t="s">
        <v>5856</v>
      </c>
      <c r="F1677" t="s">
        <v>5857</v>
      </c>
      <c r="G1677" t="s">
        <v>34</v>
      </c>
      <c r="H1677" t="s">
        <v>446</v>
      </c>
      <c r="I1677" t="s">
        <v>148</v>
      </c>
      <c r="J1677" t="s">
        <v>99</v>
      </c>
      <c r="K1677" t="s">
        <v>38</v>
      </c>
      <c r="L1677" t="s">
        <v>125</v>
      </c>
      <c r="M1677" t="s">
        <v>82</v>
      </c>
      <c r="N1677" t="s">
        <v>83</v>
      </c>
      <c r="O1677" s="3">
        <v>350000</v>
      </c>
      <c r="P1677" s="4">
        <v>5</v>
      </c>
      <c r="Q1677" s="2">
        <v>46208</v>
      </c>
      <c r="R1677" s="2">
        <v>46220</v>
      </c>
      <c r="S1677" s="2">
        <v>46147</v>
      </c>
      <c r="T1677" s="2"/>
      <c r="U1677" t="str">
        <f t="shared" si="182"/>
        <v>No</v>
      </c>
      <c r="W16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7" t="str">
        <f t="shared" ca="1" si="183"/>
        <v>Due/Open</v>
      </c>
      <c r="Y1677" t="str">
        <f t="shared" si="184"/>
        <v>Open</v>
      </c>
      <c r="Z1677" t="str">
        <f t="shared" si="185"/>
        <v>Apr-2026</v>
      </c>
      <c r="AA1677" t="str">
        <f t="shared" si="186"/>
        <v>Q2 2026</v>
      </c>
      <c r="AB1677" s="4">
        <f t="shared" ca="1" si="187"/>
        <v>78</v>
      </c>
      <c r="AC1677" t="str">
        <f t="shared" si="188"/>
        <v>High</v>
      </c>
    </row>
    <row r="1678" spans="1:29">
      <c r="A1678" t="s">
        <v>5858</v>
      </c>
      <c r="B1678" s="2">
        <v>45852</v>
      </c>
      <c r="C1678" t="s">
        <v>1273</v>
      </c>
      <c r="D1678" t="s">
        <v>315</v>
      </c>
      <c r="E1678" t="s">
        <v>5859</v>
      </c>
      <c r="F1678" t="s">
        <v>5860</v>
      </c>
      <c r="G1678" t="s">
        <v>47</v>
      </c>
      <c r="H1678" t="s">
        <v>418</v>
      </c>
      <c r="I1678" t="s">
        <v>36</v>
      </c>
      <c r="J1678" t="s">
        <v>124</v>
      </c>
      <c r="K1678" t="s">
        <v>38</v>
      </c>
      <c r="L1678" t="s">
        <v>239</v>
      </c>
      <c r="M1678" t="s">
        <v>53</v>
      </c>
      <c r="N1678" t="s">
        <v>54</v>
      </c>
      <c r="O1678" s="3">
        <v>330000</v>
      </c>
      <c r="P1678" s="4">
        <v>30</v>
      </c>
      <c r="Q1678" s="2">
        <v>45937</v>
      </c>
      <c r="R1678" s="2">
        <v>46207</v>
      </c>
      <c r="S1678" s="2">
        <v>45864</v>
      </c>
      <c r="T1678" s="2"/>
      <c r="U1678" t="str">
        <f t="shared" si="182"/>
        <v>No</v>
      </c>
      <c r="W16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8" t="str">
        <f t="shared" ca="1" si="183"/>
        <v>Due/Open</v>
      </c>
      <c r="Y1678" t="str">
        <f t="shared" si="184"/>
        <v>Open</v>
      </c>
      <c r="Z1678" t="str">
        <f t="shared" si="185"/>
        <v>Jul-2025</v>
      </c>
      <c r="AA1678" t="str">
        <f t="shared" si="186"/>
        <v>Q3 2025</v>
      </c>
      <c r="AB1678" s="4">
        <f t="shared" ca="1" si="187"/>
        <v>347</v>
      </c>
      <c r="AC1678" t="str">
        <f t="shared" si="188"/>
        <v>High</v>
      </c>
    </row>
    <row r="1679" spans="1:29">
      <c r="A1679" t="s">
        <v>5861</v>
      </c>
      <c r="B1679" s="2">
        <v>45739</v>
      </c>
      <c r="C1679" t="s">
        <v>538</v>
      </c>
      <c r="D1679" t="s">
        <v>309</v>
      </c>
      <c r="E1679" t="s">
        <v>5862</v>
      </c>
      <c r="F1679" t="s">
        <v>5863</v>
      </c>
      <c r="G1679" t="s">
        <v>69</v>
      </c>
      <c r="H1679" t="s">
        <v>70</v>
      </c>
      <c r="I1679" t="s">
        <v>148</v>
      </c>
      <c r="J1679" t="s">
        <v>99</v>
      </c>
      <c r="K1679" t="s">
        <v>38</v>
      </c>
      <c r="L1679" t="s">
        <v>107</v>
      </c>
      <c r="M1679" t="s">
        <v>53</v>
      </c>
      <c r="N1679" t="s">
        <v>54</v>
      </c>
      <c r="O1679" s="3">
        <v>605000</v>
      </c>
      <c r="P1679" s="4">
        <v>35</v>
      </c>
      <c r="Q1679" s="2">
        <v>45804</v>
      </c>
      <c r="R1679" s="2">
        <v>46229</v>
      </c>
      <c r="S1679" s="2">
        <v>45751</v>
      </c>
      <c r="T1679" s="2"/>
      <c r="U1679" t="str">
        <f t="shared" si="182"/>
        <v>No</v>
      </c>
      <c r="W16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79" t="str">
        <f t="shared" ca="1" si="183"/>
        <v>Due/Open</v>
      </c>
      <c r="Y1679" t="str">
        <f t="shared" si="184"/>
        <v>Open</v>
      </c>
      <c r="Z1679" t="str">
        <f t="shared" si="185"/>
        <v>Mar-2025</v>
      </c>
      <c r="AA1679" t="str">
        <f t="shared" si="186"/>
        <v>Q1 2025</v>
      </c>
      <c r="AB1679" s="4">
        <f t="shared" ca="1" si="187"/>
        <v>460</v>
      </c>
      <c r="AC1679" t="str">
        <f t="shared" si="188"/>
        <v>High</v>
      </c>
    </row>
    <row r="1680" spans="1:29">
      <c r="A1680" t="s">
        <v>5864</v>
      </c>
      <c r="B1680" s="2">
        <v>45854</v>
      </c>
      <c r="C1680" t="s">
        <v>241</v>
      </c>
      <c r="D1680" t="s">
        <v>1017</v>
      </c>
      <c r="E1680" t="s">
        <v>5865</v>
      </c>
      <c r="F1680" t="s">
        <v>5866</v>
      </c>
      <c r="G1680" t="s">
        <v>179</v>
      </c>
      <c r="H1680" t="s">
        <v>186</v>
      </c>
      <c r="I1680" t="s">
        <v>141</v>
      </c>
      <c r="J1680" t="s">
        <v>62</v>
      </c>
      <c r="K1680" t="s">
        <v>194</v>
      </c>
      <c r="L1680" t="s">
        <v>115</v>
      </c>
      <c r="M1680" t="s">
        <v>40</v>
      </c>
      <c r="N1680" t="s">
        <v>41</v>
      </c>
      <c r="O1680" s="3">
        <v>315000</v>
      </c>
      <c r="P1680" s="4">
        <v>100</v>
      </c>
      <c r="Q1680" s="2">
        <v>45934</v>
      </c>
      <c r="R1680" s="2"/>
      <c r="S1680" s="2">
        <v>45862</v>
      </c>
      <c r="T1680" s="2">
        <v>45934</v>
      </c>
      <c r="U1680" t="str">
        <f t="shared" si="182"/>
        <v>Yes</v>
      </c>
      <c r="W168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1680" t="str">
        <f t="shared" ca="1" si="183"/>
        <v>Closed</v>
      </c>
      <c r="Y1680" t="str">
        <f t="shared" si="184"/>
        <v>Closed</v>
      </c>
      <c r="Z1680" t="str">
        <f t="shared" si="185"/>
        <v>Jul-2025</v>
      </c>
      <c r="AA1680" t="str">
        <f t="shared" si="186"/>
        <v>Q3 2025</v>
      </c>
      <c r="AB1680" s="4">
        <f t="shared" ca="1" si="187"/>
        <v>345</v>
      </c>
      <c r="AC1680" t="str">
        <f t="shared" si="188"/>
        <v>High</v>
      </c>
    </row>
    <row r="1681" spans="1:29">
      <c r="A1681" t="s">
        <v>5867</v>
      </c>
      <c r="B1681" s="2">
        <v>45884</v>
      </c>
      <c r="C1681" t="s">
        <v>3678</v>
      </c>
      <c r="D1681" t="s">
        <v>1319</v>
      </c>
      <c r="E1681" t="s">
        <v>5868</v>
      </c>
      <c r="F1681" t="s">
        <v>5869</v>
      </c>
      <c r="G1681" t="s">
        <v>47</v>
      </c>
      <c r="H1681" t="s">
        <v>113</v>
      </c>
      <c r="I1681" t="s">
        <v>148</v>
      </c>
      <c r="J1681" t="s">
        <v>50</v>
      </c>
      <c r="K1681" t="s">
        <v>194</v>
      </c>
      <c r="L1681" t="s">
        <v>39</v>
      </c>
      <c r="M1681" t="s">
        <v>166</v>
      </c>
      <c r="N1681" t="s">
        <v>167</v>
      </c>
      <c r="O1681" s="3">
        <v>440000</v>
      </c>
      <c r="P1681" s="4">
        <v>60</v>
      </c>
      <c r="Q1681" s="2">
        <v>45906</v>
      </c>
      <c r="R1681" s="2">
        <v>46171</v>
      </c>
      <c r="S1681" s="2">
        <v>45914</v>
      </c>
      <c r="T1681" s="2"/>
      <c r="U1681" t="str">
        <f t="shared" si="182"/>
        <v>No</v>
      </c>
      <c r="W16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1" t="str">
        <f t="shared" ca="1" si="183"/>
        <v>Overdue</v>
      </c>
      <c r="Y1681" t="str">
        <f t="shared" si="184"/>
        <v>Open</v>
      </c>
      <c r="Z1681" t="str">
        <f t="shared" si="185"/>
        <v>Aug-2025</v>
      </c>
      <c r="AA1681" t="str">
        <f t="shared" si="186"/>
        <v>Q3 2025</v>
      </c>
      <c r="AB1681" s="4">
        <f t="shared" ca="1" si="187"/>
        <v>315</v>
      </c>
      <c r="AC1681" t="str">
        <f t="shared" si="188"/>
        <v>High</v>
      </c>
    </row>
    <row r="1682" spans="1:29">
      <c r="A1682" t="s">
        <v>5870</v>
      </c>
      <c r="B1682" s="2">
        <v>46182</v>
      </c>
      <c r="C1682" t="s">
        <v>321</v>
      </c>
      <c r="D1682" t="s">
        <v>242</v>
      </c>
      <c r="E1682" t="s">
        <v>5871</v>
      </c>
      <c r="F1682" t="s">
        <v>5872</v>
      </c>
      <c r="G1682" t="s">
        <v>79</v>
      </c>
      <c r="H1682" t="s">
        <v>97</v>
      </c>
      <c r="I1682" t="s">
        <v>141</v>
      </c>
      <c r="J1682" t="s">
        <v>131</v>
      </c>
      <c r="K1682" t="s">
        <v>71</v>
      </c>
      <c r="L1682" t="s">
        <v>115</v>
      </c>
      <c r="M1682" t="s">
        <v>166</v>
      </c>
      <c r="N1682" t="s">
        <v>167</v>
      </c>
      <c r="O1682" s="3">
        <v>220000</v>
      </c>
      <c r="P1682" s="4">
        <v>70</v>
      </c>
      <c r="Q1682" s="2">
        <v>46272</v>
      </c>
      <c r="R1682" s="2">
        <v>46243</v>
      </c>
      <c r="S1682" s="2">
        <v>46188</v>
      </c>
      <c r="T1682" s="2"/>
      <c r="U1682" t="str">
        <f t="shared" si="182"/>
        <v>No</v>
      </c>
      <c r="W16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2" t="str">
        <f t="shared" ca="1" si="183"/>
        <v>Due/Open</v>
      </c>
      <c r="Y1682" t="str">
        <f t="shared" si="184"/>
        <v>Open</v>
      </c>
      <c r="Z1682" t="str">
        <f t="shared" si="185"/>
        <v>Jun-2026</v>
      </c>
      <c r="AA1682" t="str">
        <f t="shared" si="186"/>
        <v>Q2 2026</v>
      </c>
      <c r="AB1682" s="4">
        <f t="shared" ca="1" si="187"/>
        <v>17</v>
      </c>
      <c r="AC1682" t="str">
        <f t="shared" si="188"/>
        <v>Medium</v>
      </c>
    </row>
    <row r="1683" spans="1:29">
      <c r="A1683" t="s">
        <v>5873</v>
      </c>
      <c r="B1683" s="2">
        <v>45662</v>
      </c>
      <c r="C1683" t="s">
        <v>5759</v>
      </c>
      <c r="D1683" t="s">
        <v>225</v>
      </c>
      <c r="E1683" t="s">
        <v>5874</v>
      </c>
      <c r="F1683" t="s">
        <v>5875</v>
      </c>
      <c r="G1683" t="s">
        <v>34</v>
      </c>
      <c r="H1683" t="s">
        <v>238</v>
      </c>
      <c r="I1683" t="s">
        <v>148</v>
      </c>
      <c r="J1683" t="s">
        <v>37</v>
      </c>
      <c r="K1683" t="s">
        <v>38</v>
      </c>
      <c r="L1683" t="s">
        <v>107</v>
      </c>
      <c r="M1683" t="s">
        <v>166</v>
      </c>
      <c r="N1683" t="s">
        <v>167</v>
      </c>
      <c r="O1683" s="3">
        <v>125000</v>
      </c>
      <c r="P1683" s="4">
        <v>60</v>
      </c>
      <c r="Q1683" s="2">
        <v>45740</v>
      </c>
      <c r="R1683" s="2">
        <v>46224</v>
      </c>
      <c r="S1683" s="2">
        <v>45670</v>
      </c>
      <c r="T1683" s="2"/>
      <c r="U1683" t="str">
        <f t="shared" si="182"/>
        <v>No</v>
      </c>
      <c r="W16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3" t="str">
        <f t="shared" ca="1" si="183"/>
        <v>Due/Open</v>
      </c>
      <c r="Y1683" t="str">
        <f t="shared" si="184"/>
        <v>Open</v>
      </c>
      <c r="Z1683" t="str">
        <f t="shared" si="185"/>
        <v>Jan-2025</v>
      </c>
      <c r="AA1683" t="str">
        <f t="shared" si="186"/>
        <v>Q1 2025</v>
      </c>
      <c r="AB1683" s="4">
        <f t="shared" ca="1" si="187"/>
        <v>537</v>
      </c>
      <c r="AC1683" t="str">
        <f t="shared" si="188"/>
        <v>Medium</v>
      </c>
    </row>
    <row r="1684" spans="1:29">
      <c r="A1684" t="s">
        <v>5876</v>
      </c>
      <c r="B1684" s="2">
        <v>46063</v>
      </c>
      <c r="C1684" t="s">
        <v>2086</v>
      </c>
      <c r="D1684" t="s">
        <v>586</v>
      </c>
      <c r="E1684" t="s">
        <v>5877</v>
      </c>
      <c r="F1684" t="s">
        <v>5878</v>
      </c>
      <c r="G1684" t="s">
        <v>69</v>
      </c>
      <c r="H1684" t="s">
        <v>270</v>
      </c>
      <c r="I1684" t="s">
        <v>141</v>
      </c>
      <c r="J1684" t="s">
        <v>62</v>
      </c>
      <c r="K1684" t="s">
        <v>71</v>
      </c>
      <c r="L1684" t="s">
        <v>239</v>
      </c>
      <c r="M1684" t="s">
        <v>40</v>
      </c>
      <c r="N1684" t="s">
        <v>41</v>
      </c>
      <c r="O1684" s="3">
        <v>440000</v>
      </c>
      <c r="P1684" s="4">
        <v>100</v>
      </c>
      <c r="Q1684" s="2">
        <v>46120</v>
      </c>
      <c r="R1684" s="2"/>
      <c r="S1684" s="2">
        <v>46066</v>
      </c>
      <c r="T1684" s="2">
        <v>46120</v>
      </c>
      <c r="U1684" t="str">
        <f t="shared" si="182"/>
        <v>Yes</v>
      </c>
      <c r="W168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1684" t="str">
        <f t="shared" ca="1" si="183"/>
        <v>Closed</v>
      </c>
      <c r="Y1684" t="str">
        <f t="shared" si="184"/>
        <v>Closed</v>
      </c>
      <c r="Z1684" t="str">
        <f t="shared" si="185"/>
        <v>Feb-2026</v>
      </c>
      <c r="AA1684" t="str">
        <f t="shared" si="186"/>
        <v>Q1 2026</v>
      </c>
      <c r="AB1684" s="4">
        <f t="shared" ca="1" si="187"/>
        <v>136</v>
      </c>
      <c r="AC1684" t="str">
        <f t="shared" si="188"/>
        <v>High</v>
      </c>
    </row>
    <row r="1685" spans="1:29">
      <c r="A1685" t="s">
        <v>5879</v>
      </c>
      <c r="B1685" s="2">
        <v>45665</v>
      </c>
      <c r="C1685" t="s">
        <v>4219</v>
      </c>
      <c r="D1685" t="s">
        <v>304</v>
      </c>
      <c r="E1685" t="s">
        <v>5880</v>
      </c>
      <c r="F1685" t="s">
        <v>5881</v>
      </c>
      <c r="G1685" t="s">
        <v>34</v>
      </c>
      <c r="H1685" t="s">
        <v>173</v>
      </c>
      <c r="I1685" t="s">
        <v>49</v>
      </c>
      <c r="J1685" t="s">
        <v>124</v>
      </c>
      <c r="K1685" t="s">
        <v>51</v>
      </c>
      <c r="L1685" t="s">
        <v>142</v>
      </c>
      <c r="M1685" t="s">
        <v>133</v>
      </c>
      <c r="N1685" t="s">
        <v>134</v>
      </c>
      <c r="O1685" s="3">
        <v>180000</v>
      </c>
      <c r="P1685" s="4">
        <v>0</v>
      </c>
      <c r="Q1685" s="2">
        <v>45686</v>
      </c>
      <c r="R1685" s="2"/>
      <c r="S1685" s="2">
        <v>45683</v>
      </c>
      <c r="T1685" s="2">
        <v>45686</v>
      </c>
      <c r="U1685" t="str">
        <f t="shared" si="182"/>
        <v>No</v>
      </c>
      <c r="V1685" t="s">
        <v>276</v>
      </c>
      <c r="W168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21</v>
      </c>
      <c r="X1685" t="str">
        <f t="shared" ca="1" si="183"/>
        <v>Closed</v>
      </c>
      <c r="Y1685" t="str">
        <f t="shared" si="184"/>
        <v>Closed</v>
      </c>
      <c r="Z1685" t="str">
        <f t="shared" si="185"/>
        <v>Jan-2025</v>
      </c>
      <c r="AA1685" t="str">
        <f t="shared" si="186"/>
        <v>Q1 2025</v>
      </c>
      <c r="AB1685" s="4">
        <f t="shared" ca="1" si="187"/>
        <v>534</v>
      </c>
      <c r="AC1685" t="str">
        <f t="shared" si="188"/>
        <v>Medium</v>
      </c>
    </row>
    <row r="1686" spans="1:29">
      <c r="A1686" t="s">
        <v>5882</v>
      </c>
      <c r="B1686" s="2">
        <v>45660</v>
      </c>
      <c r="C1686" t="s">
        <v>230</v>
      </c>
      <c r="D1686" t="s">
        <v>852</v>
      </c>
      <c r="E1686" t="s">
        <v>5883</v>
      </c>
      <c r="F1686" t="s">
        <v>5884</v>
      </c>
      <c r="G1686" t="s">
        <v>79</v>
      </c>
      <c r="H1686" t="s">
        <v>260</v>
      </c>
      <c r="I1686" t="s">
        <v>36</v>
      </c>
      <c r="J1686" t="s">
        <v>124</v>
      </c>
      <c r="K1686" t="s">
        <v>38</v>
      </c>
      <c r="L1686" t="s">
        <v>154</v>
      </c>
      <c r="M1686" t="s">
        <v>73</v>
      </c>
      <c r="N1686" t="s">
        <v>73</v>
      </c>
      <c r="O1686" s="3">
        <v>205000</v>
      </c>
      <c r="P1686" s="4">
        <v>85</v>
      </c>
      <c r="Q1686" s="2">
        <v>45741</v>
      </c>
      <c r="R1686" s="2">
        <v>46191</v>
      </c>
      <c r="S1686" s="2">
        <v>45680</v>
      </c>
      <c r="T1686" s="2"/>
      <c r="U1686" t="str">
        <f t="shared" si="182"/>
        <v>No</v>
      </c>
      <c r="W16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6" t="str">
        <f t="shared" ca="1" si="183"/>
        <v>Overdue</v>
      </c>
      <c r="Y1686" t="str">
        <f t="shared" si="184"/>
        <v>Open</v>
      </c>
      <c r="Z1686" t="str">
        <f t="shared" si="185"/>
        <v>Jan-2025</v>
      </c>
      <c r="AA1686" t="str">
        <f t="shared" si="186"/>
        <v>Q1 2025</v>
      </c>
      <c r="AB1686" s="4">
        <f t="shared" ca="1" si="187"/>
        <v>539</v>
      </c>
      <c r="AC1686" t="str">
        <f t="shared" si="188"/>
        <v>Medium</v>
      </c>
    </row>
    <row r="1687" spans="1:29">
      <c r="A1687" t="s">
        <v>5885</v>
      </c>
      <c r="B1687" s="2">
        <v>46115</v>
      </c>
      <c r="C1687" t="s">
        <v>843</v>
      </c>
      <c r="D1687" t="s">
        <v>565</v>
      </c>
      <c r="E1687" t="s">
        <v>5886</v>
      </c>
      <c r="F1687" t="s">
        <v>5887</v>
      </c>
      <c r="G1687" t="s">
        <v>34</v>
      </c>
      <c r="H1687" t="s">
        <v>60</v>
      </c>
      <c r="I1687" t="s">
        <v>148</v>
      </c>
      <c r="J1687" t="s">
        <v>131</v>
      </c>
      <c r="K1687" t="s">
        <v>51</v>
      </c>
      <c r="L1687" t="s">
        <v>39</v>
      </c>
      <c r="M1687" t="s">
        <v>116</v>
      </c>
      <c r="N1687" t="s">
        <v>54</v>
      </c>
      <c r="O1687" s="3">
        <v>200000</v>
      </c>
      <c r="P1687" s="4">
        <v>20</v>
      </c>
      <c r="Q1687" s="2">
        <v>46157</v>
      </c>
      <c r="R1687" s="2">
        <v>46226</v>
      </c>
      <c r="S1687" s="2">
        <v>46141</v>
      </c>
      <c r="T1687" s="2"/>
      <c r="U1687" t="str">
        <f t="shared" si="182"/>
        <v>No</v>
      </c>
      <c r="W16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7" t="str">
        <f t="shared" ca="1" si="183"/>
        <v>Due/Open</v>
      </c>
      <c r="Y1687" t="str">
        <f t="shared" si="184"/>
        <v>Open</v>
      </c>
      <c r="Z1687" t="str">
        <f t="shared" si="185"/>
        <v>Apr-2026</v>
      </c>
      <c r="AA1687" t="str">
        <f t="shared" si="186"/>
        <v>Q2 2026</v>
      </c>
      <c r="AB1687" s="4">
        <f t="shared" ca="1" si="187"/>
        <v>84</v>
      </c>
      <c r="AC1687" t="str">
        <f t="shared" si="188"/>
        <v>Medium</v>
      </c>
    </row>
    <row r="1688" spans="1:29">
      <c r="A1688" t="s">
        <v>5888</v>
      </c>
      <c r="B1688" s="2">
        <v>45977</v>
      </c>
      <c r="C1688" t="s">
        <v>1143</v>
      </c>
      <c r="D1688" t="s">
        <v>242</v>
      </c>
      <c r="E1688" t="s">
        <v>5889</v>
      </c>
      <c r="F1688" t="s">
        <v>5890</v>
      </c>
      <c r="G1688" t="s">
        <v>179</v>
      </c>
      <c r="H1688" t="s">
        <v>296</v>
      </c>
      <c r="I1688" t="s">
        <v>61</v>
      </c>
      <c r="J1688" t="s">
        <v>124</v>
      </c>
      <c r="K1688" t="s">
        <v>114</v>
      </c>
      <c r="L1688" t="s">
        <v>142</v>
      </c>
      <c r="M1688" t="s">
        <v>40</v>
      </c>
      <c r="N1688" t="s">
        <v>41</v>
      </c>
      <c r="O1688" s="3">
        <v>300000</v>
      </c>
      <c r="P1688" s="4">
        <v>100</v>
      </c>
      <c r="Q1688" s="2">
        <v>46037</v>
      </c>
      <c r="R1688" s="2"/>
      <c r="S1688" s="2">
        <v>45993</v>
      </c>
      <c r="T1688" s="2">
        <v>46037</v>
      </c>
      <c r="U1688" t="str">
        <f t="shared" si="182"/>
        <v>Yes</v>
      </c>
      <c r="W168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688" t="str">
        <f t="shared" ca="1" si="183"/>
        <v>Closed</v>
      </c>
      <c r="Y1688" t="str">
        <f t="shared" si="184"/>
        <v>Closed</v>
      </c>
      <c r="Z1688" t="str">
        <f t="shared" si="185"/>
        <v>Nov-2025</v>
      </c>
      <c r="AA1688" t="str">
        <f t="shared" si="186"/>
        <v>Q4 2025</v>
      </c>
      <c r="AB1688" s="4">
        <f t="shared" ca="1" si="187"/>
        <v>222</v>
      </c>
      <c r="AC1688" t="str">
        <f t="shared" si="188"/>
        <v>High</v>
      </c>
    </row>
    <row r="1689" spans="1:29">
      <c r="A1689" t="s">
        <v>5891</v>
      </c>
      <c r="B1689" s="2">
        <v>46015</v>
      </c>
      <c r="C1689" t="s">
        <v>365</v>
      </c>
      <c r="D1689" t="s">
        <v>636</v>
      </c>
      <c r="E1689" t="s">
        <v>4000</v>
      </c>
      <c r="F1689" t="s">
        <v>5892</v>
      </c>
      <c r="G1689" t="s">
        <v>34</v>
      </c>
      <c r="H1689" t="s">
        <v>238</v>
      </c>
      <c r="I1689" t="s">
        <v>123</v>
      </c>
      <c r="J1689" t="s">
        <v>37</v>
      </c>
      <c r="K1689" t="s">
        <v>114</v>
      </c>
      <c r="L1689" t="s">
        <v>132</v>
      </c>
      <c r="M1689" t="s">
        <v>53</v>
      </c>
      <c r="N1689" t="s">
        <v>54</v>
      </c>
      <c r="O1689" s="3">
        <v>35000</v>
      </c>
      <c r="P1689" s="4">
        <v>30</v>
      </c>
      <c r="Q1689" s="2">
        <v>46110</v>
      </c>
      <c r="R1689" s="2">
        <v>46183</v>
      </c>
      <c r="S1689" s="2">
        <v>46042</v>
      </c>
      <c r="T1689" s="2"/>
      <c r="U1689" t="str">
        <f t="shared" si="182"/>
        <v>No</v>
      </c>
      <c r="W16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89" t="str">
        <f t="shared" ca="1" si="183"/>
        <v>Overdue</v>
      </c>
      <c r="Y1689" t="str">
        <f t="shared" si="184"/>
        <v>Open</v>
      </c>
      <c r="Z1689" t="str">
        <f t="shared" si="185"/>
        <v>Dec-2025</v>
      </c>
      <c r="AA1689" t="str">
        <f t="shared" si="186"/>
        <v>Q4 2025</v>
      </c>
      <c r="AB1689" s="4">
        <f t="shared" ca="1" si="187"/>
        <v>184</v>
      </c>
      <c r="AC1689" t="str">
        <f t="shared" si="188"/>
        <v>Low</v>
      </c>
    </row>
    <row r="1690" spans="1:29">
      <c r="A1690" t="s">
        <v>5893</v>
      </c>
      <c r="B1690" s="2">
        <v>46070</v>
      </c>
      <c r="C1690" t="s">
        <v>3065</v>
      </c>
      <c r="D1690" t="s">
        <v>2827</v>
      </c>
      <c r="E1690" t="s">
        <v>5894</v>
      </c>
      <c r="F1690" t="s">
        <v>5895</v>
      </c>
      <c r="G1690" t="s">
        <v>69</v>
      </c>
      <c r="H1690" t="s">
        <v>193</v>
      </c>
      <c r="I1690" t="s">
        <v>98</v>
      </c>
      <c r="J1690" t="s">
        <v>37</v>
      </c>
      <c r="K1690" t="s">
        <v>114</v>
      </c>
      <c r="L1690" t="s">
        <v>154</v>
      </c>
      <c r="M1690" t="s">
        <v>82</v>
      </c>
      <c r="N1690" t="s">
        <v>83</v>
      </c>
      <c r="O1690" s="3">
        <v>35000</v>
      </c>
      <c r="P1690" s="4">
        <v>10</v>
      </c>
      <c r="Q1690" s="2">
        <v>46160</v>
      </c>
      <c r="R1690" s="2">
        <v>46222</v>
      </c>
      <c r="S1690" s="2">
        <v>46093</v>
      </c>
      <c r="T1690" s="2"/>
      <c r="U1690" t="str">
        <f t="shared" si="182"/>
        <v>No</v>
      </c>
      <c r="W16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0" t="str">
        <f t="shared" ca="1" si="183"/>
        <v>Due/Open</v>
      </c>
      <c r="Y1690" t="str">
        <f t="shared" si="184"/>
        <v>Open</v>
      </c>
      <c r="Z1690" t="str">
        <f t="shared" si="185"/>
        <v>Feb-2026</v>
      </c>
      <c r="AA1690" t="str">
        <f t="shared" si="186"/>
        <v>Q1 2026</v>
      </c>
      <c r="AB1690" s="4">
        <f t="shared" ca="1" si="187"/>
        <v>129</v>
      </c>
      <c r="AC1690" t="str">
        <f t="shared" si="188"/>
        <v>Low</v>
      </c>
    </row>
    <row r="1691" spans="1:29">
      <c r="A1691" t="s">
        <v>5896</v>
      </c>
      <c r="B1691" s="2">
        <v>46104</v>
      </c>
      <c r="C1691" t="s">
        <v>1736</v>
      </c>
      <c r="D1691" t="s">
        <v>257</v>
      </c>
      <c r="E1691" t="s">
        <v>5897</v>
      </c>
      <c r="F1691" t="s">
        <v>5898</v>
      </c>
      <c r="G1691" t="s">
        <v>79</v>
      </c>
      <c r="H1691" t="s">
        <v>217</v>
      </c>
      <c r="I1691" t="s">
        <v>98</v>
      </c>
      <c r="J1691" t="s">
        <v>50</v>
      </c>
      <c r="K1691" t="s">
        <v>100</v>
      </c>
      <c r="L1691" t="s">
        <v>52</v>
      </c>
      <c r="M1691" t="s">
        <v>90</v>
      </c>
      <c r="N1691" t="s">
        <v>91</v>
      </c>
      <c r="O1691" s="3">
        <v>355000</v>
      </c>
      <c r="P1691" s="4">
        <v>50</v>
      </c>
      <c r="Q1691" s="2">
        <v>46175</v>
      </c>
      <c r="R1691" s="2">
        <v>46155</v>
      </c>
      <c r="S1691" s="2">
        <v>46130</v>
      </c>
      <c r="T1691" s="2"/>
      <c r="U1691" t="str">
        <f t="shared" si="182"/>
        <v>No</v>
      </c>
      <c r="W16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1" t="str">
        <f t="shared" ca="1" si="183"/>
        <v>Overdue</v>
      </c>
      <c r="Y1691" t="str">
        <f t="shared" si="184"/>
        <v>Open</v>
      </c>
      <c r="Z1691" t="str">
        <f t="shared" si="185"/>
        <v>Mar-2026</v>
      </c>
      <c r="AA1691" t="str">
        <f t="shared" si="186"/>
        <v>Q1 2026</v>
      </c>
      <c r="AB1691" s="4">
        <f t="shared" ca="1" si="187"/>
        <v>95</v>
      </c>
      <c r="AC1691" t="str">
        <f t="shared" si="188"/>
        <v>High</v>
      </c>
    </row>
    <row r="1692" spans="1:29">
      <c r="A1692" t="s">
        <v>5899</v>
      </c>
      <c r="B1692" s="2">
        <v>45815</v>
      </c>
      <c r="C1692" t="s">
        <v>1370</v>
      </c>
      <c r="D1692" t="s">
        <v>464</v>
      </c>
      <c r="E1692" t="s">
        <v>5900</v>
      </c>
      <c r="F1692" t="s">
        <v>5901</v>
      </c>
      <c r="G1692" t="s">
        <v>69</v>
      </c>
      <c r="H1692" t="s">
        <v>193</v>
      </c>
      <c r="I1692" t="s">
        <v>61</v>
      </c>
      <c r="J1692" t="s">
        <v>99</v>
      </c>
      <c r="K1692" t="s">
        <v>51</v>
      </c>
      <c r="L1692" t="s">
        <v>107</v>
      </c>
      <c r="M1692" t="s">
        <v>116</v>
      </c>
      <c r="N1692" t="s">
        <v>54</v>
      </c>
      <c r="O1692" s="3">
        <v>435000</v>
      </c>
      <c r="P1692" s="4">
        <v>15</v>
      </c>
      <c r="Q1692" s="2">
        <v>45841</v>
      </c>
      <c r="R1692" s="2">
        <v>46193</v>
      </c>
      <c r="S1692" s="2">
        <v>45822</v>
      </c>
      <c r="T1692" s="2"/>
      <c r="U1692" t="str">
        <f t="shared" si="182"/>
        <v>No</v>
      </c>
      <c r="W16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2" t="str">
        <f t="shared" ca="1" si="183"/>
        <v>Overdue</v>
      </c>
      <c r="Y1692" t="str">
        <f t="shared" si="184"/>
        <v>Open</v>
      </c>
      <c r="Z1692" t="str">
        <f t="shared" si="185"/>
        <v>Jun-2025</v>
      </c>
      <c r="AA1692" t="str">
        <f t="shared" si="186"/>
        <v>Q2 2025</v>
      </c>
      <c r="AB1692" s="4">
        <f t="shared" ca="1" si="187"/>
        <v>384</v>
      </c>
      <c r="AC1692" t="str">
        <f t="shared" si="188"/>
        <v>High</v>
      </c>
    </row>
    <row r="1693" spans="1:29">
      <c r="A1693" t="s">
        <v>5902</v>
      </c>
      <c r="B1693" s="2">
        <v>45794</v>
      </c>
      <c r="C1693" t="s">
        <v>1280</v>
      </c>
      <c r="D1693" t="s">
        <v>471</v>
      </c>
      <c r="E1693" t="s">
        <v>5903</v>
      </c>
      <c r="F1693" t="s">
        <v>5904</v>
      </c>
      <c r="G1693" t="s">
        <v>34</v>
      </c>
      <c r="H1693" t="s">
        <v>35</v>
      </c>
      <c r="I1693" t="s">
        <v>61</v>
      </c>
      <c r="J1693" t="s">
        <v>99</v>
      </c>
      <c r="K1693" t="s">
        <v>71</v>
      </c>
      <c r="L1693" t="s">
        <v>142</v>
      </c>
      <c r="M1693" t="s">
        <v>73</v>
      </c>
      <c r="N1693" t="s">
        <v>73</v>
      </c>
      <c r="O1693" s="3">
        <v>165000</v>
      </c>
      <c r="P1693" s="4">
        <v>75</v>
      </c>
      <c r="Q1693" s="2">
        <v>45869</v>
      </c>
      <c r="R1693" s="2">
        <v>46203</v>
      </c>
      <c r="S1693" s="2">
        <v>45807</v>
      </c>
      <c r="T1693" s="2"/>
      <c r="U1693" t="str">
        <f t="shared" si="182"/>
        <v>No</v>
      </c>
      <c r="W16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3" t="str">
        <f t="shared" ca="1" si="183"/>
        <v>Due/Open</v>
      </c>
      <c r="Y1693" t="str">
        <f t="shared" si="184"/>
        <v>Open</v>
      </c>
      <c r="Z1693" t="str">
        <f t="shared" si="185"/>
        <v>May-2025</v>
      </c>
      <c r="AA1693" t="str">
        <f t="shared" si="186"/>
        <v>Q2 2025</v>
      </c>
      <c r="AB1693" s="4">
        <f t="shared" ca="1" si="187"/>
        <v>405</v>
      </c>
      <c r="AC1693" t="str">
        <f t="shared" si="188"/>
        <v>Medium</v>
      </c>
    </row>
    <row r="1694" spans="1:29">
      <c r="A1694" t="s">
        <v>5905</v>
      </c>
      <c r="B1694" s="2">
        <v>46048</v>
      </c>
      <c r="C1694" t="s">
        <v>2581</v>
      </c>
      <c r="D1694" t="s">
        <v>366</v>
      </c>
      <c r="E1694" t="s">
        <v>5906</v>
      </c>
      <c r="F1694" t="s">
        <v>5907</v>
      </c>
      <c r="G1694" t="s">
        <v>69</v>
      </c>
      <c r="H1694" t="s">
        <v>285</v>
      </c>
      <c r="I1694" t="s">
        <v>123</v>
      </c>
      <c r="J1694" t="s">
        <v>62</v>
      </c>
      <c r="K1694" t="s">
        <v>194</v>
      </c>
      <c r="L1694" t="s">
        <v>132</v>
      </c>
      <c r="M1694" t="s">
        <v>40</v>
      </c>
      <c r="N1694" t="s">
        <v>41</v>
      </c>
      <c r="O1694" s="3">
        <v>235000</v>
      </c>
      <c r="P1694" s="4">
        <v>100</v>
      </c>
      <c r="Q1694" s="2">
        <v>46101</v>
      </c>
      <c r="R1694" s="2"/>
      <c r="S1694" s="2">
        <v>46073</v>
      </c>
      <c r="T1694" s="2">
        <v>46101</v>
      </c>
      <c r="U1694" t="str">
        <f t="shared" si="182"/>
        <v>Yes</v>
      </c>
      <c r="W169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1694" t="str">
        <f t="shared" ca="1" si="183"/>
        <v>Closed</v>
      </c>
      <c r="Y1694" t="str">
        <f t="shared" si="184"/>
        <v>Closed</v>
      </c>
      <c r="Z1694" t="str">
        <f t="shared" si="185"/>
        <v>Jan-2026</v>
      </c>
      <c r="AA1694" t="str">
        <f t="shared" si="186"/>
        <v>Q1 2026</v>
      </c>
      <c r="AB1694" s="4">
        <f t="shared" ca="1" si="187"/>
        <v>151</v>
      </c>
      <c r="AC1694" t="str">
        <f t="shared" si="188"/>
        <v>Medium</v>
      </c>
    </row>
    <row r="1695" spans="1:29">
      <c r="A1695" t="s">
        <v>5908</v>
      </c>
      <c r="B1695" s="2">
        <v>46158</v>
      </c>
      <c r="C1695" t="s">
        <v>933</v>
      </c>
      <c r="D1695" t="s">
        <v>44</v>
      </c>
      <c r="E1695" t="s">
        <v>5909</v>
      </c>
      <c r="F1695" t="s">
        <v>5910</v>
      </c>
      <c r="G1695" t="s">
        <v>34</v>
      </c>
      <c r="H1695" t="s">
        <v>60</v>
      </c>
      <c r="I1695" t="s">
        <v>49</v>
      </c>
      <c r="J1695" t="s">
        <v>99</v>
      </c>
      <c r="K1695" t="s">
        <v>71</v>
      </c>
      <c r="L1695" t="s">
        <v>154</v>
      </c>
      <c r="M1695" t="s">
        <v>82</v>
      </c>
      <c r="N1695" t="s">
        <v>83</v>
      </c>
      <c r="O1695" s="3">
        <v>325000</v>
      </c>
      <c r="P1695" s="4">
        <v>5</v>
      </c>
      <c r="Q1695" s="2">
        <v>46249</v>
      </c>
      <c r="R1695" s="2">
        <v>46210</v>
      </c>
      <c r="S1695" s="2">
        <v>46167</v>
      </c>
      <c r="T1695" s="2"/>
      <c r="U1695" t="str">
        <f t="shared" si="182"/>
        <v>No</v>
      </c>
      <c r="W16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5" t="str">
        <f t="shared" ca="1" si="183"/>
        <v>Due/Open</v>
      </c>
      <c r="Y1695" t="str">
        <f t="shared" si="184"/>
        <v>Open</v>
      </c>
      <c r="Z1695" t="str">
        <f t="shared" si="185"/>
        <v>May-2026</v>
      </c>
      <c r="AA1695" t="str">
        <f t="shared" si="186"/>
        <v>Q2 2026</v>
      </c>
      <c r="AB1695" s="4">
        <f t="shared" ca="1" si="187"/>
        <v>41</v>
      </c>
      <c r="AC1695" t="str">
        <f t="shared" si="188"/>
        <v>High</v>
      </c>
    </row>
    <row r="1696" spans="1:29">
      <c r="A1696" t="s">
        <v>5911</v>
      </c>
      <c r="B1696" s="2">
        <v>46107</v>
      </c>
      <c r="C1696" t="s">
        <v>3723</v>
      </c>
      <c r="D1696" t="s">
        <v>1876</v>
      </c>
      <c r="E1696" t="s">
        <v>5912</v>
      </c>
      <c r="F1696" t="s">
        <v>5913</v>
      </c>
      <c r="G1696" t="s">
        <v>47</v>
      </c>
      <c r="H1696" t="s">
        <v>418</v>
      </c>
      <c r="I1696" t="s">
        <v>141</v>
      </c>
      <c r="J1696" t="s">
        <v>50</v>
      </c>
      <c r="K1696" t="s">
        <v>51</v>
      </c>
      <c r="L1696" t="s">
        <v>132</v>
      </c>
      <c r="M1696" t="s">
        <v>116</v>
      </c>
      <c r="N1696" t="s">
        <v>54</v>
      </c>
      <c r="O1696" s="3">
        <v>260000</v>
      </c>
      <c r="P1696" s="4">
        <v>25</v>
      </c>
      <c r="Q1696" s="2">
        <v>46150</v>
      </c>
      <c r="R1696" s="2">
        <v>46234</v>
      </c>
      <c r="S1696" s="2">
        <v>46112</v>
      </c>
      <c r="T1696" s="2"/>
      <c r="U1696" t="str">
        <f t="shared" si="182"/>
        <v>No</v>
      </c>
      <c r="W16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6" t="str">
        <f t="shared" ca="1" si="183"/>
        <v>Due/Open</v>
      </c>
      <c r="Y1696" t="str">
        <f t="shared" si="184"/>
        <v>Open</v>
      </c>
      <c r="Z1696" t="str">
        <f t="shared" si="185"/>
        <v>Mar-2026</v>
      </c>
      <c r="AA1696" t="str">
        <f t="shared" si="186"/>
        <v>Q1 2026</v>
      </c>
      <c r="AB1696" s="4">
        <f t="shared" ca="1" si="187"/>
        <v>92</v>
      </c>
      <c r="AC1696" t="str">
        <f t="shared" si="188"/>
        <v>Medium</v>
      </c>
    </row>
    <row r="1697" spans="1:29">
      <c r="A1697" t="s">
        <v>5914</v>
      </c>
      <c r="B1697" s="2">
        <v>45870</v>
      </c>
      <c r="C1697" t="s">
        <v>2400</v>
      </c>
      <c r="D1697" t="s">
        <v>1118</v>
      </c>
      <c r="E1697" t="s">
        <v>5915</v>
      </c>
      <c r="F1697" t="s">
        <v>5916</v>
      </c>
      <c r="G1697" t="s">
        <v>47</v>
      </c>
      <c r="H1697" t="s">
        <v>89</v>
      </c>
      <c r="I1697" t="s">
        <v>123</v>
      </c>
      <c r="J1697" t="s">
        <v>131</v>
      </c>
      <c r="K1697" t="s">
        <v>114</v>
      </c>
      <c r="L1697" t="s">
        <v>52</v>
      </c>
      <c r="M1697" t="s">
        <v>82</v>
      </c>
      <c r="N1697" t="s">
        <v>83</v>
      </c>
      <c r="O1697" s="3">
        <v>200000</v>
      </c>
      <c r="P1697" s="4">
        <v>10</v>
      </c>
      <c r="Q1697" s="2">
        <v>45932</v>
      </c>
      <c r="R1697" s="2">
        <v>46177</v>
      </c>
      <c r="S1697" s="2">
        <v>45900</v>
      </c>
      <c r="T1697" s="2"/>
      <c r="U1697" t="str">
        <f t="shared" si="182"/>
        <v>No</v>
      </c>
      <c r="W16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7" t="str">
        <f t="shared" ca="1" si="183"/>
        <v>Overdue</v>
      </c>
      <c r="Y1697" t="str">
        <f t="shared" si="184"/>
        <v>Open</v>
      </c>
      <c r="Z1697" t="str">
        <f t="shared" si="185"/>
        <v>Aug-2025</v>
      </c>
      <c r="AA1697" t="str">
        <f t="shared" si="186"/>
        <v>Q3 2025</v>
      </c>
      <c r="AB1697" s="4">
        <f t="shared" ca="1" si="187"/>
        <v>329</v>
      </c>
      <c r="AC1697" t="str">
        <f t="shared" si="188"/>
        <v>Medium</v>
      </c>
    </row>
    <row r="1698" spans="1:29">
      <c r="A1698" t="s">
        <v>5917</v>
      </c>
      <c r="B1698" s="2">
        <v>46021</v>
      </c>
      <c r="C1698" t="s">
        <v>1814</v>
      </c>
      <c r="D1698" t="s">
        <v>220</v>
      </c>
      <c r="E1698" t="s">
        <v>5918</v>
      </c>
      <c r="F1698" t="s">
        <v>5919</v>
      </c>
      <c r="G1698" t="s">
        <v>47</v>
      </c>
      <c r="H1698" t="s">
        <v>113</v>
      </c>
      <c r="I1698" t="s">
        <v>148</v>
      </c>
      <c r="J1698" t="s">
        <v>37</v>
      </c>
      <c r="K1698" t="s">
        <v>100</v>
      </c>
      <c r="L1698" t="s">
        <v>39</v>
      </c>
      <c r="M1698" t="s">
        <v>53</v>
      </c>
      <c r="N1698" t="s">
        <v>54</v>
      </c>
      <c r="O1698" s="3">
        <v>115000</v>
      </c>
      <c r="P1698" s="4">
        <v>35</v>
      </c>
      <c r="Q1698" s="2">
        <v>46075</v>
      </c>
      <c r="R1698" s="2">
        <v>46225</v>
      </c>
      <c r="S1698" s="2">
        <v>46034</v>
      </c>
      <c r="T1698" s="2"/>
      <c r="U1698" t="str">
        <f t="shared" si="182"/>
        <v>No</v>
      </c>
      <c r="W16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698" t="str">
        <f t="shared" ca="1" si="183"/>
        <v>Due/Open</v>
      </c>
      <c r="Y1698" t="str">
        <f t="shared" si="184"/>
        <v>Open</v>
      </c>
      <c r="Z1698" t="str">
        <f t="shared" si="185"/>
        <v>Dec-2025</v>
      </c>
      <c r="AA1698" t="str">
        <f t="shared" si="186"/>
        <v>Q4 2025</v>
      </c>
      <c r="AB1698" s="4">
        <f t="shared" ca="1" si="187"/>
        <v>178</v>
      </c>
      <c r="AC1698" t="str">
        <f t="shared" si="188"/>
        <v>Low</v>
      </c>
    </row>
    <row r="1699" spans="1:29">
      <c r="A1699" t="s">
        <v>5920</v>
      </c>
      <c r="B1699" s="2">
        <v>45721</v>
      </c>
      <c r="C1699" t="s">
        <v>1778</v>
      </c>
      <c r="D1699" t="s">
        <v>299</v>
      </c>
      <c r="E1699" t="s">
        <v>5921</v>
      </c>
      <c r="F1699" t="s">
        <v>5922</v>
      </c>
      <c r="G1699" t="s">
        <v>79</v>
      </c>
      <c r="H1699" t="s">
        <v>228</v>
      </c>
      <c r="I1699" t="s">
        <v>123</v>
      </c>
      <c r="J1699" t="s">
        <v>99</v>
      </c>
      <c r="K1699" t="s">
        <v>38</v>
      </c>
      <c r="L1699" t="s">
        <v>52</v>
      </c>
      <c r="M1699" t="s">
        <v>133</v>
      </c>
      <c r="N1699" t="s">
        <v>134</v>
      </c>
      <c r="O1699" s="3">
        <v>165000</v>
      </c>
      <c r="P1699" s="4">
        <v>0</v>
      </c>
      <c r="Q1699" s="2">
        <v>45791</v>
      </c>
      <c r="R1699" s="2"/>
      <c r="S1699" s="2">
        <v>45724</v>
      </c>
      <c r="T1699" s="2">
        <v>45791</v>
      </c>
      <c r="U1699" t="str">
        <f t="shared" si="182"/>
        <v>No</v>
      </c>
      <c r="V1699" t="s">
        <v>135</v>
      </c>
      <c r="W16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1699" t="str">
        <f t="shared" ca="1" si="183"/>
        <v>Closed</v>
      </c>
      <c r="Y1699" t="str">
        <f t="shared" si="184"/>
        <v>Closed</v>
      </c>
      <c r="Z1699" t="str">
        <f t="shared" si="185"/>
        <v>Mar-2025</v>
      </c>
      <c r="AA1699" t="str">
        <f t="shared" si="186"/>
        <v>Q1 2025</v>
      </c>
      <c r="AB1699" s="4">
        <f t="shared" ca="1" si="187"/>
        <v>478</v>
      </c>
      <c r="AC1699" t="str">
        <f t="shared" si="188"/>
        <v>Medium</v>
      </c>
    </row>
    <row r="1700" spans="1:29">
      <c r="A1700" t="s">
        <v>5923</v>
      </c>
      <c r="B1700" s="2">
        <v>46103</v>
      </c>
      <c r="C1700" t="s">
        <v>1342</v>
      </c>
      <c r="D1700" t="s">
        <v>926</v>
      </c>
      <c r="E1700" t="s">
        <v>5924</v>
      </c>
      <c r="F1700" t="s">
        <v>5925</v>
      </c>
      <c r="G1700" t="s">
        <v>79</v>
      </c>
      <c r="H1700" t="s">
        <v>80</v>
      </c>
      <c r="I1700" t="s">
        <v>98</v>
      </c>
      <c r="J1700" t="s">
        <v>131</v>
      </c>
      <c r="K1700" t="s">
        <v>71</v>
      </c>
      <c r="L1700" t="s">
        <v>107</v>
      </c>
      <c r="M1700" t="s">
        <v>210</v>
      </c>
      <c r="N1700" t="s">
        <v>134</v>
      </c>
      <c r="O1700" s="3">
        <v>105000</v>
      </c>
      <c r="P1700" s="4">
        <v>0</v>
      </c>
      <c r="Q1700" s="2">
        <v>46170</v>
      </c>
      <c r="R1700" s="2"/>
      <c r="S1700" s="2">
        <v>46124</v>
      </c>
      <c r="T1700" s="2">
        <v>46170</v>
      </c>
      <c r="U1700" t="str">
        <f t="shared" si="182"/>
        <v>No</v>
      </c>
      <c r="V1700" t="s">
        <v>211</v>
      </c>
      <c r="W170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1700" t="str">
        <f t="shared" ca="1" si="183"/>
        <v>Closed</v>
      </c>
      <c r="Y1700" t="str">
        <f t="shared" si="184"/>
        <v>Closed</v>
      </c>
      <c r="Z1700" t="str">
        <f t="shared" si="185"/>
        <v>Mar-2026</v>
      </c>
      <c r="AA1700" t="str">
        <f t="shared" si="186"/>
        <v>Q1 2026</v>
      </c>
      <c r="AB1700" s="4">
        <f t="shared" ca="1" si="187"/>
        <v>96</v>
      </c>
      <c r="AC1700" t="str">
        <f t="shared" si="188"/>
        <v>Low</v>
      </c>
    </row>
    <row r="1701" spans="1:29">
      <c r="A1701" t="s">
        <v>5926</v>
      </c>
      <c r="B1701" s="2">
        <v>46171</v>
      </c>
      <c r="C1701" t="s">
        <v>206</v>
      </c>
      <c r="D1701" t="s">
        <v>2143</v>
      </c>
      <c r="E1701" t="s">
        <v>5927</v>
      </c>
      <c r="F1701" t="s">
        <v>5928</v>
      </c>
      <c r="G1701" t="s">
        <v>34</v>
      </c>
      <c r="H1701" t="s">
        <v>160</v>
      </c>
      <c r="I1701" t="s">
        <v>187</v>
      </c>
      <c r="J1701" t="s">
        <v>62</v>
      </c>
      <c r="K1701" t="s">
        <v>51</v>
      </c>
      <c r="L1701" t="s">
        <v>125</v>
      </c>
      <c r="M1701" t="s">
        <v>90</v>
      </c>
      <c r="N1701" t="s">
        <v>91</v>
      </c>
      <c r="O1701" s="3">
        <v>180000</v>
      </c>
      <c r="P1701" s="4">
        <v>50</v>
      </c>
      <c r="Q1701" s="2">
        <v>46258</v>
      </c>
      <c r="R1701" s="2">
        <v>46224</v>
      </c>
      <c r="S1701" s="2">
        <v>46172</v>
      </c>
      <c r="T1701" s="2"/>
      <c r="U1701" t="str">
        <f t="shared" si="182"/>
        <v>No</v>
      </c>
      <c r="W17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1" t="str">
        <f t="shared" ca="1" si="183"/>
        <v>Due/Open</v>
      </c>
      <c r="Y1701" t="str">
        <f t="shared" si="184"/>
        <v>Open</v>
      </c>
      <c r="Z1701" t="str">
        <f t="shared" si="185"/>
        <v>May-2026</v>
      </c>
      <c r="AA1701" t="str">
        <f t="shared" si="186"/>
        <v>Q2 2026</v>
      </c>
      <c r="AB1701" s="4">
        <f t="shared" ca="1" si="187"/>
        <v>28</v>
      </c>
      <c r="AC1701" t="str">
        <f t="shared" si="188"/>
        <v>Medium</v>
      </c>
    </row>
    <row r="1702" spans="1:29">
      <c r="A1702" t="s">
        <v>5929</v>
      </c>
      <c r="B1702" s="2">
        <v>45871</v>
      </c>
      <c r="C1702" t="s">
        <v>2741</v>
      </c>
      <c r="D1702" t="s">
        <v>273</v>
      </c>
      <c r="E1702" t="s">
        <v>5930</v>
      </c>
      <c r="F1702" t="s">
        <v>5931</v>
      </c>
      <c r="G1702" t="s">
        <v>34</v>
      </c>
      <c r="H1702" t="s">
        <v>60</v>
      </c>
      <c r="I1702" t="s">
        <v>123</v>
      </c>
      <c r="J1702" t="s">
        <v>124</v>
      </c>
      <c r="K1702" t="s">
        <v>100</v>
      </c>
      <c r="L1702" t="s">
        <v>107</v>
      </c>
      <c r="M1702" t="s">
        <v>166</v>
      </c>
      <c r="N1702" t="s">
        <v>167</v>
      </c>
      <c r="O1702" s="3">
        <v>285000</v>
      </c>
      <c r="P1702" s="4">
        <v>60</v>
      </c>
      <c r="Q1702" s="2">
        <v>45916</v>
      </c>
      <c r="R1702" s="2">
        <v>46243</v>
      </c>
      <c r="S1702" s="2">
        <v>45885</v>
      </c>
      <c r="T1702" s="2"/>
      <c r="U1702" t="str">
        <f t="shared" si="182"/>
        <v>No</v>
      </c>
      <c r="W17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2" t="str">
        <f t="shared" ca="1" si="183"/>
        <v>Due/Open</v>
      </c>
      <c r="Y1702" t="str">
        <f t="shared" si="184"/>
        <v>Open</v>
      </c>
      <c r="Z1702" t="str">
        <f t="shared" si="185"/>
        <v>Aug-2025</v>
      </c>
      <c r="AA1702" t="str">
        <f t="shared" si="186"/>
        <v>Q3 2025</v>
      </c>
      <c r="AB1702" s="4">
        <f t="shared" ca="1" si="187"/>
        <v>328</v>
      </c>
      <c r="AC1702" t="str">
        <f t="shared" si="188"/>
        <v>Medium</v>
      </c>
    </row>
    <row r="1703" spans="1:29">
      <c r="A1703" t="s">
        <v>5932</v>
      </c>
      <c r="B1703" s="2">
        <v>45742</v>
      </c>
      <c r="C1703" t="s">
        <v>5813</v>
      </c>
      <c r="D1703" t="s">
        <v>352</v>
      </c>
      <c r="E1703" t="s">
        <v>5933</v>
      </c>
      <c r="F1703" t="s">
        <v>5934</v>
      </c>
      <c r="G1703" t="s">
        <v>179</v>
      </c>
      <c r="H1703" t="s">
        <v>186</v>
      </c>
      <c r="I1703" t="s">
        <v>148</v>
      </c>
      <c r="J1703" t="s">
        <v>50</v>
      </c>
      <c r="K1703" t="s">
        <v>114</v>
      </c>
      <c r="L1703" t="s">
        <v>154</v>
      </c>
      <c r="M1703" t="s">
        <v>90</v>
      </c>
      <c r="N1703" t="s">
        <v>91</v>
      </c>
      <c r="O1703" s="3">
        <v>295000</v>
      </c>
      <c r="P1703" s="4">
        <v>55</v>
      </c>
      <c r="Q1703" s="2">
        <v>45832</v>
      </c>
      <c r="R1703" s="2">
        <v>46173</v>
      </c>
      <c r="S1703" s="2">
        <v>45769</v>
      </c>
      <c r="T1703" s="2"/>
      <c r="U1703" t="str">
        <f t="shared" si="182"/>
        <v>No</v>
      </c>
      <c r="W17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3" t="str">
        <f t="shared" ca="1" si="183"/>
        <v>Overdue</v>
      </c>
      <c r="Y1703" t="str">
        <f t="shared" si="184"/>
        <v>Open</v>
      </c>
      <c r="Z1703" t="str">
        <f t="shared" si="185"/>
        <v>Mar-2025</v>
      </c>
      <c r="AA1703" t="str">
        <f t="shared" si="186"/>
        <v>Q1 2025</v>
      </c>
      <c r="AB1703" s="4">
        <f t="shared" ca="1" si="187"/>
        <v>457</v>
      </c>
      <c r="AC1703" t="str">
        <f t="shared" si="188"/>
        <v>Medium</v>
      </c>
    </row>
    <row r="1704" spans="1:29">
      <c r="A1704" t="s">
        <v>5935</v>
      </c>
      <c r="B1704" s="2">
        <v>45951</v>
      </c>
      <c r="C1704" t="s">
        <v>530</v>
      </c>
      <c r="D1704" t="s">
        <v>573</v>
      </c>
      <c r="E1704" t="s">
        <v>5936</v>
      </c>
      <c r="F1704" t="s">
        <v>5937</v>
      </c>
      <c r="G1704" t="s">
        <v>69</v>
      </c>
      <c r="H1704" t="s">
        <v>312</v>
      </c>
      <c r="I1704" t="s">
        <v>141</v>
      </c>
      <c r="J1704" t="s">
        <v>99</v>
      </c>
      <c r="K1704" t="s">
        <v>114</v>
      </c>
      <c r="L1704" t="s">
        <v>52</v>
      </c>
      <c r="M1704" t="s">
        <v>53</v>
      </c>
      <c r="N1704" t="s">
        <v>54</v>
      </c>
      <c r="O1704" s="3">
        <v>275000</v>
      </c>
      <c r="P1704" s="4">
        <v>25</v>
      </c>
      <c r="Q1704" s="2">
        <v>45992</v>
      </c>
      <c r="R1704" s="2">
        <v>46233</v>
      </c>
      <c r="S1704" s="2">
        <v>45966</v>
      </c>
      <c r="T1704" s="2"/>
      <c r="U1704" t="str">
        <f t="shared" si="182"/>
        <v>No</v>
      </c>
      <c r="W17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4" t="str">
        <f t="shared" ca="1" si="183"/>
        <v>Due/Open</v>
      </c>
      <c r="Y1704" t="str">
        <f t="shared" si="184"/>
        <v>Open</v>
      </c>
      <c r="Z1704" t="str">
        <f t="shared" si="185"/>
        <v>Oct-2025</v>
      </c>
      <c r="AA1704" t="str">
        <f t="shared" si="186"/>
        <v>Q4 2025</v>
      </c>
      <c r="AB1704" s="4">
        <f t="shared" ca="1" si="187"/>
        <v>248</v>
      </c>
      <c r="AC1704" t="str">
        <f t="shared" si="188"/>
        <v>Medium</v>
      </c>
    </row>
    <row r="1705" spans="1:29">
      <c r="A1705" t="s">
        <v>5938</v>
      </c>
      <c r="B1705" s="2">
        <v>45919</v>
      </c>
      <c r="C1705" t="s">
        <v>947</v>
      </c>
      <c r="D1705" t="s">
        <v>76</v>
      </c>
      <c r="E1705" t="s">
        <v>5939</v>
      </c>
      <c r="F1705" t="s">
        <v>5940</v>
      </c>
      <c r="G1705" t="s">
        <v>34</v>
      </c>
      <c r="H1705" t="s">
        <v>173</v>
      </c>
      <c r="I1705" t="s">
        <v>148</v>
      </c>
      <c r="J1705" t="s">
        <v>131</v>
      </c>
      <c r="K1705" t="s">
        <v>51</v>
      </c>
      <c r="L1705" t="s">
        <v>72</v>
      </c>
      <c r="M1705" t="s">
        <v>73</v>
      </c>
      <c r="N1705" t="s">
        <v>73</v>
      </c>
      <c r="O1705" s="3">
        <v>240000</v>
      </c>
      <c r="P1705" s="4">
        <v>75</v>
      </c>
      <c r="Q1705" s="2">
        <v>46001</v>
      </c>
      <c r="R1705" s="2">
        <v>46212</v>
      </c>
      <c r="S1705" s="2">
        <v>45934</v>
      </c>
      <c r="T1705" s="2"/>
      <c r="U1705" t="str">
        <f t="shared" si="182"/>
        <v>No</v>
      </c>
      <c r="W17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5" t="str">
        <f t="shared" ca="1" si="183"/>
        <v>Due/Open</v>
      </c>
      <c r="Y1705" t="str">
        <f t="shared" si="184"/>
        <v>Open</v>
      </c>
      <c r="Z1705" t="str">
        <f t="shared" si="185"/>
        <v>Sep-2025</v>
      </c>
      <c r="AA1705" t="str">
        <f t="shared" si="186"/>
        <v>Q3 2025</v>
      </c>
      <c r="AB1705" s="4">
        <f t="shared" ca="1" si="187"/>
        <v>280</v>
      </c>
      <c r="AC1705" t="str">
        <f t="shared" si="188"/>
        <v>Medium</v>
      </c>
    </row>
    <row r="1706" spans="1:29">
      <c r="A1706" t="s">
        <v>5941</v>
      </c>
      <c r="B1706" s="2">
        <v>45965</v>
      </c>
      <c r="C1706" t="s">
        <v>796</v>
      </c>
      <c r="D1706" t="s">
        <v>557</v>
      </c>
      <c r="E1706" t="s">
        <v>5942</v>
      </c>
      <c r="F1706" t="s">
        <v>5943</v>
      </c>
      <c r="G1706" t="s">
        <v>79</v>
      </c>
      <c r="H1706" t="s">
        <v>106</v>
      </c>
      <c r="I1706" t="s">
        <v>36</v>
      </c>
      <c r="J1706" t="s">
        <v>124</v>
      </c>
      <c r="K1706" t="s">
        <v>38</v>
      </c>
      <c r="L1706" t="s">
        <v>63</v>
      </c>
      <c r="M1706" t="s">
        <v>90</v>
      </c>
      <c r="N1706" t="s">
        <v>91</v>
      </c>
      <c r="O1706" s="3">
        <v>330000</v>
      </c>
      <c r="P1706" s="4">
        <v>55</v>
      </c>
      <c r="Q1706" s="2">
        <v>45986</v>
      </c>
      <c r="R1706" s="2">
        <v>46241</v>
      </c>
      <c r="S1706" s="2">
        <v>45988</v>
      </c>
      <c r="T1706" s="2"/>
      <c r="U1706" t="str">
        <f t="shared" si="182"/>
        <v>No</v>
      </c>
      <c r="W17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6" t="str">
        <f t="shared" ca="1" si="183"/>
        <v>Due/Open</v>
      </c>
      <c r="Y1706" t="str">
        <f t="shared" si="184"/>
        <v>Open</v>
      </c>
      <c r="Z1706" t="str">
        <f t="shared" si="185"/>
        <v>Nov-2025</v>
      </c>
      <c r="AA1706" t="str">
        <f t="shared" si="186"/>
        <v>Q4 2025</v>
      </c>
      <c r="AB1706" s="4">
        <f t="shared" ca="1" si="187"/>
        <v>234</v>
      </c>
      <c r="AC1706" t="str">
        <f t="shared" si="188"/>
        <v>High</v>
      </c>
    </row>
    <row r="1707" spans="1:29">
      <c r="A1707" t="s">
        <v>5944</v>
      </c>
      <c r="B1707" s="2">
        <v>45872</v>
      </c>
      <c r="C1707" t="s">
        <v>298</v>
      </c>
      <c r="D1707" t="s">
        <v>242</v>
      </c>
      <c r="E1707" t="s">
        <v>5945</v>
      </c>
      <c r="F1707" t="s">
        <v>5946</v>
      </c>
      <c r="G1707" t="s">
        <v>34</v>
      </c>
      <c r="H1707" t="s">
        <v>60</v>
      </c>
      <c r="I1707" t="s">
        <v>98</v>
      </c>
      <c r="J1707" t="s">
        <v>131</v>
      </c>
      <c r="K1707" t="s">
        <v>194</v>
      </c>
      <c r="L1707" t="s">
        <v>125</v>
      </c>
      <c r="M1707" t="s">
        <v>90</v>
      </c>
      <c r="N1707" t="s">
        <v>91</v>
      </c>
      <c r="O1707" s="3">
        <v>375000</v>
      </c>
      <c r="P1707" s="4">
        <v>40</v>
      </c>
      <c r="Q1707" s="2">
        <v>45942</v>
      </c>
      <c r="R1707" s="2">
        <v>46173</v>
      </c>
      <c r="S1707" s="2">
        <v>45894</v>
      </c>
      <c r="T1707" s="2"/>
      <c r="U1707" t="str">
        <f t="shared" si="182"/>
        <v>No</v>
      </c>
      <c r="W17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7" t="str">
        <f t="shared" ca="1" si="183"/>
        <v>Overdue</v>
      </c>
      <c r="Y1707" t="str">
        <f t="shared" si="184"/>
        <v>Open</v>
      </c>
      <c r="Z1707" t="str">
        <f t="shared" si="185"/>
        <v>Aug-2025</v>
      </c>
      <c r="AA1707" t="str">
        <f t="shared" si="186"/>
        <v>Q3 2025</v>
      </c>
      <c r="AB1707" s="4">
        <f t="shared" ca="1" si="187"/>
        <v>327</v>
      </c>
      <c r="AC1707" t="str">
        <f t="shared" si="188"/>
        <v>High</v>
      </c>
    </row>
    <row r="1708" spans="1:29">
      <c r="A1708" t="s">
        <v>5947</v>
      </c>
      <c r="B1708" s="2">
        <v>45681</v>
      </c>
      <c r="C1708" t="s">
        <v>729</v>
      </c>
      <c r="D1708" t="s">
        <v>943</v>
      </c>
      <c r="E1708" t="s">
        <v>5948</v>
      </c>
      <c r="F1708" t="s">
        <v>5949</v>
      </c>
      <c r="G1708" t="s">
        <v>79</v>
      </c>
      <c r="H1708" t="s">
        <v>228</v>
      </c>
      <c r="I1708" t="s">
        <v>123</v>
      </c>
      <c r="J1708" t="s">
        <v>50</v>
      </c>
      <c r="K1708" t="s">
        <v>51</v>
      </c>
      <c r="L1708" t="s">
        <v>132</v>
      </c>
      <c r="M1708" t="s">
        <v>53</v>
      </c>
      <c r="N1708" t="s">
        <v>54</v>
      </c>
      <c r="O1708" s="3">
        <v>275000</v>
      </c>
      <c r="P1708" s="4">
        <v>30</v>
      </c>
      <c r="Q1708" s="2">
        <v>45749</v>
      </c>
      <c r="R1708" s="2">
        <v>46227</v>
      </c>
      <c r="S1708" s="2">
        <v>45705</v>
      </c>
      <c r="T1708" s="2"/>
      <c r="U1708" t="str">
        <f t="shared" si="182"/>
        <v>No</v>
      </c>
      <c r="W17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8" t="str">
        <f t="shared" ca="1" si="183"/>
        <v>Due/Open</v>
      </c>
      <c r="Y1708" t="str">
        <f t="shared" si="184"/>
        <v>Open</v>
      </c>
      <c r="Z1708" t="str">
        <f t="shared" si="185"/>
        <v>Jan-2025</v>
      </c>
      <c r="AA1708" t="str">
        <f t="shared" si="186"/>
        <v>Q1 2025</v>
      </c>
      <c r="AB1708" s="4">
        <f t="shared" ca="1" si="187"/>
        <v>518</v>
      </c>
      <c r="AC1708" t="str">
        <f t="shared" si="188"/>
        <v>Medium</v>
      </c>
    </row>
    <row r="1709" spans="1:29">
      <c r="A1709" t="s">
        <v>5950</v>
      </c>
      <c r="B1709" s="2">
        <v>45877</v>
      </c>
      <c r="C1709" t="s">
        <v>1085</v>
      </c>
      <c r="D1709" t="s">
        <v>1319</v>
      </c>
      <c r="E1709" t="s">
        <v>5951</v>
      </c>
      <c r="F1709" t="s">
        <v>5952</v>
      </c>
      <c r="G1709" t="s">
        <v>69</v>
      </c>
      <c r="H1709" t="s">
        <v>70</v>
      </c>
      <c r="I1709" t="s">
        <v>36</v>
      </c>
      <c r="J1709" t="s">
        <v>37</v>
      </c>
      <c r="K1709" t="s">
        <v>194</v>
      </c>
      <c r="L1709" t="s">
        <v>154</v>
      </c>
      <c r="M1709" t="s">
        <v>82</v>
      </c>
      <c r="N1709" t="s">
        <v>83</v>
      </c>
      <c r="O1709" s="3">
        <v>55000</v>
      </c>
      <c r="P1709" s="4">
        <v>10</v>
      </c>
      <c r="Q1709" s="2">
        <v>45906</v>
      </c>
      <c r="R1709" s="2">
        <v>46222</v>
      </c>
      <c r="S1709" s="2">
        <v>45901</v>
      </c>
      <c r="T1709" s="2"/>
      <c r="U1709" t="str">
        <f t="shared" si="182"/>
        <v>No</v>
      </c>
      <c r="W17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09" t="str">
        <f t="shared" ca="1" si="183"/>
        <v>Due/Open</v>
      </c>
      <c r="Y1709" t="str">
        <f t="shared" si="184"/>
        <v>Open</v>
      </c>
      <c r="Z1709" t="str">
        <f t="shared" si="185"/>
        <v>Aug-2025</v>
      </c>
      <c r="AA1709" t="str">
        <f t="shared" si="186"/>
        <v>Q3 2025</v>
      </c>
      <c r="AB1709" s="4">
        <f t="shared" ca="1" si="187"/>
        <v>322</v>
      </c>
      <c r="AC1709" t="str">
        <f t="shared" si="188"/>
        <v>Low</v>
      </c>
    </row>
    <row r="1710" spans="1:29">
      <c r="A1710" t="s">
        <v>5953</v>
      </c>
      <c r="B1710" s="2">
        <v>45746</v>
      </c>
      <c r="C1710" t="s">
        <v>2420</v>
      </c>
      <c r="D1710" t="s">
        <v>526</v>
      </c>
      <c r="E1710" t="s">
        <v>5954</v>
      </c>
      <c r="F1710" t="s">
        <v>5955</v>
      </c>
      <c r="G1710" t="s">
        <v>79</v>
      </c>
      <c r="H1710" t="s">
        <v>217</v>
      </c>
      <c r="I1710" t="s">
        <v>49</v>
      </c>
      <c r="J1710" t="s">
        <v>37</v>
      </c>
      <c r="K1710" t="s">
        <v>71</v>
      </c>
      <c r="L1710" t="s">
        <v>115</v>
      </c>
      <c r="M1710" t="s">
        <v>82</v>
      </c>
      <c r="N1710" t="s">
        <v>83</v>
      </c>
      <c r="O1710" s="3">
        <v>115000</v>
      </c>
      <c r="P1710" s="4">
        <v>5</v>
      </c>
      <c r="Q1710" s="2">
        <v>45769</v>
      </c>
      <c r="R1710" s="2">
        <v>46234</v>
      </c>
      <c r="S1710" s="2">
        <v>45775</v>
      </c>
      <c r="T1710" s="2"/>
      <c r="U1710" t="str">
        <f t="shared" si="182"/>
        <v>No</v>
      </c>
      <c r="W17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0" t="str">
        <f t="shared" ca="1" si="183"/>
        <v>Due/Open</v>
      </c>
      <c r="Y1710" t="str">
        <f t="shared" si="184"/>
        <v>Open</v>
      </c>
      <c r="Z1710" t="str">
        <f t="shared" si="185"/>
        <v>Mar-2025</v>
      </c>
      <c r="AA1710" t="str">
        <f t="shared" si="186"/>
        <v>Q1 2025</v>
      </c>
      <c r="AB1710" s="4">
        <f t="shared" ca="1" si="187"/>
        <v>453</v>
      </c>
      <c r="AC1710" t="str">
        <f t="shared" si="188"/>
        <v>Low</v>
      </c>
    </row>
    <row r="1711" spans="1:29">
      <c r="A1711" t="s">
        <v>5956</v>
      </c>
      <c r="B1711" s="2">
        <v>45736</v>
      </c>
      <c r="C1711" t="s">
        <v>5026</v>
      </c>
      <c r="D1711" t="s">
        <v>547</v>
      </c>
      <c r="E1711" t="s">
        <v>5957</v>
      </c>
      <c r="F1711" t="s">
        <v>5958</v>
      </c>
      <c r="G1711" t="s">
        <v>34</v>
      </c>
      <c r="H1711" t="s">
        <v>446</v>
      </c>
      <c r="I1711" t="s">
        <v>187</v>
      </c>
      <c r="J1711" t="s">
        <v>62</v>
      </c>
      <c r="K1711" t="s">
        <v>51</v>
      </c>
      <c r="L1711" t="s">
        <v>81</v>
      </c>
      <c r="M1711" t="s">
        <v>166</v>
      </c>
      <c r="N1711" t="s">
        <v>167</v>
      </c>
      <c r="O1711" s="3">
        <v>425000</v>
      </c>
      <c r="P1711" s="4">
        <v>60</v>
      </c>
      <c r="Q1711" s="2">
        <v>45800</v>
      </c>
      <c r="R1711" s="2">
        <v>46197</v>
      </c>
      <c r="S1711" s="2">
        <v>45744</v>
      </c>
      <c r="T1711" s="2"/>
      <c r="U1711" t="str">
        <f t="shared" si="182"/>
        <v>No</v>
      </c>
      <c r="W17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1" t="str">
        <f t="shared" ca="1" si="183"/>
        <v>Overdue</v>
      </c>
      <c r="Y1711" t="str">
        <f t="shared" si="184"/>
        <v>Open</v>
      </c>
      <c r="Z1711" t="str">
        <f t="shared" si="185"/>
        <v>Mar-2025</v>
      </c>
      <c r="AA1711" t="str">
        <f t="shared" si="186"/>
        <v>Q1 2025</v>
      </c>
      <c r="AB1711" s="4">
        <f t="shared" ca="1" si="187"/>
        <v>463</v>
      </c>
      <c r="AC1711" t="str">
        <f t="shared" si="188"/>
        <v>High</v>
      </c>
    </row>
    <row r="1712" spans="1:29">
      <c r="A1712" t="s">
        <v>5959</v>
      </c>
      <c r="B1712" s="2">
        <v>45736</v>
      </c>
      <c r="C1712" t="s">
        <v>383</v>
      </c>
      <c r="D1712" t="s">
        <v>433</v>
      </c>
      <c r="E1712" t="s">
        <v>5960</v>
      </c>
      <c r="F1712" t="s">
        <v>5961</v>
      </c>
      <c r="G1712" t="s">
        <v>179</v>
      </c>
      <c r="H1712" t="s">
        <v>180</v>
      </c>
      <c r="I1712" t="s">
        <v>49</v>
      </c>
      <c r="J1712" t="s">
        <v>124</v>
      </c>
      <c r="K1712" t="s">
        <v>38</v>
      </c>
      <c r="L1712" t="s">
        <v>142</v>
      </c>
      <c r="M1712" t="s">
        <v>133</v>
      </c>
      <c r="N1712" t="s">
        <v>134</v>
      </c>
      <c r="O1712" s="3">
        <v>225000</v>
      </c>
      <c r="P1712" s="4">
        <v>0</v>
      </c>
      <c r="Q1712" s="2">
        <v>45746</v>
      </c>
      <c r="R1712" s="2"/>
      <c r="S1712" s="2">
        <v>45759</v>
      </c>
      <c r="T1712" s="2">
        <v>45746</v>
      </c>
      <c r="U1712" t="str">
        <f t="shared" si="182"/>
        <v>No</v>
      </c>
      <c r="V1712" t="s">
        <v>1105</v>
      </c>
      <c r="W17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712" t="str">
        <f t="shared" ca="1" si="183"/>
        <v>Closed</v>
      </c>
      <c r="Y1712" t="str">
        <f t="shared" si="184"/>
        <v>Closed</v>
      </c>
      <c r="Z1712" t="str">
        <f t="shared" si="185"/>
        <v>Mar-2025</v>
      </c>
      <c r="AA1712" t="str">
        <f t="shared" si="186"/>
        <v>Q1 2025</v>
      </c>
      <c r="AB1712" s="4">
        <f t="shared" ca="1" si="187"/>
        <v>463</v>
      </c>
      <c r="AC1712" t="str">
        <f t="shared" si="188"/>
        <v>Medium</v>
      </c>
    </row>
    <row r="1713" spans="1:29">
      <c r="A1713" t="s">
        <v>5962</v>
      </c>
      <c r="B1713" s="2">
        <v>45984</v>
      </c>
      <c r="C1713" t="s">
        <v>3243</v>
      </c>
      <c r="D1713" t="s">
        <v>257</v>
      </c>
      <c r="E1713" t="s">
        <v>5963</v>
      </c>
      <c r="F1713" t="s">
        <v>5964</v>
      </c>
      <c r="G1713" t="s">
        <v>179</v>
      </c>
      <c r="H1713" t="s">
        <v>436</v>
      </c>
      <c r="I1713" t="s">
        <v>148</v>
      </c>
      <c r="J1713" t="s">
        <v>99</v>
      </c>
      <c r="K1713" t="s">
        <v>51</v>
      </c>
      <c r="L1713" t="s">
        <v>107</v>
      </c>
      <c r="M1713" t="s">
        <v>40</v>
      </c>
      <c r="N1713" t="s">
        <v>41</v>
      </c>
      <c r="O1713" s="3">
        <v>280000</v>
      </c>
      <c r="P1713" s="4">
        <v>100</v>
      </c>
      <c r="Q1713" s="2">
        <v>46065</v>
      </c>
      <c r="R1713" s="2"/>
      <c r="S1713" s="2">
        <v>45988</v>
      </c>
      <c r="T1713" s="2">
        <v>46065</v>
      </c>
      <c r="U1713" t="str">
        <f t="shared" si="182"/>
        <v>Yes</v>
      </c>
      <c r="W171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81</v>
      </c>
      <c r="X1713" t="str">
        <f t="shared" ca="1" si="183"/>
        <v>Closed</v>
      </c>
      <c r="Y1713" t="str">
        <f t="shared" si="184"/>
        <v>Closed</v>
      </c>
      <c r="Z1713" t="str">
        <f t="shared" si="185"/>
        <v>Nov-2025</v>
      </c>
      <c r="AA1713" t="str">
        <f t="shared" si="186"/>
        <v>Q4 2025</v>
      </c>
      <c r="AB1713" s="4">
        <f t="shared" ca="1" si="187"/>
        <v>215</v>
      </c>
      <c r="AC1713" t="str">
        <f t="shared" si="188"/>
        <v>Medium</v>
      </c>
    </row>
    <row r="1714" spans="1:29">
      <c r="A1714" t="s">
        <v>5965</v>
      </c>
      <c r="B1714" s="2">
        <v>45767</v>
      </c>
      <c r="C1714" t="s">
        <v>5966</v>
      </c>
      <c r="D1714" t="s">
        <v>2211</v>
      </c>
      <c r="E1714" t="s">
        <v>5967</v>
      </c>
      <c r="F1714" t="s">
        <v>5968</v>
      </c>
      <c r="G1714" t="s">
        <v>69</v>
      </c>
      <c r="H1714" t="s">
        <v>285</v>
      </c>
      <c r="I1714" t="s">
        <v>98</v>
      </c>
      <c r="J1714" t="s">
        <v>99</v>
      </c>
      <c r="K1714" t="s">
        <v>100</v>
      </c>
      <c r="L1714" t="s">
        <v>72</v>
      </c>
      <c r="M1714" t="s">
        <v>166</v>
      </c>
      <c r="N1714" t="s">
        <v>167</v>
      </c>
      <c r="O1714" s="3">
        <v>275000</v>
      </c>
      <c r="P1714" s="4">
        <v>60</v>
      </c>
      <c r="Q1714" s="2">
        <v>45802</v>
      </c>
      <c r="R1714" s="2">
        <v>46222</v>
      </c>
      <c r="S1714" s="2">
        <v>45780</v>
      </c>
      <c r="T1714" s="2"/>
      <c r="U1714" t="str">
        <f t="shared" si="182"/>
        <v>No</v>
      </c>
      <c r="W17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4" t="str">
        <f t="shared" ca="1" si="183"/>
        <v>Due/Open</v>
      </c>
      <c r="Y1714" t="str">
        <f t="shared" si="184"/>
        <v>Open</v>
      </c>
      <c r="Z1714" t="str">
        <f t="shared" si="185"/>
        <v>Apr-2025</v>
      </c>
      <c r="AA1714" t="str">
        <f t="shared" si="186"/>
        <v>Q2 2025</v>
      </c>
      <c r="AB1714" s="4">
        <f t="shared" ca="1" si="187"/>
        <v>432</v>
      </c>
      <c r="AC1714" t="str">
        <f t="shared" si="188"/>
        <v>Medium</v>
      </c>
    </row>
    <row r="1715" spans="1:29">
      <c r="A1715" t="s">
        <v>5969</v>
      </c>
      <c r="B1715" s="2">
        <v>45977</v>
      </c>
      <c r="C1715" t="s">
        <v>495</v>
      </c>
      <c r="D1715" t="s">
        <v>352</v>
      </c>
      <c r="E1715" t="s">
        <v>5970</v>
      </c>
      <c r="F1715" t="s">
        <v>5971</v>
      </c>
      <c r="G1715" t="s">
        <v>34</v>
      </c>
      <c r="H1715" t="s">
        <v>238</v>
      </c>
      <c r="I1715" t="s">
        <v>187</v>
      </c>
      <c r="J1715" t="s">
        <v>62</v>
      </c>
      <c r="K1715" t="s">
        <v>38</v>
      </c>
      <c r="L1715" t="s">
        <v>72</v>
      </c>
      <c r="M1715" t="s">
        <v>73</v>
      </c>
      <c r="N1715" t="s">
        <v>73</v>
      </c>
      <c r="O1715" s="3">
        <v>320000</v>
      </c>
      <c r="P1715" s="4">
        <v>80</v>
      </c>
      <c r="Q1715" s="2">
        <v>46018</v>
      </c>
      <c r="R1715" s="2">
        <v>46243</v>
      </c>
      <c r="S1715" s="2">
        <v>46005</v>
      </c>
      <c r="T1715" s="2"/>
      <c r="U1715" t="str">
        <f t="shared" si="182"/>
        <v>No</v>
      </c>
      <c r="W17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5" t="str">
        <f t="shared" ca="1" si="183"/>
        <v>Due/Open</v>
      </c>
      <c r="Y1715" t="str">
        <f t="shared" si="184"/>
        <v>Open</v>
      </c>
      <c r="Z1715" t="str">
        <f t="shared" si="185"/>
        <v>Nov-2025</v>
      </c>
      <c r="AA1715" t="str">
        <f t="shared" si="186"/>
        <v>Q4 2025</v>
      </c>
      <c r="AB1715" s="4">
        <f t="shared" ca="1" si="187"/>
        <v>222</v>
      </c>
      <c r="AC1715" t="str">
        <f t="shared" si="188"/>
        <v>High</v>
      </c>
    </row>
    <row r="1716" spans="1:29">
      <c r="A1716" t="s">
        <v>5972</v>
      </c>
      <c r="B1716" s="2">
        <v>46042</v>
      </c>
      <c r="C1716" t="s">
        <v>5973</v>
      </c>
      <c r="D1716" t="s">
        <v>934</v>
      </c>
      <c r="E1716" t="s">
        <v>5974</v>
      </c>
      <c r="F1716" t="s">
        <v>5975</v>
      </c>
      <c r="G1716" t="s">
        <v>179</v>
      </c>
      <c r="H1716" t="s">
        <v>296</v>
      </c>
      <c r="I1716" t="s">
        <v>187</v>
      </c>
      <c r="J1716" t="s">
        <v>37</v>
      </c>
      <c r="K1716" t="s">
        <v>114</v>
      </c>
      <c r="L1716" t="s">
        <v>125</v>
      </c>
      <c r="M1716" t="s">
        <v>53</v>
      </c>
      <c r="N1716" t="s">
        <v>54</v>
      </c>
      <c r="O1716" s="3">
        <v>60000</v>
      </c>
      <c r="P1716" s="4">
        <v>25</v>
      </c>
      <c r="Q1716" s="2">
        <v>46069</v>
      </c>
      <c r="R1716" s="2">
        <v>46172</v>
      </c>
      <c r="S1716" s="2">
        <v>46067</v>
      </c>
      <c r="T1716" s="2"/>
      <c r="U1716" t="str">
        <f t="shared" si="182"/>
        <v>No</v>
      </c>
      <c r="W17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6" t="str">
        <f t="shared" ca="1" si="183"/>
        <v>Overdue</v>
      </c>
      <c r="Y1716" t="str">
        <f t="shared" si="184"/>
        <v>Open</v>
      </c>
      <c r="Z1716" t="str">
        <f t="shared" si="185"/>
        <v>Jan-2026</v>
      </c>
      <c r="AA1716" t="str">
        <f t="shared" si="186"/>
        <v>Q1 2026</v>
      </c>
      <c r="AB1716" s="4">
        <f t="shared" ca="1" si="187"/>
        <v>157</v>
      </c>
      <c r="AC1716" t="str">
        <f t="shared" si="188"/>
        <v>Low</v>
      </c>
    </row>
    <row r="1717" spans="1:29">
      <c r="A1717" t="s">
        <v>5976</v>
      </c>
      <c r="B1717" s="2">
        <v>45682</v>
      </c>
      <c r="C1717" t="s">
        <v>741</v>
      </c>
      <c r="D1717" t="s">
        <v>2231</v>
      </c>
      <c r="E1717" t="s">
        <v>5977</v>
      </c>
      <c r="F1717" t="s">
        <v>5978</v>
      </c>
      <c r="G1717" t="s">
        <v>34</v>
      </c>
      <c r="H1717" t="s">
        <v>446</v>
      </c>
      <c r="I1717" t="s">
        <v>141</v>
      </c>
      <c r="J1717" t="s">
        <v>124</v>
      </c>
      <c r="K1717" t="s">
        <v>114</v>
      </c>
      <c r="L1717" t="s">
        <v>39</v>
      </c>
      <c r="M1717" t="s">
        <v>116</v>
      </c>
      <c r="N1717" t="s">
        <v>54</v>
      </c>
      <c r="O1717" s="3">
        <v>200000</v>
      </c>
      <c r="P1717" s="4">
        <v>25</v>
      </c>
      <c r="Q1717" s="2">
        <v>45720</v>
      </c>
      <c r="R1717" s="2">
        <v>46191</v>
      </c>
      <c r="S1717" s="2">
        <v>45696</v>
      </c>
      <c r="T1717" s="2"/>
      <c r="U1717" t="str">
        <f t="shared" si="182"/>
        <v>No</v>
      </c>
      <c r="W17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17" t="str">
        <f t="shared" ca="1" si="183"/>
        <v>Overdue</v>
      </c>
      <c r="Y1717" t="str">
        <f t="shared" si="184"/>
        <v>Open</v>
      </c>
      <c r="Z1717" t="str">
        <f t="shared" si="185"/>
        <v>Jan-2025</v>
      </c>
      <c r="AA1717" t="str">
        <f t="shared" si="186"/>
        <v>Q1 2025</v>
      </c>
      <c r="AB1717" s="4">
        <f t="shared" ca="1" si="187"/>
        <v>517</v>
      </c>
      <c r="AC1717" t="str">
        <f t="shared" si="188"/>
        <v>Medium</v>
      </c>
    </row>
    <row r="1718" spans="1:29">
      <c r="A1718" t="s">
        <v>5979</v>
      </c>
      <c r="B1718" s="2">
        <v>45834</v>
      </c>
      <c r="C1718" t="s">
        <v>2215</v>
      </c>
      <c r="D1718" t="s">
        <v>934</v>
      </c>
      <c r="E1718" t="s">
        <v>5980</v>
      </c>
      <c r="F1718" t="s">
        <v>5981</v>
      </c>
      <c r="G1718" t="s">
        <v>47</v>
      </c>
      <c r="H1718" t="s">
        <v>418</v>
      </c>
      <c r="I1718" t="s">
        <v>141</v>
      </c>
      <c r="J1718" t="s">
        <v>131</v>
      </c>
      <c r="K1718" t="s">
        <v>38</v>
      </c>
      <c r="L1718" t="s">
        <v>132</v>
      </c>
      <c r="M1718" t="s">
        <v>40</v>
      </c>
      <c r="N1718" t="s">
        <v>41</v>
      </c>
      <c r="O1718" s="3">
        <v>235000</v>
      </c>
      <c r="P1718" s="4">
        <v>100</v>
      </c>
      <c r="Q1718" s="2">
        <v>45888</v>
      </c>
      <c r="R1718" s="2"/>
      <c r="S1718" s="2">
        <v>45862</v>
      </c>
      <c r="T1718" s="2">
        <v>45888</v>
      </c>
      <c r="U1718" t="str">
        <f t="shared" si="182"/>
        <v>Yes</v>
      </c>
      <c r="W171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54</v>
      </c>
      <c r="X1718" t="str">
        <f t="shared" ca="1" si="183"/>
        <v>Closed</v>
      </c>
      <c r="Y1718" t="str">
        <f t="shared" si="184"/>
        <v>Closed</v>
      </c>
      <c r="Z1718" t="str">
        <f t="shared" si="185"/>
        <v>Jun-2025</v>
      </c>
      <c r="AA1718" t="str">
        <f t="shared" si="186"/>
        <v>Q2 2025</v>
      </c>
      <c r="AB1718" s="4">
        <f t="shared" ca="1" si="187"/>
        <v>365</v>
      </c>
      <c r="AC1718" t="str">
        <f t="shared" si="188"/>
        <v>Medium</v>
      </c>
    </row>
    <row r="1719" spans="1:29">
      <c r="A1719" t="s">
        <v>5982</v>
      </c>
      <c r="B1719" s="2">
        <v>46085</v>
      </c>
      <c r="C1719" t="s">
        <v>921</v>
      </c>
      <c r="D1719" t="s">
        <v>895</v>
      </c>
      <c r="E1719" t="s">
        <v>5983</v>
      </c>
      <c r="F1719" t="s">
        <v>5984</v>
      </c>
      <c r="G1719" t="s">
        <v>179</v>
      </c>
      <c r="H1719" t="s">
        <v>487</v>
      </c>
      <c r="I1719" t="s">
        <v>61</v>
      </c>
      <c r="J1719" t="s">
        <v>37</v>
      </c>
      <c r="K1719" t="s">
        <v>100</v>
      </c>
      <c r="L1719" t="s">
        <v>125</v>
      </c>
      <c r="M1719" t="s">
        <v>40</v>
      </c>
      <c r="N1719" t="s">
        <v>41</v>
      </c>
      <c r="O1719" s="3">
        <v>40000</v>
      </c>
      <c r="P1719" s="4">
        <v>100</v>
      </c>
      <c r="Q1719" s="2">
        <v>46162</v>
      </c>
      <c r="R1719" s="2"/>
      <c r="S1719" s="2">
        <v>46114</v>
      </c>
      <c r="T1719" s="2">
        <v>46162</v>
      </c>
      <c r="U1719" t="str">
        <f t="shared" si="182"/>
        <v>Yes</v>
      </c>
      <c r="W171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77</v>
      </c>
      <c r="X1719" t="str">
        <f t="shared" ca="1" si="183"/>
        <v>Closed</v>
      </c>
      <c r="Y1719" t="str">
        <f t="shared" si="184"/>
        <v>Closed</v>
      </c>
      <c r="Z1719" t="str">
        <f t="shared" si="185"/>
        <v>Mar-2026</v>
      </c>
      <c r="AA1719" t="str">
        <f t="shared" si="186"/>
        <v>Q1 2026</v>
      </c>
      <c r="AB1719" s="4">
        <f t="shared" ca="1" si="187"/>
        <v>114</v>
      </c>
      <c r="AC1719" t="str">
        <f t="shared" si="188"/>
        <v>Low</v>
      </c>
    </row>
    <row r="1720" spans="1:29">
      <c r="A1720" t="s">
        <v>5985</v>
      </c>
      <c r="B1720" s="2">
        <v>45830</v>
      </c>
      <c r="C1720" t="s">
        <v>118</v>
      </c>
      <c r="D1720" t="s">
        <v>1081</v>
      </c>
      <c r="E1720" t="s">
        <v>5986</v>
      </c>
      <c r="F1720" t="s">
        <v>5987</v>
      </c>
      <c r="G1720" t="s">
        <v>34</v>
      </c>
      <c r="H1720" t="s">
        <v>446</v>
      </c>
      <c r="I1720" t="s">
        <v>98</v>
      </c>
      <c r="J1720" t="s">
        <v>99</v>
      </c>
      <c r="K1720" t="s">
        <v>194</v>
      </c>
      <c r="L1720" t="s">
        <v>125</v>
      </c>
      <c r="M1720" t="s">
        <v>116</v>
      </c>
      <c r="N1720" t="s">
        <v>54</v>
      </c>
      <c r="O1720" s="3">
        <v>665000</v>
      </c>
      <c r="P1720" s="4">
        <v>15</v>
      </c>
      <c r="Q1720" s="2">
        <v>45897</v>
      </c>
      <c r="R1720" s="2">
        <v>46238</v>
      </c>
      <c r="S1720" s="2">
        <v>45850</v>
      </c>
      <c r="T1720" s="2"/>
      <c r="U1720" t="str">
        <f t="shared" si="182"/>
        <v>No</v>
      </c>
      <c r="W172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0" t="str">
        <f t="shared" ca="1" si="183"/>
        <v>Due/Open</v>
      </c>
      <c r="Y1720" t="str">
        <f t="shared" si="184"/>
        <v>Open</v>
      </c>
      <c r="Z1720" t="str">
        <f t="shared" si="185"/>
        <v>Jun-2025</v>
      </c>
      <c r="AA1720" t="str">
        <f t="shared" si="186"/>
        <v>Q2 2025</v>
      </c>
      <c r="AB1720" s="4">
        <f t="shared" ca="1" si="187"/>
        <v>369</v>
      </c>
      <c r="AC1720" t="str">
        <f t="shared" si="188"/>
        <v>High</v>
      </c>
    </row>
    <row r="1721" spans="1:29">
      <c r="A1721" t="s">
        <v>5988</v>
      </c>
      <c r="B1721" s="2">
        <v>45705</v>
      </c>
      <c r="C1721" t="s">
        <v>1956</v>
      </c>
      <c r="D1721" t="s">
        <v>767</v>
      </c>
      <c r="E1721" t="s">
        <v>5989</v>
      </c>
      <c r="F1721" t="s">
        <v>5990</v>
      </c>
      <c r="G1721" t="s">
        <v>34</v>
      </c>
      <c r="H1721" t="s">
        <v>446</v>
      </c>
      <c r="I1721" t="s">
        <v>187</v>
      </c>
      <c r="J1721" t="s">
        <v>50</v>
      </c>
      <c r="K1721" t="s">
        <v>51</v>
      </c>
      <c r="L1721" t="s">
        <v>81</v>
      </c>
      <c r="M1721" t="s">
        <v>73</v>
      </c>
      <c r="N1721" t="s">
        <v>73</v>
      </c>
      <c r="O1721" s="3">
        <v>375000</v>
      </c>
      <c r="P1721" s="4">
        <v>80</v>
      </c>
      <c r="Q1721" s="2">
        <v>45792</v>
      </c>
      <c r="R1721" s="2">
        <v>46215</v>
      </c>
      <c r="S1721" s="2">
        <v>45722</v>
      </c>
      <c r="T1721" s="2"/>
      <c r="U1721" t="str">
        <f t="shared" si="182"/>
        <v>No</v>
      </c>
      <c r="W17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1" t="str">
        <f t="shared" ca="1" si="183"/>
        <v>Due/Open</v>
      </c>
      <c r="Y1721" t="str">
        <f t="shared" si="184"/>
        <v>Open</v>
      </c>
      <c r="Z1721" t="str">
        <f t="shared" si="185"/>
        <v>Feb-2025</v>
      </c>
      <c r="AA1721" t="str">
        <f t="shared" si="186"/>
        <v>Q1 2025</v>
      </c>
      <c r="AB1721" s="4">
        <f t="shared" ca="1" si="187"/>
        <v>494</v>
      </c>
      <c r="AC1721" t="str">
        <f t="shared" si="188"/>
        <v>High</v>
      </c>
    </row>
    <row r="1722" spans="1:29">
      <c r="A1722" t="s">
        <v>5991</v>
      </c>
      <c r="B1722" s="2">
        <v>45839</v>
      </c>
      <c r="C1722" t="s">
        <v>5992</v>
      </c>
      <c r="D1722" t="s">
        <v>252</v>
      </c>
      <c r="E1722" t="s">
        <v>5993</v>
      </c>
      <c r="F1722" t="s">
        <v>5994</v>
      </c>
      <c r="G1722" t="s">
        <v>69</v>
      </c>
      <c r="H1722" t="s">
        <v>200</v>
      </c>
      <c r="I1722" t="s">
        <v>141</v>
      </c>
      <c r="J1722" t="s">
        <v>50</v>
      </c>
      <c r="K1722" t="s">
        <v>194</v>
      </c>
      <c r="L1722" t="s">
        <v>239</v>
      </c>
      <c r="M1722" t="s">
        <v>90</v>
      </c>
      <c r="N1722" t="s">
        <v>91</v>
      </c>
      <c r="O1722" s="3">
        <v>495000</v>
      </c>
      <c r="P1722" s="4">
        <v>40</v>
      </c>
      <c r="Q1722" s="2">
        <v>45899</v>
      </c>
      <c r="R1722" s="2">
        <v>46204</v>
      </c>
      <c r="S1722" s="2">
        <v>45848</v>
      </c>
      <c r="T1722" s="2"/>
      <c r="U1722" t="str">
        <f t="shared" si="182"/>
        <v>No</v>
      </c>
      <c r="W17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2" t="str">
        <f t="shared" ca="1" si="183"/>
        <v>Due/Open</v>
      </c>
      <c r="Y1722" t="str">
        <f t="shared" si="184"/>
        <v>Open</v>
      </c>
      <c r="Z1722" t="str">
        <f t="shared" si="185"/>
        <v>Jul-2025</v>
      </c>
      <c r="AA1722" t="str">
        <f t="shared" si="186"/>
        <v>Q3 2025</v>
      </c>
      <c r="AB1722" s="4">
        <f t="shared" ca="1" si="187"/>
        <v>360</v>
      </c>
      <c r="AC1722" t="str">
        <f t="shared" si="188"/>
        <v>High</v>
      </c>
    </row>
    <row r="1723" spans="1:29">
      <c r="A1723" t="s">
        <v>5995</v>
      </c>
      <c r="B1723" s="2">
        <v>45940</v>
      </c>
      <c r="C1723" t="s">
        <v>3226</v>
      </c>
      <c r="D1723" t="s">
        <v>1072</v>
      </c>
      <c r="E1723" t="s">
        <v>5996</v>
      </c>
      <c r="F1723" t="s">
        <v>5997</v>
      </c>
      <c r="G1723" t="s">
        <v>69</v>
      </c>
      <c r="H1723" t="s">
        <v>200</v>
      </c>
      <c r="I1723" t="s">
        <v>187</v>
      </c>
      <c r="J1723" t="s">
        <v>37</v>
      </c>
      <c r="K1723" t="s">
        <v>114</v>
      </c>
      <c r="L1723" t="s">
        <v>81</v>
      </c>
      <c r="M1723" t="s">
        <v>40</v>
      </c>
      <c r="N1723" t="s">
        <v>41</v>
      </c>
      <c r="O1723" s="3">
        <v>105000</v>
      </c>
      <c r="P1723" s="4">
        <v>100</v>
      </c>
      <c r="Q1723" s="2">
        <v>46017</v>
      </c>
      <c r="R1723" s="2"/>
      <c r="S1723" s="2">
        <v>45957</v>
      </c>
      <c r="T1723" s="2">
        <v>46017</v>
      </c>
      <c r="U1723" t="str">
        <f t="shared" si="182"/>
        <v>Yes</v>
      </c>
      <c r="W172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77</v>
      </c>
      <c r="X1723" t="str">
        <f t="shared" ca="1" si="183"/>
        <v>Closed</v>
      </c>
      <c r="Y1723" t="str">
        <f t="shared" si="184"/>
        <v>Closed</v>
      </c>
      <c r="Z1723" t="str">
        <f t="shared" si="185"/>
        <v>Oct-2025</v>
      </c>
      <c r="AA1723" t="str">
        <f t="shared" si="186"/>
        <v>Q4 2025</v>
      </c>
      <c r="AB1723" s="4">
        <f t="shared" ca="1" si="187"/>
        <v>259</v>
      </c>
      <c r="AC1723" t="str">
        <f t="shared" si="188"/>
        <v>Low</v>
      </c>
    </row>
    <row r="1724" spans="1:29">
      <c r="A1724" t="s">
        <v>5998</v>
      </c>
      <c r="B1724" s="2">
        <v>45835</v>
      </c>
      <c r="C1724" t="s">
        <v>5704</v>
      </c>
      <c r="D1724" t="s">
        <v>1118</v>
      </c>
      <c r="E1724" t="s">
        <v>5999</v>
      </c>
      <c r="F1724" t="s">
        <v>6000</v>
      </c>
      <c r="G1724" t="s">
        <v>34</v>
      </c>
      <c r="H1724" t="s">
        <v>446</v>
      </c>
      <c r="I1724" t="s">
        <v>148</v>
      </c>
      <c r="J1724" t="s">
        <v>99</v>
      </c>
      <c r="K1724" t="s">
        <v>194</v>
      </c>
      <c r="L1724" t="s">
        <v>72</v>
      </c>
      <c r="M1724" t="s">
        <v>53</v>
      </c>
      <c r="N1724" t="s">
        <v>54</v>
      </c>
      <c r="O1724" s="3">
        <v>485000</v>
      </c>
      <c r="P1724" s="4">
        <v>25</v>
      </c>
      <c r="Q1724" s="2">
        <v>45923</v>
      </c>
      <c r="R1724" s="2">
        <v>46216</v>
      </c>
      <c r="S1724" s="2">
        <v>45836</v>
      </c>
      <c r="T1724" s="2"/>
      <c r="U1724" t="str">
        <f t="shared" si="182"/>
        <v>No</v>
      </c>
      <c r="W17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4" t="str">
        <f t="shared" ca="1" si="183"/>
        <v>Due/Open</v>
      </c>
      <c r="Y1724" t="str">
        <f t="shared" si="184"/>
        <v>Open</v>
      </c>
      <c r="Z1724" t="str">
        <f t="shared" si="185"/>
        <v>Jun-2025</v>
      </c>
      <c r="AA1724" t="str">
        <f t="shared" si="186"/>
        <v>Q2 2025</v>
      </c>
      <c r="AB1724" s="4">
        <f t="shared" ca="1" si="187"/>
        <v>364</v>
      </c>
      <c r="AC1724" t="str">
        <f t="shared" si="188"/>
        <v>High</v>
      </c>
    </row>
    <row r="1725" spans="1:29">
      <c r="A1725" t="s">
        <v>6001</v>
      </c>
      <c r="B1725" s="2">
        <v>45806</v>
      </c>
      <c r="C1725" t="s">
        <v>2340</v>
      </c>
      <c r="D1725" t="s">
        <v>389</v>
      </c>
      <c r="E1725" t="s">
        <v>6002</v>
      </c>
      <c r="F1725" t="s">
        <v>6003</v>
      </c>
      <c r="G1725" t="s">
        <v>69</v>
      </c>
      <c r="H1725" t="s">
        <v>285</v>
      </c>
      <c r="I1725" t="s">
        <v>49</v>
      </c>
      <c r="J1725" t="s">
        <v>37</v>
      </c>
      <c r="K1725" t="s">
        <v>100</v>
      </c>
      <c r="L1725" t="s">
        <v>142</v>
      </c>
      <c r="M1725" t="s">
        <v>116</v>
      </c>
      <c r="N1725" t="s">
        <v>54</v>
      </c>
      <c r="O1725" s="3">
        <v>60000</v>
      </c>
      <c r="P1725" s="4">
        <v>25</v>
      </c>
      <c r="Q1725" s="2">
        <v>45833</v>
      </c>
      <c r="R1725" s="2">
        <v>46228</v>
      </c>
      <c r="S1725" s="2">
        <v>45829</v>
      </c>
      <c r="T1725" s="2"/>
      <c r="U1725" t="str">
        <f t="shared" si="182"/>
        <v>No</v>
      </c>
      <c r="W17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5" t="str">
        <f t="shared" ca="1" si="183"/>
        <v>Due/Open</v>
      </c>
      <c r="Y1725" t="str">
        <f t="shared" si="184"/>
        <v>Open</v>
      </c>
      <c r="Z1725" t="str">
        <f t="shared" si="185"/>
        <v>May-2025</v>
      </c>
      <c r="AA1725" t="str">
        <f t="shared" si="186"/>
        <v>Q2 2025</v>
      </c>
      <c r="AB1725" s="4">
        <f t="shared" ca="1" si="187"/>
        <v>393</v>
      </c>
      <c r="AC1725" t="str">
        <f t="shared" si="188"/>
        <v>Low</v>
      </c>
    </row>
    <row r="1726" spans="1:29">
      <c r="A1726" t="s">
        <v>6004</v>
      </c>
      <c r="B1726" s="2">
        <v>46096</v>
      </c>
      <c r="C1726" t="s">
        <v>175</v>
      </c>
      <c r="D1726" t="s">
        <v>315</v>
      </c>
      <c r="E1726" t="s">
        <v>6005</v>
      </c>
      <c r="F1726" t="s">
        <v>6006</v>
      </c>
      <c r="G1726" t="s">
        <v>47</v>
      </c>
      <c r="H1726" t="s">
        <v>89</v>
      </c>
      <c r="I1726" t="s">
        <v>187</v>
      </c>
      <c r="J1726" t="s">
        <v>62</v>
      </c>
      <c r="K1726" t="s">
        <v>71</v>
      </c>
      <c r="L1726" t="s">
        <v>63</v>
      </c>
      <c r="M1726" t="s">
        <v>73</v>
      </c>
      <c r="N1726" t="s">
        <v>73</v>
      </c>
      <c r="O1726" s="3">
        <v>440000</v>
      </c>
      <c r="P1726" s="4">
        <v>80</v>
      </c>
      <c r="Q1726" s="2">
        <v>46163</v>
      </c>
      <c r="R1726" s="2">
        <v>46221</v>
      </c>
      <c r="S1726" s="2">
        <v>46126</v>
      </c>
      <c r="T1726" s="2"/>
      <c r="U1726" t="str">
        <f t="shared" si="182"/>
        <v>No</v>
      </c>
      <c r="W17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6" t="str">
        <f t="shared" ca="1" si="183"/>
        <v>Due/Open</v>
      </c>
      <c r="Y1726" t="str">
        <f t="shared" si="184"/>
        <v>Open</v>
      </c>
      <c r="Z1726" t="str">
        <f t="shared" si="185"/>
        <v>Mar-2026</v>
      </c>
      <c r="AA1726" t="str">
        <f t="shared" si="186"/>
        <v>Q1 2026</v>
      </c>
      <c r="AB1726" s="4">
        <f t="shared" ca="1" si="187"/>
        <v>103</v>
      </c>
      <c r="AC1726" t="str">
        <f t="shared" si="188"/>
        <v>High</v>
      </c>
    </row>
    <row r="1727" spans="1:29">
      <c r="A1727" t="s">
        <v>6007</v>
      </c>
      <c r="B1727" s="2">
        <v>46090</v>
      </c>
      <c r="C1727" t="s">
        <v>1226</v>
      </c>
      <c r="D1727" t="s">
        <v>304</v>
      </c>
      <c r="E1727" t="s">
        <v>6008</v>
      </c>
      <c r="F1727" t="s">
        <v>6009</v>
      </c>
      <c r="G1727" t="s">
        <v>179</v>
      </c>
      <c r="H1727" t="s">
        <v>487</v>
      </c>
      <c r="I1727" t="s">
        <v>148</v>
      </c>
      <c r="J1727" t="s">
        <v>124</v>
      </c>
      <c r="K1727" t="s">
        <v>194</v>
      </c>
      <c r="L1727" t="s">
        <v>81</v>
      </c>
      <c r="M1727" t="s">
        <v>116</v>
      </c>
      <c r="N1727" t="s">
        <v>54</v>
      </c>
      <c r="O1727" s="3">
        <v>105000</v>
      </c>
      <c r="P1727" s="4">
        <v>20</v>
      </c>
      <c r="Q1727" s="2">
        <v>46170</v>
      </c>
      <c r="R1727" s="2">
        <v>46232</v>
      </c>
      <c r="S1727" s="2">
        <v>46093</v>
      </c>
      <c r="T1727" s="2"/>
      <c r="U1727" t="str">
        <f t="shared" si="182"/>
        <v>No</v>
      </c>
      <c r="W17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7" t="str">
        <f t="shared" ca="1" si="183"/>
        <v>Due/Open</v>
      </c>
      <c r="Y1727" t="str">
        <f t="shared" si="184"/>
        <v>Open</v>
      </c>
      <c r="Z1727" t="str">
        <f t="shared" si="185"/>
        <v>Mar-2026</v>
      </c>
      <c r="AA1727" t="str">
        <f t="shared" si="186"/>
        <v>Q1 2026</v>
      </c>
      <c r="AB1727" s="4">
        <f t="shared" ca="1" si="187"/>
        <v>109</v>
      </c>
      <c r="AC1727" t="str">
        <f t="shared" si="188"/>
        <v>Low</v>
      </c>
    </row>
    <row r="1728" spans="1:29">
      <c r="A1728" t="s">
        <v>6010</v>
      </c>
      <c r="B1728" s="2">
        <v>45900</v>
      </c>
      <c r="C1728" t="s">
        <v>2939</v>
      </c>
      <c r="D1728" t="s">
        <v>573</v>
      </c>
      <c r="E1728" t="s">
        <v>6011</v>
      </c>
      <c r="F1728" t="s">
        <v>6012</v>
      </c>
      <c r="G1728" t="s">
        <v>47</v>
      </c>
      <c r="H1728" t="s">
        <v>48</v>
      </c>
      <c r="I1728" t="s">
        <v>49</v>
      </c>
      <c r="J1728" t="s">
        <v>50</v>
      </c>
      <c r="K1728" t="s">
        <v>114</v>
      </c>
      <c r="L1728" t="s">
        <v>52</v>
      </c>
      <c r="M1728" t="s">
        <v>116</v>
      </c>
      <c r="N1728" t="s">
        <v>54</v>
      </c>
      <c r="O1728" s="3">
        <v>305000</v>
      </c>
      <c r="P1728" s="4">
        <v>20</v>
      </c>
      <c r="Q1728" s="2">
        <v>45943</v>
      </c>
      <c r="R1728" s="2">
        <v>46164</v>
      </c>
      <c r="S1728" s="2">
        <v>45920</v>
      </c>
      <c r="T1728" s="2"/>
      <c r="U1728" t="str">
        <f t="shared" si="182"/>
        <v>No</v>
      </c>
      <c r="W17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8" t="str">
        <f t="shared" ca="1" si="183"/>
        <v>Overdue</v>
      </c>
      <c r="Y1728" t="str">
        <f t="shared" si="184"/>
        <v>Open</v>
      </c>
      <c r="Z1728" t="str">
        <f t="shared" si="185"/>
        <v>Aug-2025</v>
      </c>
      <c r="AA1728" t="str">
        <f t="shared" si="186"/>
        <v>Q3 2025</v>
      </c>
      <c r="AB1728" s="4">
        <f t="shared" ca="1" si="187"/>
        <v>299</v>
      </c>
      <c r="AC1728" t="str">
        <f t="shared" si="188"/>
        <v>High</v>
      </c>
    </row>
    <row r="1729" spans="1:29">
      <c r="A1729" t="s">
        <v>6013</v>
      </c>
      <c r="B1729" s="2">
        <v>46022</v>
      </c>
      <c r="C1729" t="s">
        <v>5666</v>
      </c>
      <c r="D1729" t="s">
        <v>322</v>
      </c>
      <c r="E1729" t="s">
        <v>6014</v>
      </c>
      <c r="F1729" t="s">
        <v>6015</v>
      </c>
      <c r="G1729" t="s">
        <v>179</v>
      </c>
      <c r="H1729" t="s">
        <v>487</v>
      </c>
      <c r="I1729" t="s">
        <v>187</v>
      </c>
      <c r="J1729" t="s">
        <v>62</v>
      </c>
      <c r="K1729" t="s">
        <v>114</v>
      </c>
      <c r="L1729" t="s">
        <v>72</v>
      </c>
      <c r="M1729" t="s">
        <v>166</v>
      </c>
      <c r="N1729" t="s">
        <v>167</v>
      </c>
      <c r="O1729" s="3">
        <v>270000</v>
      </c>
      <c r="P1729" s="4">
        <v>60</v>
      </c>
      <c r="Q1729" s="2">
        <v>46080</v>
      </c>
      <c r="R1729" s="2">
        <v>46224</v>
      </c>
      <c r="S1729" s="2">
        <v>46025</v>
      </c>
      <c r="T1729" s="2"/>
      <c r="U1729" t="str">
        <f t="shared" si="182"/>
        <v>No</v>
      </c>
      <c r="W17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29" t="str">
        <f t="shared" ca="1" si="183"/>
        <v>Due/Open</v>
      </c>
      <c r="Y1729" t="str">
        <f t="shared" si="184"/>
        <v>Open</v>
      </c>
      <c r="Z1729" t="str">
        <f t="shared" si="185"/>
        <v>Dec-2025</v>
      </c>
      <c r="AA1729" t="str">
        <f t="shared" si="186"/>
        <v>Q4 2025</v>
      </c>
      <c r="AB1729" s="4">
        <f t="shared" ca="1" si="187"/>
        <v>177</v>
      </c>
      <c r="AC1729" t="str">
        <f t="shared" si="188"/>
        <v>Medium</v>
      </c>
    </row>
    <row r="1730" spans="1:29">
      <c r="A1730" t="s">
        <v>6016</v>
      </c>
      <c r="B1730" s="2">
        <v>46150</v>
      </c>
      <c r="C1730" t="s">
        <v>1490</v>
      </c>
      <c r="D1730" t="s">
        <v>1012</v>
      </c>
      <c r="E1730" t="s">
        <v>6017</v>
      </c>
      <c r="F1730" t="s">
        <v>6018</v>
      </c>
      <c r="G1730" t="s">
        <v>47</v>
      </c>
      <c r="H1730" t="s">
        <v>89</v>
      </c>
      <c r="I1730" t="s">
        <v>148</v>
      </c>
      <c r="J1730" t="s">
        <v>50</v>
      </c>
      <c r="K1730" t="s">
        <v>51</v>
      </c>
      <c r="L1730" t="s">
        <v>63</v>
      </c>
      <c r="M1730" t="s">
        <v>53</v>
      </c>
      <c r="N1730" t="s">
        <v>54</v>
      </c>
      <c r="O1730" s="3">
        <v>360000</v>
      </c>
      <c r="P1730" s="4">
        <v>30</v>
      </c>
      <c r="Q1730" s="2">
        <v>46172</v>
      </c>
      <c r="R1730" s="2">
        <v>46158</v>
      </c>
      <c r="S1730" s="2">
        <v>46163</v>
      </c>
      <c r="T1730" s="2"/>
      <c r="U1730" t="str">
        <f t="shared" ref="U1730:U1793" si="189">IF(M1730="Converted","Yes","No")</f>
        <v>No</v>
      </c>
      <c r="W17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0" t="str">
        <f t="shared" ref="X1730:X1793" ca="1" si="190">IF(OR(M1730="Converted",M1730="Lost",M1730="Not Interested"),"Closed",IF(R1730&lt;TODAY(),"Overdue","Due/Open"))</f>
        <v>Overdue</v>
      </c>
      <c r="Y1730" t="str">
        <f t="shared" ref="Y1730:Y1793" si="191">IF(OR(M1730="Converted",M1730="Lost",M1730="Not Interested"),"Closed","Open")</f>
        <v>Open</v>
      </c>
      <c r="Z1730" t="str">
        <f t="shared" ref="Z1730:Z1793" si="192">TEXT(B1730,"mmm-yyyy")</f>
        <v>May-2026</v>
      </c>
      <c r="AA1730" t="str">
        <f t="shared" ref="AA1730:AA1793" si="193">"Q"&amp;ROUNDUP(MONTH(B1730)/3,0)&amp;" "&amp;YEAR(B1730)</f>
        <v>Q2 2026</v>
      </c>
      <c r="AB1730" s="4">
        <f t="shared" ref="AB1730:AB1793" ca="1" si="194">TODAY()-B1730</f>
        <v>49</v>
      </c>
      <c r="AC1730" t="str">
        <f t="shared" ref="AC1730:AC1793" si="195">IF(O1730&gt;=300000,"High",IF(O1730&gt;=120000,"Medium","Low"))</f>
        <v>High</v>
      </c>
    </row>
    <row r="1731" spans="1:29">
      <c r="A1731" t="s">
        <v>6019</v>
      </c>
      <c r="B1731" s="2">
        <v>45666</v>
      </c>
      <c r="C1731" t="s">
        <v>551</v>
      </c>
      <c r="D1731" t="s">
        <v>183</v>
      </c>
      <c r="E1731" t="s">
        <v>6020</v>
      </c>
      <c r="F1731" t="s">
        <v>6021</v>
      </c>
      <c r="G1731" t="s">
        <v>69</v>
      </c>
      <c r="H1731" t="s">
        <v>285</v>
      </c>
      <c r="I1731" t="s">
        <v>36</v>
      </c>
      <c r="J1731" t="s">
        <v>50</v>
      </c>
      <c r="K1731" t="s">
        <v>51</v>
      </c>
      <c r="L1731" t="s">
        <v>39</v>
      </c>
      <c r="M1731" t="s">
        <v>90</v>
      </c>
      <c r="N1731" t="s">
        <v>91</v>
      </c>
      <c r="O1731" s="3">
        <v>350000</v>
      </c>
      <c r="P1731" s="4">
        <v>40</v>
      </c>
      <c r="Q1731" s="2">
        <v>45746</v>
      </c>
      <c r="R1731" s="2">
        <v>46226</v>
      </c>
      <c r="S1731" s="2">
        <v>45669</v>
      </c>
      <c r="T1731" s="2"/>
      <c r="U1731" t="str">
        <f t="shared" si="189"/>
        <v>No</v>
      </c>
      <c r="W17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1" t="str">
        <f t="shared" ca="1" si="190"/>
        <v>Due/Open</v>
      </c>
      <c r="Y1731" t="str">
        <f t="shared" si="191"/>
        <v>Open</v>
      </c>
      <c r="Z1731" t="str">
        <f t="shared" si="192"/>
        <v>Jan-2025</v>
      </c>
      <c r="AA1731" t="str">
        <f t="shared" si="193"/>
        <v>Q1 2025</v>
      </c>
      <c r="AB1731" s="4">
        <f t="shared" ca="1" si="194"/>
        <v>533</v>
      </c>
      <c r="AC1731" t="str">
        <f t="shared" si="195"/>
        <v>High</v>
      </c>
    </row>
    <row r="1732" spans="1:29">
      <c r="A1732" t="s">
        <v>6022</v>
      </c>
      <c r="B1732" s="2">
        <v>45766</v>
      </c>
      <c r="C1732" t="s">
        <v>1825</v>
      </c>
      <c r="D1732" t="s">
        <v>157</v>
      </c>
      <c r="E1732" t="s">
        <v>6023</v>
      </c>
      <c r="F1732" t="s">
        <v>6024</v>
      </c>
      <c r="G1732" t="s">
        <v>79</v>
      </c>
      <c r="H1732" t="s">
        <v>97</v>
      </c>
      <c r="I1732" t="s">
        <v>49</v>
      </c>
      <c r="J1732" t="s">
        <v>50</v>
      </c>
      <c r="K1732" t="s">
        <v>114</v>
      </c>
      <c r="L1732" t="s">
        <v>239</v>
      </c>
      <c r="M1732" t="s">
        <v>82</v>
      </c>
      <c r="N1732" t="s">
        <v>83</v>
      </c>
      <c r="O1732" s="3">
        <v>545000</v>
      </c>
      <c r="P1732" s="4">
        <v>5</v>
      </c>
      <c r="Q1732" s="2">
        <v>45794</v>
      </c>
      <c r="R1732" s="2">
        <v>46237</v>
      </c>
      <c r="S1732" s="2">
        <v>45786</v>
      </c>
      <c r="T1732" s="2"/>
      <c r="U1732" t="str">
        <f t="shared" si="189"/>
        <v>No</v>
      </c>
      <c r="W17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2" t="str">
        <f t="shared" ca="1" si="190"/>
        <v>Due/Open</v>
      </c>
      <c r="Y1732" t="str">
        <f t="shared" si="191"/>
        <v>Open</v>
      </c>
      <c r="Z1732" t="str">
        <f t="shared" si="192"/>
        <v>Apr-2025</v>
      </c>
      <c r="AA1732" t="str">
        <f t="shared" si="193"/>
        <v>Q2 2025</v>
      </c>
      <c r="AB1732" s="4">
        <f t="shared" ca="1" si="194"/>
        <v>433</v>
      </c>
      <c r="AC1732" t="str">
        <f t="shared" si="195"/>
        <v>High</v>
      </c>
    </row>
    <row r="1733" spans="1:29">
      <c r="A1733" t="s">
        <v>6025</v>
      </c>
      <c r="B1733" s="2">
        <v>45682</v>
      </c>
      <c r="C1733" t="s">
        <v>241</v>
      </c>
      <c r="D1733" t="s">
        <v>784</v>
      </c>
      <c r="E1733" t="s">
        <v>6026</v>
      </c>
      <c r="F1733" t="s">
        <v>6027</v>
      </c>
      <c r="G1733" t="s">
        <v>79</v>
      </c>
      <c r="H1733" t="s">
        <v>106</v>
      </c>
      <c r="I1733" t="s">
        <v>148</v>
      </c>
      <c r="J1733" t="s">
        <v>99</v>
      </c>
      <c r="K1733" t="s">
        <v>38</v>
      </c>
      <c r="L1733" t="s">
        <v>72</v>
      </c>
      <c r="M1733" t="s">
        <v>116</v>
      </c>
      <c r="N1733" t="s">
        <v>54</v>
      </c>
      <c r="O1733" s="3">
        <v>690000</v>
      </c>
      <c r="P1733" s="4">
        <v>15</v>
      </c>
      <c r="Q1733" s="2">
        <v>45729</v>
      </c>
      <c r="R1733" s="2">
        <v>46157</v>
      </c>
      <c r="S1733" s="2">
        <v>45691</v>
      </c>
      <c r="T1733" s="2"/>
      <c r="U1733" t="str">
        <f t="shared" si="189"/>
        <v>No</v>
      </c>
      <c r="W17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3" t="str">
        <f t="shared" ca="1" si="190"/>
        <v>Overdue</v>
      </c>
      <c r="Y1733" t="str">
        <f t="shared" si="191"/>
        <v>Open</v>
      </c>
      <c r="Z1733" t="str">
        <f t="shared" si="192"/>
        <v>Jan-2025</v>
      </c>
      <c r="AA1733" t="str">
        <f t="shared" si="193"/>
        <v>Q1 2025</v>
      </c>
      <c r="AB1733" s="4">
        <f t="shared" ca="1" si="194"/>
        <v>517</v>
      </c>
      <c r="AC1733" t="str">
        <f t="shared" si="195"/>
        <v>High</v>
      </c>
    </row>
    <row r="1734" spans="1:29">
      <c r="A1734" t="s">
        <v>6028</v>
      </c>
      <c r="B1734" s="2">
        <v>45930</v>
      </c>
      <c r="C1734" t="s">
        <v>2682</v>
      </c>
      <c r="D1734" t="s">
        <v>94</v>
      </c>
      <c r="E1734" t="s">
        <v>6029</v>
      </c>
      <c r="F1734" t="s">
        <v>6030</v>
      </c>
      <c r="G1734" t="s">
        <v>47</v>
      </c>
      <c r="H1734" t="s">
        <v>493</v>
      </c>
      <c r="I1734" t="s">
        <v>36</v>
      </c>
      <c r="J1734" t="s">
        <v>124</v>
      </c>
      <c r="K1734" t="s">
        <v>71</v>
      </c>
      <c r="L1734" t="s">
        <v>154</v>
      </c>
      <c r="M1734" t="s">
        <v>40</v>
      </c>
      <c r="N1734" t="s">
        <v>41</v>
      </c>
      <c r="O1734" s="3">
        <v>165000</v>
      </c>
      <c r="P1734" s="4">
        <v>100</v>
      </c>
      <c r="Q1734" s="2">
        <v>45940</v>
      </c>
      <c r="R1734" s="2"/>
      <c r="S1734" s="2">
        <v>45957</v>
      </c>
      <c r="T1734" s="2">
        <v>45940</v>
      </c>
      <c r="U1734" t="str">
        <f t="shared" si="189"/>
        <v>Yes</v>
      </c>
      <c r="W173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734" t="str">
        <f t="shared" ca="1" si="190"/>
        <v>Closed</v>
      </c>
      <c r="Y1734" t="str">
        <f t="shared" si="191"/>
        <v>Closed</v>
      </c>
      <c r="Z1734" t="str">
        <f t="shared" si="192"/>
        <v>Sep-2025</v>
      </c>
      <c r="AA1734" t="str">
        <f t="shared" si="193"/>
        <v>Q3 2025</v>
      </c>
      <c r="AB1734" s="4">
        <f t="shared" ca="1" si="194"/>
        <v>269</v>
      </c>
      <c r="AC1734" t="str">
        <f t="shared" si="195"/>
        <v>Medium</v>
      </c>
    </row>
    <row r="1735" spans="1:29">
      <c r="A1735" t="s">
        <v>6031</v>
      </c>
      <c r="B1735" s="2">
        <v>46088</v>
      </c>
      <c r="C1735" t="s">
        <v>3507</v>
      </c>
      <c r="D1735" t="s">
        <v>1269</v>
      </c>
      <c r="E1735" t="s">
        <v>6032</v>
      </c>
      <c r="F1735" t="s">
        <v>6033</v>
      </c>
      <c r="G1735" t="s">
        <v>179</v>
      </c>
      <c r="H1735" t="s">
        <v>436</v>
      </c>
      <c r="I1735" t="s">
        <v>98</v>
      </c>
      <c r="J1735" t="s">
        <v>50</v>
      </c>
      <c r="K1735" t="s">
        <v>114</v>
      </c>
      <c r="L1735" t="s">
        <v>52</v>
      </c>
      <c r="M1735" t="s">
        <v>210</v>
      </c>
      <c r="N1735" t="s">
        <v>134</v>
      </c>
      <c r="O1735" s="3">
        <v>165000</v>
      </c>
      <c r="P1735" s="4">
        <v>0</v>
      </c>
      <c r="Q1735" s="2">
        <v>46135</v>
      </c>
      <c r="R1735" s="2"/>
      <c r="S1735" s="2">
        <v>46107</v>
      </c>
      <c r="T1735" s="2">
        <v>46135</v>
      </c>
      <c r="U1735" t="str">
        <f t="shared" si="189"/>
        <v>No</v>
      </c>
      <c r="V1735" t="s">
        <v>319</v>
      </c>
      <c r="W173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1735" t="str">
        <f t="shared" ca="1" si="190"/>
        <v>Closed</v>
      </c>
      <c r="Y1735" t="str">
        <f t="shared" si="191"/>
        <v>Closed</v>
      </c>
      <c r="Z1735" t="str">
        <f t="shared" si="192"/>
        <v>Mar-2026</v>
      </c>
      <c r="AA1735" t="str">
        <f t="shared" si="193"/>
        <v>Q1 2026</v>
      </c>
      <c r="AB1735" s="4">
        <f t="shared" ca="1" si="194"/>
        <v>111</v>
      </c>
      <c r="AC1735" t="str">
        <f t="shared" si="195"/>
        <v>Medium</v>
      </c>
    </row>
    <row r="1736" spans="1:29">
      <c r="A1736" t="s">
        <v>6034</v>
      </c>
      <c r="B1736" s="2">
        <v>45889</v>
      </c>
      <c r="C1736" t="s">
        <v>1370</v>
      </c>
      <c r="D1736" t="s">
        <v>1722</v>
      </c>
      <c r="E1736" t="s">
        <v>6035</v>
      </c>
      <c r="F1736" t="s">
        <v>6036</v>
      </c>
      <c r="G1736" t="s">
        <v>69</v>
      </c>
      <c r="H1736" t="s">
        <v>70</v>
      </c>
      <c r="I1736" t="s">
        <v>148</v>
      </c>
      <c r="J1736" t="s">
        <v>50</v>
      </c>
      <c r="K1736" t="s">
        <v>38</v>
      </c>
      <c r="L1736" t="s">
        <v>125</v>
      </c>
      <c r="M1736" t="s">
        <v>90</v>
      </c>
      <c r="N1736" t="s">
        <v>91</v>
      </c>
      <c r="O1736" s="3">
        <v>140000</v>
      </c>
      <c r="P1736" s="4">
        <v>50</v>
      </c>
      <c r="Q1736" s="2">
        <v>45944</v>
      </c>
      <c r="R1736" s="2">
        <v>46233</v>
      </c>
      <c r="S1736" s="2">
        <v>45895</v>
      </c>
      <c r="T1736" s="2"/>
      <c r="U1736" t="str">
        <f t="shared" si="189"/>
        <v>No</v>
      </c>
      <c r="W17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6" t="str">
        <f t="shared" ca="1" si="190"/>
        <v>Due/Open</v>
      </c>
      <c r="Y1736" t="str">
        <f t="shared" si="191"/>
        <v>Open</v>
      </c>
      <c r="Z1736" t="str">
        <f t="shared" si="192"/>
        <v>Aug-2025</v>
      </c>
      <c r="AA1736" t="str">
        <f t="shared" si="193"/>
        <v>Q3 2025</v>
      </c>
      <c r="AB1736" s="4">
        <f t="shared" ca="1" si="194"/>
        <v>310</v>
      </c>
      <c r="AC1736" t="str">
        <f t="shared" si="195"/>
        <v>Medium</v>
      </c>
    </row>
    <row r="1737" spans="1:29">
      <c r="A1737" t="s">
        <v>6037</v>
      </c>
      <c r="B1737" s="2">
        <v>46158</v>
      </c>
      <c r="C1737" t="s">
        <v>1555</v>
      </c>
      <c r="D1737" t="s">
        <v>304</v>
      </c>
      <c r="E1737" t="s">
        <v>6038</v>
      </c>
      <c r="F1737" t="s">
        <v>6039</v>
      </c>
      <c r="G1737" t="s">
        <v>34</v>
      </c>
      <c r="H1737" t="s">
        <v>160</v>
      </c>
      <c r="I1737" t="s">
        <v>141</v>
      </c>
      <c r="J1737" t="s">
        <v>62</v>
      </c>
      <c r="K1737" t="s">
        <v>194</v>
      </c>
      <c r="L1737" t="s">
        <v>81</v>
      </c>
      <c r="M1737" t="s">
        <v>40</v>
      </c>
      <c r="N1737" t="s">
        <v>41</v>
      </c>
      <c r="O1737" s="3">
        <v>315000</v>
      </c>
      <c r="P1737" s="4">
        <v>100</v>
      </c>
      <c r="Q1737" s="2">
        <v>46187</v>
      </c>
      <c r="R1737" s="2"/>
      <c r="S1737" s="2">
        <v>46184</v>
      </c>
      <c r="T1737" s="2">
        <v>46187</v>
      </c>
      <c r="U1737" t="str">
        <f t="shared" si="189"/>
        <v>Yes</v>
      </c>
      <c r="W17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1737" t="str">
        <f t="shared" ca="1" si="190"/>
        <v>Closed</v>
      </c>
      <c r="Y1737" t="str">
        <f t="shared" si="191"/>
        <v>Closed</v>
      </c>
      <c r="Z1737" t="str">
        <f t="shared" si="192"/>
        <v>May-2026</v>
      </c>
      <c r="AA1737" t="str">
        <f t="shared" si="193"/>
        <v>Q2 2026</v>
      </c>
      <c r="AB1737" s="4">
        <f t="shared" ca="1" si="194"/>
        <v>41</v>
      </c>
      <c r="AC1737" t="str">
        <f t="shared" si="195"/>
        <v>High</v>
      </c>
    </row>
    <row r="1738" spans="1:29">
      <c r="A1738" t="s">
        <v>6040</v>
      </c>
      <c r="B1738" s="2">
        <v>45834</v>
      </c>
      <c r="C1738" t="s">
        <v>256</v>
      </c>
      <c r="D1738" t="s">
        <v>1416</v>
      </c>
      <c r="E1738" t="s">
        <v>6041</v>
      </c>
      <c r="F1738" t="s">
        <v>6042</v>
      </c>
      <c r="G1738" t="s">
        <v>47</v>
      </c>
      <c r="H1738" t="s">
        <v>89</v>
      </c>
      <c r="I1738" t="s">
        <v>36</v>
      </c>
      <c r="J1738" t="s">
        <v>131</v>
      </c>
      <c r="K1738" t="s">
        <v>38</v>
      </c>
      <c r="L1738" t="s">
        <v>72</v>
      </c>
      <c r="M1738" t="s">
        <v>116</v>
      </c>
      <c r="N1738" t="s">
        <v>54</v>
      </c>
      <c r="O1738" s="3">
        <v>200000</v>
      </c>
      <c r="P1738" s="4">
        <v>15</v>
      </c>
      <c r="Q1738" s="2">
        <v>45865</v>
      </c>
      <c r="R1738" s="2">
        <v>46204</v>
      </c>
      <c r="S1738" s="2">
        <v>45858</v>
      </c>
      <c r="T1738" s="2"/>
      <c r="U1738" t="str">
        <f t="shared" si="189"/>
        <v>No</v>
      </c>
      <c r="W17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8" t="str">
        <f t="shared" ca="1" si="190"/>
        <v>Due/Open</v>
      </c>
      <c r="Y1738" t="str">
        <f t="shared" si="191"/>
        <v>Open</v>
      </c>
      <c r="Z1738" t="str">
        <f t="shared" si="192"/>
        <v>Jun-2025</v>
      </c>
      <c r="AA1738" t="str">
        <f t="shared" si="193"/>
        <v>Q2 2025</v>
      </c>
      <c r="AB1738" s="4">
        <f t="shared" ca="1" si="194"/>
        <v>365</v>
      </c>
      <c r="AC1738" t="str">
        <f t="shared" si="195"/>
        <v>Medium</v>
      </c>
    </row>
    <row r="1739" spans="1:29">
      <c r="A1739" t="s">
        <v>6043</v>
      </c>
      <c r="B1739" s="2">
        <v>45800</v>
      </c>
      <c r="C1739" t="s">
        <v>3048</v>
      </c>
      <c r="D1739" t="s">
        <v>676</v>
      </c>
      <c r="E1739" t="s">
        <v>6044</v>
      </c>
      <c r="F1739" t="s">
        <v>6045</v>
      </c>
      <c r="G1739" t="s">
        <v>34</v>
      </c>
      <c r="H1739" t="s">
        <v>238</v>
      </c>
      <c r="I1739" t="s">
        <v>36</v>
      </c>
      <c r="J1739" t="s">
        <v>50</v>
      </c>
      <c r="K1739" t="s">
        <v>100</v>
      </c>
      <c r="L1739" t="s">
        <v>154</v>
      </c>
      <c r="M1739" t="s">
        <v>90</v>
      </c>
      <c r="N1739" t="s">
        <v>91</v>
      </c>
      <c r="O1739" s="3">
        <v>285000</v>
      </c>
      <c r="P1739" s="4">
        <v>50</v>
      </c>
      <c r="Q1739" s="2">
        <v>45855</v>
      </c>
      <c r="R1739" s="2">
        <v>46220</v>
      </c>
      <c r="S1739" s="2">
        <v>45824</v>
      </c>
      <c r="T1739" s="2"/>
      <c r="U1739" t="str">
        <f t="shared" si="189"/>
        <v>No</v>
      </c>
      <c r="W17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39" t="str">
        <f t="shared" ca="1" si="190"/>
        <v>Due/Open</v>
      </c>
      <c r="Y1739" t="str">
        <f t="shared" si="191"/>
        <v>Open</v>
      </c>
      <c r="Z1739" t="str">
        <f t="shared" si="192"/>
        <v>May-2025</v>
      </c>
      <c r="AA1739" t="str">
        <f t="shared" si="193"/>
        <v>Q2 2025</v>
      </c>
      <c r="AB1739" s="4">
        <f t="shared" ca="1" si="194"/>
        <v>399</v>
      </c>
      <c r="AC1739" t="str">
        <f t="shared" si="195"/>
        <v>Medium</v>
      </c>
    </row>
    <row r="1740" spans="1:29">
      <c r="A1740" t="s">
        <v>6046</v>
      </c>
      <c r="B1740" s="2">
        <v>45963</v>
      </c>
      <c r="C1740" t="s">
        <v>830</v>
      </c>
      <c r="D1740" t="s">
        <v>170</v>
      </c>
      <c r="E1740" t="s">
        <v>6047</v>
      </c>
      <c r="F1740" t="s">
        <v>6048</v>
      </c>
      <c r="G1740" t="s">
        <v>47</v>
      </c>
      <c r="H1740" t="s">
        <v>48</v>
      </c>
      <c r="I1740" t="s">
        <v>98</v>
      </c>
      <c r="J1740" t="s">
        <v>131</v>
      </c>
      <c r="K1740" t="s">
        <v>100</v>
      </c>
      <c r="L1740" t="s">
        <v>52</v>
      </c>
      <c r="M1740" t="s">
        <v>73</v>
      </c>
      <c r="N1740" t="s">
        <v>73</v>
      </c>
      <c r="O1740" s="3">
        <v>115000</v>
      </c>
      <c r="P1740" s="4">
        <v>80</v>
      </c>
      <c r="Q1740" s="2">
        <v>45988</v>
      </c>
      <c r="R1740" s="2">
        <v>46241</v>
      </c>
      <c r="S1740" s="2">
        <v>45985</v>
      </c>
      <c r="T1740" s="2"/>
      <c r="U1740" t="str">
        <f t="shared" si="189"/>
        <v>No</v>
      </c>
      <c r="W174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0" t="str">
        <f t="shared" ca="1" si="190"/>
        <v>Due/Open</v>
      </c>
      <c r="Y1740" t="str">
        <f t="shared" si="191"/>
        <v>Open</v>
      </c>
      <c r="Z1740" t="str">
        <f t="shared" si="192"/>
        <v>Nov-2025</v>
      </c>
      <c r="AA1740" t="str">
        <f t="shared" si="193"/>
        <v>Q4 2025</v>
      </c>
      <c r="AB1740" s="4">
        <f t="shared" ca="1" si="194"/>
        <v>236</v>
      </c>
      <c r="AC1740" t="str">
        <f t="shared" si="195"/>
        <v>Low</v>
      </c>
    </row>
    <row r="1741" spans="1:29">
      <c r="A1741" t="s">
        <v>6049</v>
      </c>
      <c r="B1741" s="2">
        <v>45908</v>
      </c>
      <c r="C1741" t="s">
        <v>6050</v>
      </c>
      <c r="D1741" t="s">
        <v>627</v>
      </c>
      <c r="E1741" t="s">
        <v>6051</v>
      </c>
      <c r="F1741" t="s">
        <v>6052</v>
      </c>
      <c r="G1741" t="s">
        <v>79</v>
      </c>
      <c r="H1741" t="s">
        <v>80</v>
      </c>
      <c r="I1741" t="s">
        <v>98</v>
      </c>
      <c r="J1741" t="s">
        <v>99</v>
      </c>
      <c r="K1741" t="s">
        <v>51</v>
      </c>
      <c r="L1741" t="s">
        <v>63</v>
      </c>
      <c r="M1741" t="s">
        <v>73</v>
      </c>
      <c r="N1741" t="s">
        <v>73</v>
      </c>
      <c r="O1741" s="3">
        <v>315000</v>
      </c>
      <c r="P1741" s="4">
        <v>75</v>
      </c>
      <c r="Q1741" s="2">
        <v>45964</v>
      </c>
      <c r="R1741" s="2">
        <v>46221</v>
      </c>
      <c r="S1741" s="2">
        <v>45926</v>
      </c>
      <c r="T1741" s="2"/>
      <c r="U1741" t="str">
        <f t="shared" si="189"/>
        <v>No</v>
      </c>
      <c r="W17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1" t="str">
        <f t="shared" ca="1" si="190"/>
        <v>Due/Open</v>
      </c>
      <c r="Y1741" t="str">
        <f t="shared" si="191"/>
        <v>Open</v>
      </c>
      <c r="Z1741" t="str">
        <f t="shared" si="192"/>
        <v>Sep-2025</v>
      </c>
      <c r="AA1741" t="str">
        <f t="shared" si="193"/>
        <v>Q3 2025</v>
      </c>
      <c r="AB1741" s="4">
        <f t="shared" ca="1" si="194"/>
        <v>291</v>
      </c>
      <c r="AC1741" t="str">
        <f t="shared" si="195"/>
        <v>High</v>
      </c>
    </row>
    <row r="1742" spans="1:29">
      <c r="A1742" t="s">
        <v>6053</v>
      </c>
      <c r="B1742" s="2">
        <v>45857</v>
      </c>
      <c r="C1742" t="s">
        <v>483</v>
      </c>
      <c r="D1742" t="s">
        <v>1937</v>
      </c>
      <c r="E1742" t="s">
        <v>6054</v>
      </c>
      <c r="F1742" t="s">
        <v>6055</v>
      </c>
      <c r="G1742" t="s">
        <v>47</v>
      </c>
      <c r="H1742" t="s">
        <v>493</v>
      </c>
      <c r="I1742" t="s">
        <v>141</v>
      </c>
      <c r="J1742" t="s">
        <v>50</v>
      </c>
      <c r="K1742" t="s">
        <v>71</v>
      </c>
      <c r="L1742" t="s">
        <v>125</v>
      </c>
      <c r="M1742" t="s">
        <v>53</v>
      </c>
      <c r="N1742" t="s">
        <v>54</v>
      </c>
      <c r="O1742" s="3">
        <v>545000</v>
      </c>
      <c r="P1742" s="4">
        <v>30</v>
      </c>
      <c r="Q1742" s="2">
        <v>45900</v>
      </c>
      <c r="R1742" s="2">
        <v>46222</v>
      </c>
      <c r="S1742" s="2">
        <v>45858</v>
      </c>
      <c r="T1742" s="2"/>
      <c r="U1742" t="str">
        <f t="shared" si="189"/>
        <v>No</v>
      </c>
      <c r="W17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2" t="str">
        <f t="shared" ca="1" si="190"/>
        <v>Due/Open</v>
      </c>
      <c r="Y1742" t="str">
        <f t="shared" si="191"/>
        <v>Open</v>
      </c>
      <c r="Z1742" t="str">
        <f t="shared" si="192"/>
        <v>Jul-2025</v>
      </c>
      <c r="AA1742" t="str">
        <f t="shared" si="193"/>
        <v>Q3 2025</v>
      </c>
      <c r="AB1742" s="4">
        <f t="shared" ca="1" si="194"/>
        <v>342</v>
      </c>
      <c r="AC1742" t="str">
        <f t="shared" si="195"/>
        <v>High</v>
      </c>
    </row>
    <row r="1743" spans="1:29">
      <c r="A1743" t="s">
        <v>6056</v>
      </c>
      <c r="B1743" s="2">
        <v>45831</v>
      </c>
      <c r="C1743" t="s">
        <v>5214</v>
      </c>
      <c r="D1743" t="s">
        <v>517</v>
      </c>
      <c r="E1743" t="s">
        <v>6057</v>
      </c>
      <c r="F1743" t="s">
        <v>6058</v>
      </c>
      <c r="G1743" t="s">
        <v>69</v>
      </c>
      <c r="H1743" t="s">
        <v>70</v>
      </c>
      <c r="I1743" t="s">
        <v>36</v>
      </c>
      <c r="J1743" t="s">
        <v>37</v>
      </c>
      <c r="K1743" t="s">
        <v>114</v>
      </c>
      <c r="L1743" t="s">
        <v>239</v>
      </c>
      <c r="M1743" t="s">
        <v>82</v>
      </c>
      <c r="N1743" t="s">
        <v>83</v>
      </c>
      <c r="O1743" s="3">
        <v>75000</v>
      </c>
      <c r="P1743" s="4">
        <v>10</v>
      </c>
      <c r="Q1743" s="2">
        <v>45895</v>
      </c>
      <c r="R1743" s="2">
        <v>46209</v>
      </c>
      <c r="S1743" s="2">
        <v>45844</v>
      </c>
      <c r="T1743" s="2"/>
      <c r="U1743" t="str">
        <f t="shared" si="189"/>
        <v>No</v>
      </c>
      <c r="W17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3" t="str">
        <f t="shared" ca="1" si="190"/>
        <v>Due/Open</v>
      </c>
      <c r="Y1743" t="str">
        <f t="shared" si="191"/>
        <v>Open</v>
      </c>
      <c r="Z1743" t="str">
        <f t="shared" si="192"/>
        <v>Jun-2025</v>
      </c>
      <c r="AA1743" t="str">
        <f t="shared" si="193"/>
        <v>Q2 2025</v>
      </c>
      <c r="AB1743" s="4">
        <f t="shared" ca="1" si="194"/>
        <v>368</v>
      </c>
      <c r="AC1743" t="str">
        <f t="shared" si="195"/>
        <v>Low</v>
      </c>
    </row>
    <row r="1744" spans="1:29">
      <c r="A1744" t="s">
        <v>6059</v>
      </c>
      <c r="B1744" s="2">
        <v>45990</v>
      </c>
      <c r="C1744" t="s">
        <v>1928</v>
      </c>
      <c r="D1744" t="s">
        <v>110</v>
      </c>
      <c r="E1744" t="s">
        <v>6060</v>
      </c>
      <c r="F1744" t="s">
        <v>6061</v>
      </c>
      <c r="G1744" t="s">
        <v>79</v>
      </c>
      <c r="H1744" t="s">
        <v>260</v>
      </c>
      <c r="I1744" t="s">
        <v>141</v>
      </c>
      <c r="J1744" t="s">
        <v>131</v>
      </c>
      <c r="K1744" t="s">
        <v>71</v>
      </c>
      <c r="L1744" t="s">
        <v>81</v>
      </c>
      <c r="M1744" t="s">
        <v>40</v>
      </c>
      <c r="N1744" t="s">
        <v>41</v>
      </c>
      <c r="O1744" s="3">
        <v>305000</v>
      </c>
      <c r="P1744" s="4">
        <v>100</v>
      </c>
      <c r="Q1744" s="2">
        <v>46060</v>
      </c>
      <c r="R1744" s="2"/>
      <c r="S1744" s="2">
        <v>46008</v>
      </c>
      <c r="T1744" s="2">
        <v>46060</v>
      </c>
      <c r="U1744" t="str">
        <f t="shared" si="189"/>
        <v>Yes</v>
      </c>
      <c r="W174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70</v>
      </c>
      <c r="X1744" t="str">
        <f t="shared" ca="1" si="190"/>
        <v>Closed</v>
      </c>
      <c r="Y1744" t="str">
        <f t="shared" si="191"/>
        <v>Closed</v>
      </c>
      <c r="Z1744" t="str">
        <f t="shared" si="192"/>
        <v>Nov-2025</v>
      </c>
      <c r="AA1744" t="str">
        <f t="shared" si="193"/>
        <v>Q4 2025</v>
      </c>
      <c r="AB1744" s="4">
        <f t="shared" ca="1" si="194"/>
        <v>209</v>
      </c>
      <c r="AC1744" t="str">
        <f t="shared" si="195"/>
        <v>High</v>
      </c>
    </row>
    <row r="1745" spans="1:29">
      <c r="A1745" t="s">
        <v>6062</v>
      </c>
      <c r="B1745" s="2">
        <v>45706</v>
      </c>
      <c r="C1745" t="s">
        <v>754</v>
      </c>
      <c r="D1745" t="s">
        <v>742</v>
      </c>
      <c r="E1745" t="s">
        <v>6063</v>
      </c>
      <c r="F1745" t="s">
        <v>6064</v>
      </c>
      <c r="G1745" t="s">
        <v>79</v>
      </c>
      <c r="H1745" t="s">
        <v>97</v>
      </c>
      <c r="I1745" t="s">
        <v>141</v>
      </c>
      <c r="J1745" t="s">
        <v>99</v>
      </c>
      <c r="K1745" t="s">
        <v>38</v>
      </c>
      <c r="L1745" t="s">
        <v>81</v>
      </c>
      <c r="M1745" t="s">
        <v>53</v>
      </c>
      <c r="N1745" t="s">
        <v>54</v>
      </c>
      <c r="O1745" s="3">
        <v>390000</v>
      </c>
      <c r="P1745" s="4">
        <v>25</v>
      </c>
      <c r="Q1745" s="2">
        <v>45791</v>
      </c>
      <c r="R1745" s="2">
        <v>46241</v>
      </c>
      <c r="S1745" s="2">
        <v>45711</v>
      </c>
      <c r="T1745" s="2"/>
      <c r="U1745" t="str">
        <f t="shared" si="189"/>
        <v>No</v>
      </c>
      <c r="W17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5" t="str">
        <f t="shared" ca="1" si="190"/>
        <v>Due/Open</v>
      </c>
      <c r="Y1745" t="str">
        <f t="shared" si="191"/>
        <v>Open</v>
      </c>
      <c r="Z1745" t="str">
        <f t="shared" si="192"/>
        <v>Feb-2025</v>
      </c>
      <c r="AA1745" t="str">
        <f t="shared" si="193"/>
        <v>Q1 2025</v>
      </c>
      <c r="AB1745" s="4">
        <f t="shared" ca="1" si="194"/>
        <v>493</v>
      </c>
      <c r="AC1745" t="str">
        <f t="shared" si="195"/>
        <v>High</v>
      </c>
    </row>
    <row r="1746" spans="1:29">
      <c r="A1746" t="s">
        <v>6065</v>
      </c>
      <c r="B1746" s="2">
        <v>46130</v>
      </c>
      <c r="C1746" t="s">
        <v>175</v>
      </c>
      <c r="D1746" t="s">
        <v>627</v>
      </c>
      <c r="E1746" t="s">
        <v>6066</v>
      </c>
      <c r="F1746" t="s">
        <v>6067</v>
      </c>
      <c r="G1746" t="s">
        <v>34</v>
      </c>
      <c r="H1746" t="s">
        <v>35</v>
      </c>
      <c r="I1746" t="s">
        <v>98</v>
      </c>
      <c r="J1746" t="s">
        <v>37</v>
      </c>
      <c r="K1746" t="s">
        <v>114</v>
      </c>
      <c r="L1746" t="s">
        <v>132</v>
      </c>
      <c r="M1746" t="s">
        <v>73</v>
      </c>
      <c r="N1746" t="s">
        <v>73</v>
      </c>
      <c r="O1746" s="3">
        <v>175000</v>
      </c>
      <c r="P1746" s="4">
        <v>85</v>
      </c>
      <c r="Q1746" s="2">
        <v>46181</v>
      </c>
      <c r="R1746" s="2">
        <v>46206</v>
      </c>
      <c r="S1746" s="2">
        <v>46151</v>
      </c>
      <c r="T1746" s="2"/>
      <c r="U1746" t="str">
        <f t="shared" si="189"/>
        <v>No</v>
      </c>
      <c r="W174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6" t="str">
        <f t="shared" ca="1" si="190"/>
        <v>Due/Open</v>
      </c>
      <c r="Y1746" t="str">
        <f t="shared" si="191"/>
        <v>Open</v>
      </c>
      <c r="Z1746" t="str">
        <f t="shared" si="192"/>
        <v>Apr-2026</v>
      </c>
      <c r="AA1746" t="str">
        <f t="shared" si="193"/>
        <v>Q2 2026</v>
      </c>
      <c r="AB1746" s="4">
        <f t="shared" ca="1" si="194"/>
        <v>69</v>
      </c>
      <c r="AC1746" t="str">
        <f t="shared" si="195"/>
        <v>Medium</v>
      </c>
    </row>
    <row r="1747" spans="1:29">
      <c r="A1747" t="s">
        <v>6068</v>
      </c>
      <c r="B1747" s="2">
        <v>45959</v>
      </c>
      <c r="C1747" t="s">
        <v>3701</v>
      </c>
      <c r="D1747" t="s">
        <v>163</v>
      </c>
      <c r="E1747" t="s">
        <v>6069</v>
      </c>
      <c r="F1747" t="s">
        <v>6070</v>
      </c>
      <c r="G1747" t="s">
        <v>47</v>
      </c>
      <c r="H1747" t="s">
        <v>89</v>
      </c>
      <c r="I1747" t="s">
        <v>61</v>
      </c>
      <c r="J1747" t="s">
        <v>37</v>
      </c>
      <c r="K1747" t="s">
        <v>194</v>
      </c>
      <c r="L1747" t="s">
        <v>125</v>
      </c>
      <c r="M1747" t="s">
        <v>133</v>
      </c>
      <c r="N1747" t="s">
        <v>134</v>
      </c>
      <c r="O1747" s="3">
        <v>165000</v>
      </c>
      <c r="P1747" s="4">
        <v>0</v>
      </c>
      <c r="Q1747" s="2">
        <v>46012</v>
      </c>
      <c r="R1747" s="2"/>
      <c r="S1747" s="2">
        <v>45983</v>
      </c>
      <c r="T1747" s="2">
        <v>46012</v>
      </c>
      <c r="U1747" t="str">
        <f t="shared" si="189"/>
        <v>No</v>
      </c>
      <c r="V1747" t="s">
        <v>276</v>
      </c>
      <c r="W17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53</v>
      </c>
      <c r="X1747" t="str">
        <f t="shared" ca="1" si="190"/>
        <v>Closed</v>
      </c>
      <c r="Y1747" t="str">
        <f t="shared" si="191"/>
        <v>Closed</v>
      </c>
      <c r="Z1747" t="str">
        <f t="shared" si="192"/>
        <v>Oct-2025</v>
      </c>
      <c r="AA1747" t="str">
        <f t="shared" si="193"/>
        <v>Q4 2025</v>
      </c>
      <c r="AB1747" s="4">
        <f t="shared" ca="1" si="194"/>
        <v>240</v>
      </c>
      <c r="AC1747" t="str">
        <f t="shared" si="195"/>
        <v>Medium</v>
      </c>
    </row>
    <row r="1748" spans="1:29">
      <c r="A1748" t="s">
        <v>6071</v>
      </c>
      <c r="B1748" s="2">
        <v>46026</v>
      </c>
      <c r="C1748" t="s">
        <v>1064</v>
      </c>
      <c r="D1748" t="s">
        <v>1098</v>
      </c>
      <c r="E1748" t="s">
        <v>6072</v>
      </c>
      <c r="F1748" t="s">
        <v>6073</v>
      </c>
      <c r="G1748" t="s">
        <v>47</v>
      </c>
      <c r="H1748" t="s">
        <v>48</v>
      </c>
      <c r="I1748" t="s">
        <v>98</v>
      </c>
      <c r="J1748" t="s">
        <v>124</v>
      </c>
      <c r="K1748" t="s">
        <v>38</v>
      </c>
      <c r="L1748" t="s">
        <v>154</v>
      </c>
      <c r="M1748" t="s">
        <v>90</v>
      </c>
      <c r="N1748" t="s">
        <v>91</v>
      </c>
      <c r="O1748" s="3">
        <v>150000</v>
      </c>
      <c r="P1748" s="4">
        <v>55</v>
      </c>
      <c r="Q1748" s="2">
        <v>46081</v>
      </c>
      <c r="R1748" s="2">
        <v>46158</v>
      </c>
      <c r="S1748" s="2">
        <v>46055</v>
      </c>
      <c r="T1748" s="2"/>
      <c r="U1748" t="str">
        <f t="shared" si="189"/>
        <v>No</v>
      </c>
      <c r="W17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8" t="str">
        <f t="shared" ca="1" si="190"/>
        <v>Overdue</v>
      </c>
      <c r="Y1748" t="str">
        <f t="shared" si="191"/>
        <v>Open</v>
      </c>
      <c r="Z1748" t="str">
        <f t="shared" si="192"/>
        <v>Jan-2026</v>
      </c>
      <c r="AA1748" t="str">
        <f t="shared" si="193"/>
        <v>Q1 2026</v>
      </c>
      <c r="AB1748" s="4">
        <f t="shared" ca="1" si="194"/>
        <v>173</v>
      </c>
      <c r="AC1748" t="str">
        <f t="shared" si="195"/>
        <v>Medium</v>
      </c>
    </row>
    <row r="1749" spans="1:29">
      <c r="A1749" t="s">
        <v>6074</v>
      </c>
      <c r="B1749" s="2">
        <v>46162</v>
      </c>
      <c r="C1749" t="s">
        <v>1306</v>
      </c>
      <c r="D1749" t="s">
        <v>747</v>
      </c>
      <c r="E1749" t="s">
        <v>6075</v>
      </c>
      <c r="F1749" t="s">
        <v>6076</v>
      </c>
      <c r="G1749" t="s">
        <v>179</v>
      </c>
      <c r="H1749" t="s">
        <v>318</v>
      </c>
      <c r="I1749" t="s">
        <v>61</v>
      </c>
      <c r="J1749" t="s">
        <v>50</v>
      </c>
      <c r="K1749" t="s">
        <v>71</v>
      </c>
      <c r="L1749" t="s">
        <v>142</v>
      </c>
      <c r="M1749" t="s">
        <v>53</v>
      </c>
      <c r="N1749" t="s">
        <v>54</v>
      </c>
      <c r="O1749" s="3">
        <v>270000</v>
      </c>
      <c r="P1749" s="4">
        <v>30</v>
      </c>
      <c r="Q1749" s="2">
        <v>46252</v>
      </c>
      <c r="R1749" s="2">
        <v>46232</v>
      </c>
      <c r="S1749" s="2">
        <v>46168</v>
      </c>
      <c r="T1749" s="2"/>
      <c r="U1749" t="str">
        <f t="shared" si="189"/>
        <v>No</v>
      </c>
      <c r="W17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49" t="str">
        <f t="shared" ca="1" si="190"/>
        <v>Due/Open</v>
      </c>
      <c r="Y1749" t="str">
        <f t="shared" si="191"/>
        <v>Open</v>
      </c>
      <c r="Z1749" t="str">
        <f t="shared" si="192"/>
        <v>May-2026</v>
      </c>
      <c r="AA1749" t="str">
        <f t="shared" si="193"/>
        <v>Q2 2026</v>
      </c>
      <c r="AB1749" s="4">
        <f t="shared" ca="1" si="194"/>
        <v>37</v>
      </c>
      <c r="AC1749" t="str">
        <f t="shared" si="195"/>
        <v>Medium</v>
      </c>
    </row>
    <row r="1750" spans="1:29">
      <c r="A1750" t="s">
        <v>6077</v>
      </c>
      <c r="B1750" s="2">
        <v>45838</v>
      </c>
      <c r="C1750" t="s">
        <v>2428</v>
      </c>
      <c r="D1750" t="s">
        <v>914</v>
      </c>
      <c r="E1750" t="s">
        <v>6078</v>
      </c>
      <c r="F1750" t="s">
        <v>6079</v>
      </c>
      <c r="G1750" t="s">
        <v>79</v>
      </c>
      <c r="H1750" t="s">
        <v>106</v>
      </c>
      <c r="I1750" t="s">
        <v>36</v>
      </c>
      <c r="J1750" t="s">
        <v>124</v>
      </c>
      <c r="K1750" t="s">
        <v>100</v>
      </c>
      <c r="L1750" t="s">
        <v>239</v>
      </c>
      <c r="M1750" t="s">
        <v>53</v>
      </c>
      <c r="N1750" t="s">
        <v>54</v>
      </c>
      <c r="O1750" s="3">
        <v>300000</v>
      </c>
      <c r="P1750" s="4">
        <v>25</v>
      </c>
      <c r="Q1750" s="2">
        <v>45900</v>
      </c>
      <c r="R1750" s="2">
        <v>46240</v>
      </c>
      <c r="S1750" s="2">
        <v>45849</v>
      </c>
      <c r="T1750" s="2"/>
      <c r="U1750" t="str">
        <f t="shared" si="189"/>
        <v>No</v>
      </c>
      <c r="W17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0" t="str">
        <f t="shared" ca="1" si="190"/>
        <v>Due/Open</v>
      </c>
      <c r="Y1750" t="str">
        <f t="shared" si="191"/>
        <v>Open</v>
      </c>
      <c r="Z1750" t="str">
        <f t="shared" si="192"/>
        <v>Jun-2025</v>
      </c>
      <c r="AA1750" t="str">
        <f t="shared" si="193"/>
        <v>Q2 2025</v>
      </c>
      <c r="AB1750" s="4">
        <f t="shared" ca="1" si="194"/>
        <v>361</v>
      </c>
      <c r="AC1750" t="str">
        <f t="shared" si="195"/>
        <v>High</v>
      </c>
    </row>
    <row r="1751" spans="1:29">
      <c r="A1751" t="s">
        <v>6080</v>
      </c>
      <c r="B1751" s="2">
        <v>45856</v>
      </c>
      <c r="C1751" t="s">
        <v>4455</v>
      </c>
      <c r="D1751" t="s">
        <v>459</v>
      </c>
      <c r="E1751" t="s">
        <v>6081</v>
      </c>
      <c r="F1751" t="s">
        <v>6082</v>
      </c>
      <c r="G1751" t="s">
        <v>69</v>
      </c>
      <c r="H1751" t="s">
        <v>270</v>
      </c>
      <c r="I1751" t="s">
        <v>148</v>
      </c>
      <c r="J1751" t="s">
        <v>62</v>
      </c>
      <c r="K1751" t="s">
        <v>100</v>
      </c>
      <c r="L1751" t="s">
        <v>239</v>
      </c>
      <c r="M1751" t="s">
        <v>53</v>
      </c>
      <c r="N1751" t="s">
        <v>54</v>
      </c>
      <c r="O1751" s="3">
        <v>335000</v>
      </c>
      <c r="P1751" s="4">
        <v>30</v>
      </c>
      <c r="Q1751" s="2">
        <v>45905</v>
      </c>
      <c r="R1751" s="2">
        <v>46184</v>
      </c>
      <c r="S1751" s="2">
        <v>45881</v>
      </c>
      <c r="T1751" s="2"/>
      <c r="U1751" t="str">
        <f t="shared" si="189"/>
        <v>No</v>
      </c>
      <c r="W17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1" t="str">
        <f t="shared" ca="1" si="190"/>
        <v>Overdue</v>
      </c>
      <c r="Y1751" t="str">
        <f t="shared" si="191"/>
        <v>Open</v>
      </c>
      <c r="Z1751" t="str">
        <f t="shared" si="192"/>
        <v>Jul-2025</v>
      </c>
      <c r="AA1751" t="str">
        <f t="shared" si="193"/>
        <v>Q3 2025</v>
      </c>
      <c r="AB1751" s="4">
        <f t="shared" ca="1" si="194"/>
        <v>343</v>
      </c>
      <c r="AC1751" t="str">
        <f t="shared" si="195"/>
        <v>High</v>
      </c>
    </row>
    <row r="1752" spans="1:29">
      <c r="A1752" t="s">
        <v>6083</v>
      </c>
      <c r="B1752" s="2">
        <v>46014</v>
      </c>
      <c r="C1752" t="s">
        <v>868</v>
      </c>
      <c r="D1752" t="s">
        <v>2179</v>
      </c>
      <c r="E1752" t="s">
        <v>6084</v>
      </c>
      <c r="F1752" t="s">
        <v>6085</v>
      </c>
      <c r="G1752" t="s">
        <v>47</v>
      </c>
      <c r="H1752" t="s">
        <v>418</v>
      </c>
      <c r="I1752" t="s">
        <v>61</v>
      </c>
      <c r="J1752" t="s">
        <v>124</v>
      </c>
      <c r="K1752" t="s">
        <v>71</v>
      </c>
      <c r="L1752" t="s">
        <v>142</v>
      </c>
      <c r="M1752" t="s">
        <v>73</v>
      </c>
      <c r="N1752" t="s">
        <v>73</v>
      </c>
      <c r="O1752" s="3">
        <v>110000</v>
      </c>
      <c r="P1752" s="4">
        <v>80</v>
      </c>
      <c r="Q1752" s="2">
        <v>46088</v>
      </c>
      <c r="R1752" s="2">
        <v>46235</v>
      </c>
      <c r="S1752" s="2">
        <v>46024</v>
      </c>
      <c r="T1752" s="2"/>
      <c r="U1752" t="str">
        <f t="shared" si="189"/>
        <v>No</v>
      </c>
      <c r="W17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2" t="str">
        <f t="shared" ca="1" si="190"/>
        <v>Due/Open</v>
      </c>
      <c r="Y1752" t="str">
        <f t="shared" si="191"/>
        <v>Open</v>
      </c>
      <c r="Z1752" t="str">
        <f t="shared" si="192"/>
        <v>Dec-2025</v>
      </c>
      <c r="AA1752" t="str">
        <f t="shared" si="193"/>
        <v>Q4 2025</v>
      </c>
      <c r="AB1752" s="4">
        <f t="shared" ca="1" si="194"/>
        <v>185</v>
      </c>
      <c r="AC1752" t="str">
        <f t="shared" si="195"/>
        <v>Low</v>
      </c>
    </row>
    <row r="1753" spans="1:29">
      <c r="A1753" t="s">
        <v>6086</v>
      </c>
      <c r="B1753" s="2">
        <v>45911</v>
      </c>
      <c r="C1753" t="s">
        <v>388</v>
      </c>
      <c r="D1753" t="s">
        <v>407</v>
      </c>
      <c r="E1753" t="s">
        <v>6087</v>
      </c>
      <c r="F1753" t="s">
        <v>6088</v>
      </c>
      <c r="G1753" t="s">
        <v>69</v>
      </c>
      <c r="H1753" t="s">
        <v>70</v>
      </c>
      <c r="I1753" t="s">
        <v>141</v>
      </c>
      <c r="J1753" t="s">
        <v>62</v>
      </c>
      <c r="K1753" t="s">
        <v>51</v>
      </c>
      <c r="L1753" t="s">
        <v>115</v>
      </c>
      <c r="M1753" t="s">
        <v>53</v>
      </c>
      <c r="N1753" t="s">
        <v>54</v>
      </c>
      <c r="O1753" s="3">
        <v>175000</v>
      </c>
      <c r="P1753" s="4">
        <v>30</v>
      </c>
      <c r="Q1753" s="2">
        <v>45978</v>
      </c>
      <c r="R1753" s="2">
        <v>46190</v>
      </c>
      <c r="S1753" s="2">
        <v>45926</v>
      </c>
      <c r="T1753" s="2"/>
      <c r="U1753" t="str">
        <f t="shared" si="189"/>
        <v>No</v>
      </c>
      <c r="W17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3" t="str">
        <f t="shared" ca="1" si="190"/>
        <v>Overdue</v>
      </c>
      <c r="Y1753" t="str">
        <f t="shared" si="191"/>
        <v>Open</v>
      </c>
      <c r="Z1753" t="str">
        <f t="shared" si="192"/>
        <v>Sep-2025</v>
      </c>
      <c r="AA1753" t="str">
        <f t="shared" si="193"/>
        <v>Q3 2025</v>
      </c>
      <c r="AB1753" s="4">
        <f t="shared" ca="1" si="194"/>
        <v>288</v>
      </c>
      <c r="AC1753" t="str">
        <f t="shared" si="195"/>
        <v>Medium</v>
      </c>
    </row>
    <row r="1754" spans="1:29">
      <c r="A1754" t="s">
        <v>6089</v>
      </c>
      <c r="B1754" s="2">
        <v>45784</v>
      </c>
      <c r="C1754" t="s">
        <v>4074</v>
      </c>
      <c r="D1754" t="s">
        <v>1017</v>
      </c>
      <c r="E1754" t="s">
        <v>6090</v>
      </c>
      <c r="F1754" t="s">
        <v>6091</v>
      </c>
      <c r="G1754" t="s">
        <v>47</v>
      </c>
      <c r="H1754" t="s">
        <v>113</v>
      </c>
      <c r="I1754" t="s">
        <v>61</v>
      </c>
      <c r="J1754" t="s">
        <v>99</v>
      </c>
      <c r="K1754" t="s">
        <v>38</v>
      </c>
      <c r="L1754" t="s">
        <v>239</v>
      </c>
      <c r="M1754" t="s">
        <v>90</v>
      </c>
      <c r="N1754" t="s">
        <v>91</v>
      </c>
      <c r="O1754" s="3">
        <v>535000</v>
      </c>
      <c r="P1754" s="4">
        <v>55</v>
      </c>
      <c r="Q1754" s="2">
        <v>45841</v>
      </c>
      <c r="R1754" s="2">
        <v>46183</v>
      </c>
      <c r="S1754" s="2">
        <v>45791</v>
      </c>
      <c r="T1754" s="2"/>
      <c r="U1754" t="str">
        <f t="shared" si="189"/>
        <v>No</v>
      </c>
      <c r="W17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4" t="str">
        <f t="shared" ca="1" si="190"/>
        <v>Overdue</v>
      </c>
      <c r="Y1754" t="str">
        <f t="shared" si="191"/>
        <v>Open</v>
      </c>
      <c r="Z1754" t="str">
        <f t="shared" si="192"/>
        <v>May-2025</v>
      </c>
      <c r="AA1754" t="str">
        <f t="shared" si="193"/>
        <v>Q2 2025</v>
      </c>
      <c r="AB1754" s="4">
        <f t="shared" ca="1" si="194"/>
        <v>415</v>
      </c>
      <c r="AC1754" t="str">
        <f t="shared" si="195"/>
        <v>High</v>
      </c>
    </row>
    <row r="1755" spans="1:29">
      <c r="A1755" t="s">
        <v>6092</v>
      </c>
      <c r="B1755" s="2">
        <v>46121</v>
      </c>
      <c r="C1755" t="s">
        <v>1131</v>
      </c>
      <c r="D1755" t="s">
        <v>1315</v>
      </c>
      <c r="E1755" t="s">
        <v>6093</v>
      </c>
      <c r="F1755" t="s">
        <v>6094</v>
      </c>
      <c r="G1755" t="s">
        <v>79</v>
      </c>
      <c r="H1755" t="s">
        <v>217</v>
      </c>
      <c r="I1755" t="s">
        <v>123</v>
      </c>
      <c r="J1755" t="s">
        <v>62</v>
      </c>
      <c r="K1755" t="s">
        <v>71</v>
      </c>
      <c r="L1755" t="s">
        <v>132</v>
      </c>
      <c r="M1755" t="s">
        <v>90</v>
      </c>
      <c r="N1755" t="s">
        <v>91</v>
      </c>
      <c r="O1755" s="3">
        <v>325000</v>
      </c>
      <c r="P1755" s="4">
        <v>50</v>
      </c>
      <c r="Q1755" s="2">
        <v>46193</v>
      </c>
      <c r="R1755" s="2">
        <v>46235</v>
      </c>
      <c r="S1755" s="2">
        <v>46141</v>
      </c>
      <c r="T1755" s="2"/>
      <c r="U1755" t="str">
        <f t="shared" si="189"/>
        <v>No</v>
      </c>
      <c r="W17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5" t="str">
        <f t="shared" ca="1" si="190"/>
        <v>Due/Open</v>
      </c>
      <c r="Y1755" t="str">
        <f t="shared" si="191"/>
        <v>Open</v>
      </c>
      <c r="Z1755" t="str">
        <f t="shared" si="192"/>
        <v>Apr-2026</v>
      </c>
      <c r="AA1755" t="str">
        <f t="shared" si="193"/>
        <v>Q2 2026</v>
      </c>
      <c r="AB1755" s="4">
        <f t="shared" ca="1" si="194"/>
        <v>78</v>
      </c>
      <c r="AC1755" t="str">
        <f t="shared" si="195"/>
        <v>High</v>
      </c>
    </row>
    <row r="1756" spans="1:29">
      <c r="A1756" t="s">
        <v>6095</v>
      </c>
      <c r="B1756" s="2">
        <v>45977</v>
      </c>
      <c r="C1756" t="s">
        <v>246</v>
      </c>
      <c r="D1756" t="s">
        <v>1683</v>
      </c>
      <c r="E1756" t="s">
        <v>6096</v>
      </c>
      <c r="F1756" t="s">
        <v>6097</v>
      </c>
      <c r="G1756" t="s">
        <v>69</v>
      </c>
      <c r="H1756" t="s">
        <v>70</v>
      </c>
      <c r="I1756" t="s">
        <v>61</v>
      </c>
      <c r="J1756" t="s">
        <v>50</v>
      </c>
      <c r="K1756" t="s">
        <v>114</v>
      </c>
      <c r="L1756" t="s">
        <v>52</v>
      </c>
      <c r="M1756" t="s">
        <v>166</v>
      </c>
      <c r="N1756" t="s">
        <v>167</v>
      </c>
      <c r="O1756" s="3">
        <v>385000</v>
      </c>
      <c r="P1756" s="4">
        <v>60</v>
      </c>
      <c r="Q1756" s="2">
        <v>46039</v>
      </c>
      <c r="R1756" s="2">
        <v>46203</v>
      </c>
      <c r="S1756" s="2">
        <v>46004</v>
      </c>
      <c r="T1756" s="2"/>
      <c r="U1756" t="str">
        <f t="shared" si="189"/>
        <v>No</v>
      </c>
      <c r="W17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6" t="str">
        <f t="shared" ca="1" si="190"/>
        <v>Due/Open</v>
      </c>
      <c r="Y1756" t="str">
        <f t="shared" si="191"/>
        <v>Open</v>
      </c>
      <c r="Z1756" t="str">
        <f t="shared" si="192"/>
        <v>Nov-2025</v>
      </c>
      <c r="AA1756" t="str">
        <f t="shared" si="193"/>
        <v>Q4 2025</v>
      </c>
      <c r="AB1756" s="4">
        <f t="shared" ca="1" si="194"/>
        <v>222</v>
      </c>
      <c r="AC1756" t="str">
        <f t="shared" si="195"/>
        <v>High</v>
      </c>
    </row>
    <row r="1757" spans="1:29">
      <c r="A1757" t="s">
        <v>6098</v>
      </c>
      <c r="B1757" s="2">
        <v>45778</v>
      </c>
      <c r="C1757" t="s">
        <v>3890</v>
      </c>
      <c r="D1757" t="s">
        <v>220</v>
      </c>
      <c r="E1757" t="s">
        <v>6099</v>
      </c>
      <c r="F1757" t="s">
        <v>6100</v>
      </c>
      <c r="G1757" t="s">
        <v>47</v>
      </c>
      <c r="H1757" t="s">
        <v>493</v>
      </c>
      <c r="I1757" t="s">
        <v>49</v>
      </c>
      <c r="J1757" t="s">
        <v>62</v>
      </c>
      <c r="K1757" t="s">
        <v>38</v>
      </c>
      <c r="L1757" t="s">
        <v>132</v>
      </c>
      <c r="M1757" t="s">
        <v>116</v>
      </c>
      <c r="N1757" t="s">
        <v>54</v>
      </c>
      <c r="O1757" s="3">
        <v>305000</v>
      </c>
      <c r="P1757" s="4">
        <v>20</v>
      </c>
      <c r="Q1757" s="2">
        <v>45804</v>
      </c>
      <c r="R1757" s="2">
        <v>46159</v>
      </c>
      <c r="S1757" s="2">
        <v>45784</v>
      </c>
      <c r="T1757" s="2"/>
      <c r="U1757" t="str">
        <f t="shared" si="189"/>
        <v>No</v>
      </c>
      <c r="W17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57" t="str">
        <f t="shared" ca="1" si="190"/>
        <v>Overdue</v>
      </c>
      <c r="Y1757" t="str">
        <f t="shared" si="191"/>
        <v>Open</v>
      </c>
      <c r="Z1757" t="str">
        <f t="shared" si="192"/>
        <v>May-2025</v>
      </c>
      <c r="AA1757" t="str">
        <f t="shared" si="193"/>
        <v>Q2 2025</v>
      </c>
      <c r="AB1757" s="4">
        <f t="shared" ca="1" si="194"/>
        <v>421</v>
      </c>
      <c r="AC1757" t="str">
        <f t="shared" si="195"/>
        <v>High</v>
      </c>
    </row>
    <row r="1758" spans="1:29">
      <c r="A1758" t="s">
        <v>6101</v>
      </c>
      <c r="B1758" s="2">
        <v>45932</v>
      </c>
      <c r="C1758" t="s">
        <v>3000</v>
      </c>
      <c r="D1758" t="s">
        <v>110</v>
      </c>
      <c r="E1758" t="s">
        <v>6102</v>
      </c>
      <c r="F1758" t="s">
        <v>6103</v>
      </c>
      <c r="G1758" t="s">
        <v>34</v>
      </c>
      <c r="H1758" t="s">
        <v>238</v>
      </c>
      <c r="I1758" t="s">
        <v>36</v>
      </c>
      <c r="J1758" t="s">
        <v>99</v>
      </c>
      <c r="K1758" t="s">
        <v>114</v>
      </c>
      <c r="L1758" t="s">
        <v>115</v>
      </c>
      <c r="M1758" t="s">
        <v>40</v>
      </c>
      <c r="N1758" t="s">
        <v>41</v>
      </c>
      <c r="O1758" s="3">
        <v>355000</v>
      </c>
      <c r="P1758" s="4">
        <v>100</v>
      </c>
      <c r="Q1758" s="2">
        <v>45964</v>
      </c>
      <c r="R1758" s="2"/>
      <c r="S1758" s="2">
        <v>45944</v>
      </c>
      <c r="T1758" s="2">
        <v>45964</v>
      </c>
      <c r="U1758" t="str">
        <f t="shared" si="189"/>
        <v>Yes</v>
      </c>
      <c r="W175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1758" t="str">
        <f t="shared" ca="1" si="190"/>
        <v>Closed</v>
      </c>
      <c r="Y1758" t="str">
        <f t="shared" si="191"/>
        <v>Closed</v>
      </c>
      <c r="Z1758" t="str">
        <f t="shared" si="192"/>
        <v>Oct-2025</v>
      </c>
      <c r="AA1758" t="str">
        <f t="shared" si="193"/>
        <v>Q4 2025</v>
      </c>
      <c r="AB1758" s="4">
        <f t="shared" ca="1" si="194"/>
        <v>267</v>
      </c>
      <c r="AC1758" t="str">
        <f t="shared" si="195"/>
        <v>High</v>
      </c>
    </row>
    <row r="1759" spans="1:29">
      <c r="A1759" t="s">
        <v>6104</v>
      </c>
      <c r="B1759" s="2">
        <v>46048</v>
      </c>
      <c r="C1759" t="s">
        <v>5026</v>
      </c>
      <c r="D1759" t="s">
        <v>3463</v>
      </c>
      <c r="E1759" t="s">
        <v>6105</v>
      </c>
      <c r="F1759" t="s">
        <v>6106</v>
      </c>
      <c r="G1759" t="s">
        <v>34</v>
      </c>
      <c r="H1759" t="s">
        <v>160</v>
      </c>
      <c r="I1759" t="s">
        <v>98</v>
      </c>
      <c r="J1759" t="s">
        <v>99</v>
      </c>
      <c r="K1759" t="s">
        <v>38</v>
      </c>
      <c r="L1759" t="s">
        <v>81</v>
      </c>
      <c r="M1759" t="s">
        <v>133</v>
      </c>
      <c r="N1759" t="s">
        <v>134</v>
      </c>
      <c r="O1759" s="3">
        <v>520000</v>
      </c>
      <c r="P1759" s="4">
        <v>0</v>
      </c>
      <c r="Q1759" s="2">
        <v>46115</v>
      </c>
      <c r="R1759" s="2"/>
      <c r="S1759" s="2">
        <v>46072</v>
      </c>
      <c r="T1759" s="2">
        <v>46115</v>
      </c>
      <c r="U1759" t="str">
        <f t="shared" si="189"/>
        <v>No</v>
      </c>
      <c r="V1759" t="s">
        <v>319</v>
      </c>
      <c r="W175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1759" t="str">
        <f t="shared" ca="1" si="190"/>
        <v>Closed</v>
      </c>
      <c r="Y1759" t="str">
        <f t="shared" si="191"/>
        <v>Closed</v>
      </c>
      <c r="Z1759" t="str">
        <f t="shared" si="192"/>
        <v>Jan-2026</v>
      </c>
      <c r="AA1759" t="str">
        <f t="shared" si="193"/>
        <v>Q1 2026</v>
      </c>
      <c r="AB1759" s="4">
        <f t="shared" ca="1" si="194"/>
        <v>151</v>
      </c>
      <c r="AC1759" t="str">
        <f t="shared" si="195"/>
        <v>High</v>
      </c>
    </row>
    <row r="1760" spans="1:29">
      <c r="A1760" t="s">
        <v>6107</v>
      </c>
      <c r="B1760" s="2">
        <v>45955</v>
      </c>
      <c r="C1760" t="s">
        <v>1160</v>
      </c>
      <c r="D1760" t="s">
        <v>1717</v>
      </c>
      <c r="E1760" t="s">
        <v>6108</v>
      </c>
      <c r="F1760" t="s">
        <v>6109</v>
      </c>
      <c r="G1760" t="s">
        <v>79</v>
      </c>
      <c r="H1760" t="s">
        <v>106</v>
      </c>
      <c r="I1760" t="s">
        <v>123</v>
      </c>
      <c r="J1760" t="s">
        <v>124</v>
      </c>
      <c r="K1760" t="s">
        <v>51</v>
      </c>
      <c r="L1760" t="s">
        <v>52</v>
      </c>
      <c r="M1760" t="s">
        <v>90</v>
      </c>
      <c r="N1760" t="s">
        <v>91</v>
      </c>
      <c r="O1760" s="3">
        <v>190000</v>
      </c>
      <c r="P1760" s="4">
        <v>50</v>
      </c>
      <c r="Q1760" s="2">
        <v>46039</v>
      </c>
      <c r="R1760" s="2">
        <v>46164</v>
      </c>
      <c r="S1760" s="2">
        <v>45960</v>
      </c>
      <c r="T1760" s="2"/>
      <c r="U1760" t="str">
        <f t="shared" si="189"/>
        <v>No</v>
      </c>
      <c r="W17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0" t="str">
        <f t="shared" ca="1" si="190"/>
        <v>Overdue</v>
      </c>
      <c r="Y1760" t="str">
        <f t="shared" si="191"/>
        <v>Open</v>
      </c>
      <c r="Z1760" t="str">
        <f t="shared" si="192"/>
        <v>Oct-2025</v>
      </c>
      <c r="AA1760" t="str">
        <f t="shared" si="193"/>
        <v>Q4 2025</v>
      </c>
      <c r="AB1760" s="4">
        <f t="shared" ca="1" si="194"/>
        <v>244</v>
      </c>
      <c r="AC1760" t="str">
        <f t="shared" si="195"/>
        <v>Medium</v>
      </c>
    </row>
    <row r="1761" spans="1:29">
      <c r="A1761" t="s">
        <v>6110</v>
      </c>
      <c r="B1761" s="2">
        <v>45834</v>
      </c>
      <c r="C1761" t="s">
        <v>1424</v>
      </c>
      <c r="D1761" t="s">
        <v>31</v>
      </c>
      <c r="E1761" t="s">
        <v>6111</v>
      </c>
      <c r="F1761" t="s">
        <v>6112</v>
      </c>
      <c r="G1761" t="s">
        <v>34</v>
      </c>
      <c r="H1761" t="s">
        <v>60</v>
      </c>
      <c r="I1761" t="s">
        <v>148</v>
      </c>
      <c r="J1761" t="s">
        <v>62</v>
      </c>
      <c r="K1761" t="s">
        <v>51</v>
      </c>
      <c r="L1761" t="s">
        <v>142</v>
      </c>
      <c r="M1761" t="s">
        <v>82</v>
      </c>
      <c r="N1761" t="s">
        <v>83</v>
      </c>
      <c r="O1761" s="3">
        <v>315000</v>
      </c>
      <c r="P1761" s="4">
        <v>5</v>
      </c>
      <c r="Q1761" s="2">
        <v>45900</v>
      </c>
      <c r="R1761" s="2">
        <v>46207</v>
      </c>
      <c r="S1761" s="2">
        <v>45861</v>
      </c>
      <c r="T1761" s="2"/>
      <c r="U1761" t="str">
        <f t="shared" si="189"/>
        <v>No</v>
      </c>
      <c r="W17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1" t="str">
        <f t="shared" ca="1" si="190"/>
        <v>Due/Open</v>
      </c>
      <c r="Y1761" t="str">
        <f t="shared" si="191"/>
        <v>Open</v>
      </c>
      <c r="Z1761" t="str">
        <f t="shared" si="192"/>
        <v>Jun-2025</v>
      </c>
      <c r="AA1761" t="str">
        <f t="shared" si="193"/>
        <v>Q2 2025</v>
      </c>
      <c r="AB1761" s="4">
        <f t="shared" ca="1" si="194"/>
        <v>365</v>
      </c>
      <c r="AC1761" t="str">
        <f t="shared" si="195"/>
        <v>High</v>
      </c>
    </row>
    <row r="1762" spans="1:29">
      <c r="A1762" t="s">
        <v>6113</v>
      </c>
      <c r="B1762" s="2">
        <v>46100</v>
      </c>
      <c r="C1762" t="s">
        <v>1432</v>
      </c>
      <c r="D1762" t="s">
        <v>2897</v>
      </c>
      <c r="E1762" t="s">
        <v>6114</v>
      </c>
      <c r="F1762" t="s">
        <v>6115</v>
      </c>
      <c r="G1762" t="s">
        <v>34</v>
      </c>
      <c r="H1762" t="s">
        <v>238</v>
      </c>
      <c r="I1762" t="s">
        <v>148</v>
      </c>
      <c r="J1762" t="s">
        <v>99</v>
      </c>
      <c r="K1762" t="s">
        <v>38</v>
      </c>
      <c r="L1762" t="s">
        <v>39</v>
      </c>
      <c r="M1762" t="s">
        <v>53</v>
      </c>
      <c r="N1762" t="s">
        <v>54</v>
      </c>
      <c r="O1762" s="3">
        <v>195000</v>
      </c>
      <c r="P1762" s="4">
        <v>30</v>
      </c>
      <c r="Q1762" s="2">
        <v>46151</v>
      </c>
      <c r="R1762" s="2">
        <v>46179</v>
      </c>
      <c r="S1762" s="2">
        <v>46128</v>
      </c>
      <c r="T1762" s="2"/>
      <c r="U1762" t="str">
        <f t="shared" si="189"/>
        <v>No</v>
      </c>
      <c r="W176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2" t="str">
        <f t="shared" ca="1" si="190"/>
        <v>Overdue</v>
      </c>
      <c r="Y1762" t="str">
        <f t="shared" si="191"/>
        <v>Open</v>
      </c>
      <c r="Z1762" t="str">
        <f t="shared" si="192"/>
        <v>Mar-2026</v>
      </c>
      <c r="AA1762" t="str">
        <f t="shared" si="193"/>
        <v>Q1 2026</v>
      </c>
      <c r="AB1762" s="4">
        <f t="shared" ca="1" si="194"/>
        <v>99</v>
      </c>
      <c r="AC1762" t="str">
        <f t="shared" si="195"/>
        <v>Medium</v>
      </c>
    </row>
    <row r="1763" spans="1:29">
      <c r="A1763" t="s">
        <v>6116</v>
      </c>
      <c r="B1763" s="2">
        <v>46154</v>
      </c>
      <c r="C1763" t="s">
        <v>3410</v>
      </c>
      <c r="D1763" t="s">
        <v>157</v>
      </c>
      <c r="E1763" t="s">
        <v>6117</v>
      </c>
      <c r="F1763" t="s">
        <v>6118</v>
      </c>
      <c r="G1763" t="s">
        <v>179</v>
      </c>
      <c r="H1763" t="s">
        <v>180</v>
      </c>
      <c r="I1763" t="s">
        <v>61</v>
      </c>
      <c r="J1763" t="s">
        <v>99</v>
      </c>
      <c r="K1763" t="s">
        <v>194</v>
      </c>
      <c r="L1763" t="s">
        <v>72</v>
      </c>
      <c r="M1763" t="s">
        <v>133</v>
      </c>
      <c r="N1763" t="s">
        <v>134</v>
      </c>
      <c r="O1763" s="3">
        <v>155000</v>
      </c>
      <c r="P1763" s="4">
        <v>0</v>
      </c>
      <c r="Q1763" s="2">
        <v>46174</v>
      </c>
      <c r="R1763" s="2"/>
      <c r="S1763" s="2">
        <v>46169</v>
      </c>
      <c r="T1763" s="2">
        <v>46174</v>
      </c>
      <c r="U1763" t="str">
        <f t="shared" si="189"/>
        <v>No</v>
      </c>
      <c r="V1763" t="s">
        <v>319</v>
      </c>
      <c r="W17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20</v>
      </c>
      <c r="X1763" t="str">
        <f t="shared" ca="1" si="190"/>
        <v>Closed</v>
      </c>
      <c r="Y1763" t="str">
        <f t="shared" si="191"/>
        <v>Closed</v>
      </c>
      <c r="Z1763" t="str">
        <f t="shared" si="192"/>
        <v>May-2026</v>
      </c>
      <c r="AA1763" t="str">
        <f t="shared" si="193"/>
        <v>Q2 2026</v>
      </c>
      <c r="AB1763" s="4">
        <f t="shared" ca="1" si="194"/>
        <v>45</v>
      </c>
      <c r="AC1763" t="str">
        <f t="shared" si="195"/>
        <v>Medium</v>
      </c>
    </row>
    <row r="1764" spans="1:29">
      <c r="A1764" t="s">
        <v>6119</v>
      </c>
      <c r="B1764" s="2">
        <v>46124</v>
      </c>
      <c r="C1764" t="s">
        <v>958</v>
      </c>
      <c r="D1764" t="s">
        <v>779</v>
      </c>
      <c r="E1764" t="s">
        <v>6120</v>
      </c>
      <c r="F1764" t="s">
        <v>6121</v>
      </c>
      <c r="G1764" t="s">
        <v>69</v>
      </c>
      <c r="H1764" t="s">
        <v>70</v>
      </c>
      <c r="I1764" t="s">
        <v>98</v>
      </c>
      <c r="J1764" t="s">
        <v>62</v>
      </c>
      <c r="K1764" t="s">
        <v>194</v>
      </c>
      <c r="L1764" t="s">
        <v>154</v>
      </c>
      <c r="M1764" t="s">
        <v>90</v>
      </c>
      <c r="N1764" t="s">
        <v>91</v>
      </c>
      <c r="O1764" s="3">
        <v>390000</v>
      </c>
      <c r="P1764" s="4">
        <v>55</v>
      </c>
      <c r="Q1764" s="2">
        <v>46151</v>
      </c>
      <c r="R1764" s="2">
        <v>46212</v>
      </c>
      <c r="S1764" s="2">
        <v>46149</v>
      </c>
      <c r="T1764" s="2"/>
      <c r="U1764" t="str">
        <f t="shared" si="189"/>
        <v>No</v>
      </c>
      <c r="W17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4" t="str">
        <f t="shared" ca="1" si="190"/>
        <v>Due/Open</v>
      </c>
      <c r="Y1764" t="str">
        <f t="shared" si="191"/>
        <v>Open</v>
      </c>
      <c r="Z1764" t="str">
        <f t="shared" si="192"/>
        <v>Apr-2026</v>
      </c>
      <c r="AA1764" t="str">
        <f t="shared" si="193"/>
        <v>Q2 2026</v>
      </c>
      <c r="AB1764" s="4">
        <f t="shared" ca="1" si="194"/>
        <v>75</v>
      </c>
      <c r="AC1764" t="str">
        <f t="shared" si="195"/>
        <v>High</v>
      </c>
    </row>
    <row r="1765" spans="1:29">
      <c r="A1765" t="s">
        <v>6122</v>
      </c>
      <c r="B1765" s="2">
        <v>45746</v>
      </c>
      <c r="C1765" t="s">
        <v>442</v>
      </c>
      <c r="D1765" t="s">
        <v>1722</v>
      </c>
      <c r="E1765" t="s">
        <v>6123</v>
      </c>
      <c r="F1765" t="s">
        <v>6124</v>
      </c>
      <c r="G1765" t="s">
        <v>179</v>
      </c>
      <c r="H1765" t="s">
        <v>318</v>
      </c>
      <c r="I1765" t="s">
        <v>36</v>
      </c>
      <c r="J1765" t="s">
        <v>37</v>
      </c>
      <c r="K1765" t="s">
        <v>100</v>
      </c>
      <c r="L1765" t="s">
        <v>125</v>
      </c>
      <c r="M1765" t="s">
        <v>53</v>
      </c>
      <c r="N1765" t="s">
        <v>54</v>
      </c>
      <c r="O1765" s="3">
        <v>50000</v>
      </c>
      <c r="P1765" s="4">
        <v>30</v>
      </c>
      <c r="Q1765" s="2">
        <v>45811</v>
      </c>
      <c r="R1765" s="2">
        <v>46187</v>
      </c>
      <c r="S1765" s="2">
        <v>45775</v>
      </c>
      <c r="T1765" s="2"/>
      <c r="U1765" t="str">
        <f t="shared" si="189"/>
        <v>No</v>
      </c>
      <c r="W176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5" t="str">
        <f t="shared" ca="1" si="190"/>
        <v>Overdue</v>
      </c>
      <c r="Y1765" t="str">
        <f t="shared" si="191"/>
        <v>Open</v>
      </c>
      <c r="Z1765" t="str">
        <f t="shared" si="192"/>
        <v>Mar-2025</v>
      </c>
      <c r="AA1765" t="str">
        <f t="shared" si="193"/>
        <v>Q1 2025</v>
      </c>
      <c r="AB1765" s="4">
        <f t="shared" ca="1" si="194"/>
        <v>453</v>
      </c>
      <c r="AC1765" t="str">
        <f t="shared" si="195"/>
        <v>Low</v>
      </c>
    </row>
    <row r="1766" spans="1:29">
      <c r="A1766" t="s">
        <v>6125</v>
      </c>
      <c r="B1766" s="2">
        <v>45938</v>
      </c>
      <c r="C1766" t="s">
        <v>692</v>
      </c>
      <c r="D1766" t="s">
        <v>547</v>
      </c>
      <c r="E1766" t="s">
        <v>6126</v>
      </c>
      <c r="F1766" t="s">
        <v>6127</v>
      </c>
      <c r="G1766" t="s">
        <v>179</v>
      </c>
      <c r="H1766" t="s">
        <v>487</v>
      </c>
      <c r="I1766" t="s">
        <v>141</v>
      </c>
      <c r="J1766" t="s">
        <v>50</v>
      </c>
      <c r="K1766" t="s">
        <v>51</v>
      </c>
      <c r="L1766" t="s">
        <v>63</v>
      </c>
      <c r="M1766" t="s">
        <v>82</v>
      </c>
      <c r="N1766" t="s">
        <v>83</v>
      </c>
      <c r="O1766" s="3">
        <v>330000</v>
      </c>
      <c r="P1766" s="4">
        <v>5</v>
      </c>
      <c r="Q1766" s="2">
        <v>46031</v>
      </c>
      <c r="R1766" s="2">
        <v>46236</v>
      </c>
      <c r="S1766" s="2">
        <v>45966</v>
      </c>
      <c r="T1766" s="2"/>
      <c r="U1766" t="str">
        <f t="shared" si="189"/>
        <v>No</v>
      </c>
      <c r="W17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6" t="str">
        <f t="shared" ca="1" si="190"/>
        <v>Due/Open</v>
      </c>
      <c r="Y1766" t="str">
        <f t="shared" si="191"/>
        <v>Open</v>
      </c>
      <c r="Z1766" t="str">
        <f t="shared" si="192"/>
        <v>Oct-2025</v>
      </c>
      <c r="AA1766" t="str">
        <f t="shared" si="193"/>
        <v>Q4 2025</v>
      </c>
      <c r="AB1766" s="4">
        <f t="shared" ca="1" si="194"/>
        <v>261</v>
      </c>
      <c r="AC1766" t="str">
        <f t="shared" si="195"/>
        <v>High</v>
      </c>
    </row>
    <row r="1767" spans="1:29">
      <c r="A1767" t="s">
        <v>6128</v>
      </c>
      <c r="B1767" s="2">
        <v>45938</v>
      </c>
      <c r="C1767" t="s">
        <v>2378</v>
      </c>
      <c r="D1767" t="s">
        <v>1245</v>
      </c>
      <c r="E1767" t="s">
        <v>6129</v>
      </c>
      <c r="F1767" t="s">
        <v>6130</v>
      </c>
      <c r="G1767" t="s">
        <v>179</v>
      </c>
      <c r="H1767" t="s">
        <v>487</v>
      </c>
      <c r="I1767" t="s">
        <v>36</v>
      </c>
      <c r="J1767" t="s">
        <v>131</v>
      </c>
      <c r="K1767" t="s">
        <v>38</v>
      </c>
      <c r="L1767" t="s">
        <v>115</v>
      </c>
      <c r="M1767" t="s">
        <v>133</v>
      </c>
      <c r="N1767" t="s">
        <v>134</v>
      </c>
      <c r="O1767" s="3">
        <v>250000</v>
      </c>
      <c r="P1767" s="4">
        <v>0</v>
      </c>
      <c r="Q1767" s="2">
        <v>45969</v>
      </c>
      <c r="R1767" s="2"/>
      <c r="S1767" s="2">
        <v>45951</v>
      </c>
      <c r="T1767" s="2">
        <v>45969</v>
      </c>
      <c r="U1767" t="str">
        <f t="shared" si="189"/>
        <v>No</v>
      </c>
      <c r="V1767" t="s">
        <v>319</v>
      </c>
      <c r="W176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767" t="str">
        <f t="shared" ca="1" si="190"/>
        <v>Closed</v>
      </c>
      <c r="Y1767" t="str">
        <f t="shared" si="191"/>
        <v>Closed</v>
      </c>
      <c r="Z1767" t="str">
        <f t="shared" si="192"/>
        <v>Oct-2025</v>
      </c>
      <c r="AA1767" t="str">
        <f t="shared" si="193"/>
        <v>Q4 2025</v>
      </c>
      <c r="AB1767" s="4">
        <f t="shared" ca="1" si="194"/>
        <v>261</v>
      </c>
      <c r="AC1767" t="str">
        <f t="shared" si="195"/>
        <v>Medium</v>
      </c>
    </row>
    <row r="1768" spans="1:29">
      <c r="A1768" t="s">
        <v>6131</v>
      </c>
      <c r="B1768" s="2">
        <v>45968</v>
      </c>
      <c r="C1768" t="s">
        <v>3385</v>
      </c>
      <c r="D1768" t="s">
        <v>207</v>
      </c>
      <c r="E1768" t="s">
        <v>6132</v>
      </c>
      <c r="F1768" t="s">
        <v>6133</v>
      </c>
      <c r="G1768" t="s">
        <v>69</v>
      </c>
      <c r="H1768" t="s">
        <v>193</v>
      </c>
      <c r="I1768" t="s">
        <v>36</v>
      </c>
      <c r="J1768" t="s">
        <v>50</v>
      </c>
      <c r="K1768" t="s">
        <v>100</v>
      </c>
      <c r="L1768" t="s">
        <v>132</v>
      </c>
      <c r="M1768" t="s">
        <v>166</v>
      </c>
      <c r="N1768" t="s">
        <v>167</v>
      </c>
      <c r="O1768" s="3">
        <v>285000</v>
      </c>
      <c r="P1768" s="4">
        <v>60</v>
      </c>
      <c r="Q1768" s="2">
        <v>45991</v>
      </c>
      <c r="R1768" s="2">
        <v>46225</v>
      </c>
      <c r="S1768" s="2">
        <v>45988</v>
      </c>
      <c r="T1768" s="2"/>
      <c r="U1768" t="str">
        <f t="shared" si="189"/>
        <v>No</v>
      </c>
      <c r="W17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8" t="str">
        <f t="shared" ca="1" si="190"/>
        <v>Due/Open</v>
      </c>
      <c r="Y1768" t="str">
        <f t="shared" si="191"/>
        <v>Open</v>
      </c>
      <c r="Z1768" t="str">
        <f t="shared" si="192"/>
        <v>Nov-2025</v>
      </c>
      <c r="AA1768" t="str">
        <f t="shared" si="193"/>
        <v>Q4 2025</v>
      </c>
      <c r="AB1768" s="4">
        <f t="shared" ca="1" si="194"/>
        <v>231</v>
      </c>
      <c r="AC1768" t="str">
        <f t="shared" si="195"/>
        <v>Medium</v>
      </c>
    </row>
    <row r="1769" spans="1:29">
      <c r="A1769" t="s">
        <v>6134</v>
      </c>
      <c r="B1769" s="2">
        <v>45670</v>
      </c>
      <c r="C1769" t="s">
        <v>2250</v>
      </c>
      <c r="D1769" t="s">
        <v>1148</v>
      </c>
      <c r="E1769" t="s">
        <v>6135</v>
      </c>
      <c r="F1769" t="s">
        <v>6136</v>
      </c>
      <c r="G1769" t="s">
        <v>47</v>
      </c>
      <c r="H1769" t="s">
        <v>48</v>
      </c>
      <c r="I1769" t="s">
        <v>141</v>
      </c>
      <c r="J1769" t="s">
        <v>131</v>
      </c>
      <c r="K1769" t="s">
        <v>100</v>
      </c>
      <c r="L1769" t="s">
        <v>239</v>
      </c>
      <c r="M1769" t="s">
        <v>116</v>
      </c>
      <c r="N1769" t="s">
        <v>54</v>
      </c>
      <c r="O1769" s="3">
        <v>270000</v>
      </c>
      <c r="P1769" s="4">
        <v>15</v>
      </c>
      <c r="Q1769" s="2">
        <v>45721</v>
      </c>
      <c r="R1769" s="2">
        <v>46211</v>
      </c>
      <c r="S1769" s="2">
        <v>45671</v>
      </c>
      <c r="T1769" s="2"/>
      <c r="U1769" t="str">
        <f t="shared" si="189"/>
        <v>No</v>
      </c>
      <c r="W17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69" t="str">
        <f t="shared" ca="1" si="190"/>
        <v>Due/Open</v>
      </c>
      <c r="Y1769" t="str">
        <f t="shared" si="191"/>
        <v>Open</v>
      </c>
      <c r="Z1769" t="str">
        <f t="shared" si="192"/>
        <v>Jan-2025</v>
      </c>
      <c r="AA1769" t="str">
        <f t="shared" si="193"/>
        <v>Q1 2025</v>
      </c>
      <c r="AB1769" s="4">
        <f t="shared" ca="1" si="194"/>
        <v>529</v>
      </c>
      <c r="AC1769" t="str">
        <f t="shared" si="195"/>
        <v>Medium</v>
      </c>
    </row>
    <row r="1770" spans="1:29">
      <c r="A1770" t="s">
        <v>6137</v>
      </c>
      <c r="B1770" s="2">
        <v>45784</v>
      </c>
      <c r="C1770" t="s">
        <v>6138</v>
      </c>
      <c r="D1770" t="s">
        <v>2827</v>
      </c>
      <c r="E1770" t="s">
        <v>6139</v>
      </c>
      <c r="F1770" t="s">
        <v>6140</v>
      </c>
      <c r="G1770" t="s">
        <v>34</v>
      </c>
      <c r="H1770" t="s">
        <v>60</v>
      </c>
      <c r="I1770" t="s">
        <v>98</v>
      </c>
      <c r="J1770" t="s">
        <v>62</v>
      </c>
      <c r="K1770" t="s">
        <v>100</v>
      </c>
      <c r="L1770" t="s">
        <v>239</v>
      </c>
      <c r="M1770" t="s">
        <v>82</v>
      </c>
      <c r="N1770" t="s">
        <v>83</v>
      </c>
      <c r="O1770" s="3">
        <v>110000</v>
      </c>
      <c r="P1770" s="4">
        <v>10</v>
      </c>
      <c r="Q1770" s="2">
        <v>45865</v>
      </c>
      <c r="R1770" s="2">
        <v>46216</v>
      </c>
      <c r="S1770" s="2">
        <v>45807</v>
      </c>
      <c r="T1770" s="2"/>
      <c r="U1770" t="str">
        <f t="shared" si="189"/>
        <v>No</v>
      </c>
      <c r="W17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0" t="str">
        <f t="shared" ca="1" si="190"/>
        <v>Due/Open</v>
      </c>
      <c r="Y1770" t="str">
        <f t="shared" si="191"/>
        <v>Open</v>
      </c>
      <c r="Z1770" t="str">
        <f t="shared" si="192"/>
        <v>May-2025</v>
      </c>
      <c r="AA1770" t="str">
        <f t="shared" si="193"/>
        <v>Q2 2025</v>
      </c>
      <c r="AB1770" s="4">
        <f t="shared" ca="1" si="194"/>
        <v>415</v>
      </c>
      <c r="AC1770" t="str">
        <f t="shared" si="195"/>
        <v>Low</v>
      </c>
    </row>
    <row r="1771" spans="1:29">
      <c r="A1771" t="s">
        <v>6141</v>
      </c>
      <c r="B1771" s="2">
        <v>45982</v>
      </c>
      <c r="C1771" t="s">
        <v>4918</v>
      </c>
      <c r="D1771" t="s">
        <v>443</v>
      </c>
      <c r="E1771" t="s">
        <v>6142</v>
      </c>
      <c r="F1771" t="s">
        <v>6143</v>
      </c>
      <c r="G1771" t="s">
        <v>79</v>
      </c>
      <c r="H1771" t="s">
        <v>106</v>
      </c>
      <c r="I1771" t="s">
        <v>98</v>
      </c>
      <c r="J1771" t="s">
        <v>131</v>
      </c>
      <c r="K1771" t="s">
        <v>100</v>
      </c>
      <c r="L1771" t="s">
        <v>39</v>
      </c>
      <c r="M1771" t="s">
        <v>90</v>
      </c>
      <c r="N1771" t="s">
        <v>91</v>
      </c>
      <c r="O1771" s="3">
        <v>230000</v>
      </c>
      <c r="P1771" s="4">
        <v>50</v>
      </c>
      <c r="Q1771" s="2">
        <v>46069</v>
      </c>
      <c r="R1771" s="2">
        <v>46196</v>
      </c>
      <c r="S1771" s="2">
        <v>46010</v>
      </c>
      <c r="T1771" s="2"/>
      <c r="U1771" t="str">
        <f t="shared" si="189"/>
        <v>No</v>
      </c>
      <c r="W17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1" t="str">
        <f t="shared" ca="1" si="190"/>
        <v>Overdue</v>
      </c>
      <c r="Y1771" t="str">
        <f t="shared" si="191"/>
        <v>Open</v>
      </c>
      <c r="Z1771" t="str">
        <f t="shared" si="192"/>
        <v>Nov-2025</v>
      </c>
      <c r="AA1771" t="str">
        <f t="shared" si="193"/>
        <v>Q4 2025</v>
      </c>
      <c r="AB1771" s="4">
        <f t="shared" ca="1" si="194"/>
        <v>217</v>
      </c>
      <c r="AC1771" t="str">
        <f t="shared" si="195"/>
        <v>Medium</v>
      </c>
    </row>
    <row r="1772" spans="1:29">
      <c r="A1772" t="s">
        <v>6144</v>
      </c>
      <c r="B1772" s="2">
        <v>46032</v>
      </c>
      <c r="C1772" t="s">
        <v>622</v>
      </c>
      <c r="D1772" t="s">
        <v>755</v>
      </c>
      <c r="E1772" t="s">
        <v>6145</v>
      </c>
      <c r="F1772" t="s">
        <v>6146</v>
      </c>
      <c r="G1772" t="s">
        <v>79</v>
      </c>
      <c r="H1772" t="s">
        <v>106</v>
      </c>
      <c r="I1772" t="s">
        <v>36</v>
      </c>
      <c r="J1772" t="s">
        <v>37</v>
      </c>
      <c r="K1772" t="s">
        <v>51</v>
      </c>
      <c r="L1772" t="s">
        <v>154</v>
      </c>
      <c r="M1772" t="s">
        <v>166</v>
      </c>
      <c r="N1772" t="s">
        <v>167</v>
      </c>
      <c r="O1772" s="3">
        <v>125000</v>
      </c>
      <c r="P1772" s="4">
        <v>70</v>
      </c>
      <c r="Q1772" s="2">
        <v>46062</v>
      </c>
      <c r="R1772" s="2">
        <v>46205</v>
      </c>
      <c r="S1772" s="2">
        <v>46046</v>
      </c>
      <c r="T1772" s="2"/>
      <c r="U1772" t="str">
        <f t="shared" si="189"/>
        <v>No</v>
      </c>
      <c r="W17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2" t="str">
        <f t="shared" ca="1" si="190"/>
        <v>Due/Open</v>
      </c>
      <c r="Y1772" t="str">
        <f t="shared" si="191"/>
        <v>Open</v>
      </c>
      <c r="Z1772" t="str">
        <f t="shared" si="192"/>
        <v>Jan-2026</v>
      </c>
      <c r="AA1772" t="str">
        <f t="shared" si="193"/>
        <v>Q1 2026</v>
      </c>
      <c r="AB1772" s="4">
        <f t="shared" ca="1" si="194"/>
        <v>167</v>
      </c>
      <c r="AC1772" t="str">
        <f t="shared" si="195"/>
        <v>Medium</v>
      </c>
    </row>
    <row r="1773" spans="1:29">
      <c r="A1773" t="s">
        <v>6147</v>
      </c>
      <c r="B1773" s="2">
        <v>45797</v>
      </c>
      <c r="C1773" t="s">
        <v>2585</v>
      </c>
      <c r="D1773" t="s">
        <v>784</v>
      </c>
      <c r="E1773" t="s">
        <v>6148</v>
      </c>
      <c r="F1773" t="s">
        <v>6149</v>
      </c>
      <c r="G1773" t="s">
        <v>179</v>
      </c>
      <c r="H1773" t="s">
        <v>318</v>
      </c>
      <c r="I1773" t="s">
        <v>123</v>
      </c>
      <c r="J1773" t="s">
        <v>131</v>
      </c>
      <c r="K1773" t="s">
        <v>100</v>
      </c>
      <c r="L1773" t="s">
        <v>72</v>
      </c>
      <c r="M1773" t="s">
        <v>73</v>
      </c>
      <c r="N1773" t="s">
        <v>73</v>
      </c>
      <c r="O1773" s="3">
        <v>320000</v>
      </c>
      <c r="P1773" s="4">
        <v>85</v>
      </c>
      <c r="Q1773" s="2">
        <v>45839</v>
      </c>
      <c r="R1773" s="2">
        <v>46217</v>
      </c>
      <c r="S1773" s="2">
        <v>45821</v>
      </c>
      <c r="T1773" s="2"/>
      <c r="U1773" t="str">
        <f t="shared" si="189"/>
        <v>No</v>
      </c>
      <c r="W17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3" t="str">
        <f t="shared" ca="1" si="190"/>
        <v>Due/Open</v>
      </c>
      <c r="Y1773" t="str">
        <f t="shared" si="191"/>
        <v>Open</v>
      </c>
      <c r="Z1773" t="str">
        <f t="shared" si="192"/>
        <v>May-2025</v>
      </c>
      <c r="AA1773" t="str">
        <f t="shared" si="193"/>
        <v>Q2 2025</v>
      </c>
      <c r="AB1773" s="4">
        <f t="shared" ca="1" si="194"/>
        <v>402</v>
      </c>
      <c r="AC1773" t="str">
        <f t="shared" si="195"/>
        <v>High</v>
      </c>
    </row>
    <row r="1774" spans="1:29">
      <c r="A1774" t="s">
        <v>6150</v>
      </c>
      <c r="B1774" s="2">
        <v>46108</v>
      </c>
      <c r="C1774" t="s">
        <v>1928</v>
      </c>
      <c r="D1774" t="s">
        <v>2897</v>
      </c>
      <c r="E1774" t="s">
        <v>6151</v>
      </c>
      <c r="F1774" t="s">
        <v>6152</v>
      </c>
      <c r="G1774" t="s">
        <v>79</v>
      </c>
      <c r="H1774" t="s">
        <v>106</v>
      </c>
      <c r="I1774" t="s">
        <v>36</v>
      </c>
      <c r="J1774" t="s">
        <v>131</v>
      </c>
      <c r="K1774" t="s">
        <v>100</v>
      </c>
      <c r="L1774" t="s">
        <v>142</v>
      </c>
      <c r="M1774" t="s">
        <v>166</v>
      </c>
      <c r="N1774" t="s">
        <v>167</v>
      </c>
      <c r="O1774" s="3">
        <v>215000</v>
      </c>
      <c r="P1774" s="4">
        <v>65</v>
      </c>
      <c r="Q1774" s="2">
        <v>46195</v>
      </c>
      <c r="R1774" s="2">
        <v>46216</v>
      </c>
      <c r="S1774" s="2">
        <v>46125</v>
      </c>
      <c r="T1774" s="2"/>
      <c r="U1774" t="str">
        <f t="shared" si="189"/>
        <v>No</v>
      </c>
      <c r="W17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4" t="str">
        <f t="shared" ca="1" si="190"/>
        <v>Due/Open</v>
      </c>
      <c r="Y1774" t="str">
        <f t="shared" si="191"/>
        <v>Open</v>
      </c>
      <c r="Z1774" t="str">
        <f t="shared" si="192"/>
        <v>Mar-2026</v>
      </c>
      <c r="AA1774" t="str">
        <f t="shared" si="193"/>
        <v>Q1 2026</v>
      </c>
      <c r="AB1774" s="4">
        <f t="shared" ca="1" si="194"/>
        <v>91</v>
      </c>
      <c r="AC1774" t="str">
        <f t="shared" si="195"/>
        <v>Medium</v>
      </c>
    </row>
    <row r="1775" spans="1:29">
      <c r="A1775" t="s">
        <v>6153</v>
      </c>
      <c r="B1775" s="2">
        <v>45922</v>
      </c>
      <c r="C1775" t="s">
        <v>1237</v>
      </c>
      <c r="D1775" t="s">
        <v>1416</v>
      </c>
      <c r="E1775" t="s">
        <v>6154</v>
      </c>
      <c r="F1775" t="s">
        <v>6155</v>
      </c>
      <c r="G1775" t="s">
        <v>47</v>
      </c>
      <c r="H1775" t="s">
        <v>113</v>
      </c>
      <c r="I1775" t="s">
        <v>36</v>
      </c>
      <c r="J1775" t="s">
        <v>50</v>
      </c>
      <c r="K1775" t="s">
        <v>71</v>
      </c>
      <c r="L1775" t="s">
        <v>107</v>
      </c>
      <c r="M1775" t="s">
        <v>166</v>
      </c>
      <c r="N1775" t="s">
        <v>167</v>
      </c>
      <c r="O1775" s="3">
        <v>195000</v>
      </c>
      <c r="P1775" s="4">
        <v>70</v>
      </c>
      <c r="Q1775" s="2">
        <v>45959</v>
      </c>
      <c r="R1775" s="2">
        <v>46199</v>
      </c>
      <c r="S1775" s="2">
        <v>45949</v>
      </c>
      <c r="T1775" s="2"/>
      <c r="U1775" t="str">
        <f t="shared" si="189"/>
        <v>No</v>
      </c>
      <c r="W17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5" t="str">
        <f t="shared" ca="1" si="190"/>
        <v>Due/Open</v>
      </c>
      <c r="Y1775" t="str">
        <f t="shared" si="191"/>
        <v>Open</v>
      </c>
      <c r="Z1775" t="str">
        <f t="shared" si="192"/>
        <v>Sep-2025</v>
      </c>
      <c r="AA1775" t="str">
        <f t="shared" si="193"/>
        <v>Q3 2025</v>
      </c>
      <c r="AB1775" s="4">
        <f t="shared" ca="1" si="194"/>
        <v>277</v>
      </c>
      <c r="AC1775" t="str">
        <f t="shared" si="195"/>
        <v>Medium</v>
      </c>
    </row>
    <row r="1776" spans="1:29">
      <c r="A1776" t="s">
        <v>6156</v>
      </c>
      <c r="B1776" s="2">
        <v>46128</v>
      </c>
      <c r="C1776" t="s">
        <v>2222</v>
      </c>
      <c r="D1776" t="s">
        <v>701</v>
      </c>
      <c r="E1776" t="s">
        <v>6157</v>
      </c>
      <c r="F1776" t="s">
        <v>6158</v>
      </c>
      <c r="G1776" t="s">
        <v>179</v>
      </c>
      <c r="H1776" t="s">
        <v>318</v>
      </c>
      <c r="I1776" t="s">
        <v>148</v>
      </c>
      <c r="J1776" t="s">
        <v>131</v>
      </c>
      <c r="K1776" t="s">
        <v>194</v>
      </c>
      <c r="L1776" t="s">
        <v>154</v>
      </c>
      <c r="M1776" t="s">
        <v>90</v>
      </c>
      <c r="N1776" t="s">
        <v>91</v>
      </c>
      <c r="O1776" s="3">
        <v>95000</v>
      </c>
      <c r="P1776" s="4">
        <v>40</v>
      </c>
      <c r="Q1776" s="2">
        <v>46194</v>
      </c>
      <c r="R1776" s="2">
        <v>46210</v>
      </c>
      <c r="S1776" s="2">
        <v>46129</v>
      </c>
      <c r="T1776" s="2"/>
      <c r="U1776" t="str">
        <f t="shared" si="189"/>
        <v>No</v>
      </c>
      <c r="W17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6" t="str">
        <f t="shared" ca="1" si="190"/>
        <v>Due/Open</v>
      </c>
      <c r="Y1776" t="str">
        <f t="shared" si="191"/>
        <v>Open</v>
      </c>
      <c r="Z1776" t="str">
        <f t="shared" si="192"/>
        <v>Apr-2026</v>
      </c>
      <c r="AA1776" t="str">
        <f t="shared" si="193"/>
        <v>Q2 2026</v>
      </c>
      <c r="AB1776" s="4">
        <f t="shared" ca="1" si="194"/>
        <v>71</v>
      </c>
      <c r="AC1776" t="str">
        <f t="shared" si="195"/>
        <v>Low</v>
      </c>
    </row>
    <row r="1777" spans="1:29">
      <c r="A1777" t="s">
        <v>6159</v>
      </c>
      <c r="B1777" s="2">
        <v>46013</v>
      </c>
      <c r="C1777" t="s">
        <v>2987</v>
      </c>
      <c r="D1777" t="s">
        <v>1701</v>
      </c>
      <c r="E1777" t="s">
        <v>6160</v>
      </c>
      <c r="F1777" t="s">
        <v>6161</v>
      </c>
      <c r="G1777" t="s">
        <v>69</v>
      </c>
      <c r="H1777" t="s">
        <v>285</v>
      </c>
      <c r="I1777" t="s">
        <v>49</v>
      </c>
      <c r="J1777" t="s">
        <v>99</v>
      </c>
      <c r="K1777" t="s">
        <v>38</v>
      </c>
      <c r="L1777" t="s">
        <v>81</v>
      </c>
      <c r="M1777" t="s">
        <v>90</v>
      </c>
      <c r="N1777" t="s">
        <v>91</v>
      </c>
      <c r="O1777" s="3">
        <v>365000</v>
      </c>
      <c r="P1777" s="4">
        <v>55</v>
      </c>
      <c r="Q1777" s="2">
        <v>46069</v>
      </c>
      <c r="R1777" s="2">
        <v>46227</v>
      </c>
      <c r="S1777" s="2">
        <v>46024</v>
      </c>
      <c r="T1777" s="2"/>
      <c r="U1777" t="str">
        <f t="shared" si="189"/>
        <v>No</v>
      </c>
      <c r="W17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7" t="str">
        <f t="shared" ca="1" si="190"/>
        <v>Due/Open</v>
      </c>
      <c r="Y1777" t="str">
        <f t="shared" si="191"/>
        <v>Open</v>
      </c>
      <c r="Z1777" t="str">
        <f t="shared" si="192"/>
        <v>Dec-2025</v>
      </c>
      <c r="AA1777" t="str">
        <f t="shared" si="193"/>
        <v>Q4 2025</v>
      </c>
      <c r="AB1777" s="4">
        <f t="shared" ca="1" si="194"/>
        <v>186</v>
      </c>
      <c r="AC1777" t="str">
        <f t="shared" si="195"/>
        <v>High</v>
      </c>
    </row>
    <row r="1778" spans="1:29">
      <c r="A1778" t="s">
        <v>6162</v>
      </c>
      <c r="B1778" s="2">
        <v>45763</v>
      </c>
      <c r="C1778" t="s">
        <v>1358</v>
      </c>
      <c r="D1778" t="s">
        <v>1127</v>
      </c>
      <c r="E1778" t="s">
        <v>6163</v>
      </c>
      <c r="F1778" t="s">
        <v>6164</v>
      </c>
      <c r="G1778" t="s">
        <v>79</v>
      </c>
      <c r="H1778" t="s">
        <v>106</v>
      </c>
      <c r="I1778" t="s">
        <v>123</v>
      </c>
      <c r="J1778" t="s">
        <v>50</v>
      </c>
      <c r="K1778" t="s">
        <v>71</v>
      </c>
      <c r="L1778" t="s">
        <v>132</v>
      </c>
      <c r="M1778" t="s">
        <v>53</v>
      </c>
      <c r="N1778" t="s">
        <v>54</v>
      </c>
      <c r="O1778" s="3">
        <v>210000</v>
      </c>
      <c r="P1778" s="4">
        <v>35</v>
      </c>
      <c r="Q1778" s="2">
        <v>45793</v>
      </c>
      <c r="R1778" s="2">
        <v>46225</v>
      </c>
      <c r="S1778" s="2">
        <v>45783</v>
      </c>
      <c r="T1778" s="2"/>
      <c r="U1778" t="str">
        <f t="shared" si="189"/>
        <v>No</v>
      </c>
      <c r="W17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8" t="str">
        <f t="shared" ca="1" si="190"/>
        <v>Due/Open</v>
      </c>
      <c r="Y1778" t="str">
        <f t="shared" si="191"/>
        <v>Open</v>
      </c>
      <c r="Z1778" t="str">
        <f t="shared" si="192"/>
        <v>Apr-2025</v>
      </c>
      <c r="AA1778" t="str">
        <f t="shared" si="193"/>
        <v>Q2 2025</v>
      </c>
      <c r="AB1778" s="4">
        <f t="shared" ca="1" si="194"/>
        <v>436</v>
      </c>
      <c r="AC1778" t="str">
        <f t="shared" si="195"/>
        <v>Medium</v>
      </c>
    </row>
    <row r="1779" spans="1:29">
      <c r="A1779" t="s">
        <v>6165</v>
      </c>
      <c r="B1779" s="2">
        <v>46107</v>
      </c>
      <c r="C1779" t="s">
        <v>538</v>
      </c>
      <c r="D1779" t="s">
        <v>1404</v>
      </c>
      <c r="E1779" t="s">
        <v>6166</v>
      </c>
      <c r="F1779" t="s">
        <v>6167</v>
      </c>
      <c r="G1779" t="s">
        <v>47</v>
      </c>
      <c r="H1779" t="s">
        <v>89</v>
      </c>
      <c r="I1779" t="s">
        <v>98</v>
      </c>
      <c r="J1779" t="s">
        <v>50</v>
      </c>
      <c r="K1779" t="s">
        <v>51</v>
      </c>
      <c r="L1779" t="s">
        <v>132</v>
      </c>
      <c r="M1779" t="s">
        <v>53</v>
      </c>
      <c r="N1779" t="s">
        <v>54</v>
      </c>
      <c r="O1779" s="3">
        <v>440000</v>
      </c>
      <c r="P1779" s="4">
        <v>30</v>
      </c>
      <c r="Q1779" s="2">
        <v>46130</v>
      </c>
      <c r="R1779" s="2">
        <v>46227</v>
      </c>
      <c r="S1779" s="2">
        <v>46123</v>
      </c>
      <c r="T1779" s="2"/>
      <c r="U1779" t="str">
        <f t="shared" si="189"/>
        <v>No</v>
      </c>
      <c r="W17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79" t="str">
        <f t="shared" ca="1" si="190"/>
        <v>Due/Open</v>
      </c>
      <c r="Y1779" t="str">
        <f t="shared" si="191"/>
        <v>Open</v>
      </c>
      <c r="Z1779" t="str">
        <f t="shared" si="192"/>
        <v>Mar-2026</v>
      </c>
      <c r="AA1779" t="str">
        <f t="shared" si="193"/>
        <v>Q1 2026</v>
      </c>
      <c r="AB1779" s="4">
        <f t="shared" ca="1" si="194"/>
        <v>92</v>
      </c>
      <c r="AC1779" t="str">
        <f t="shared" si="195"/>
        <v>High</v>
      </c>
    </row>
    <row r="1780" spans="1:29">
      <c r="A1780" t="s">
        <v>6168</v>
      </c>
      <c r="B1780" s="2">
        <v>45762</v>
      </c>
      <c r="C1780" t="s">
        <v>3327</v>
      </c>
      <c r="D1780" t="s">
        <v>831</v>
      </c>
      <c r="E1780" t="s">
        <v>6169</v>
      </c>
      <c r="F1780" t="s">
        <v>6170</v>
      </c>
      <c r="G1780" t="s">
        <v>34</v>
      </c>
      <c r="H1780" t="s">
        <v>35</v>
      </c>
      <c r="I1780" t="s">
        <v>148</v>
      </c>
      <c r="J1780" t="s">
        <v>62</v>
      </c>
      <c r="K1780" t="s">
        <v>194</v>
      </c>
      <c r="L1780" t="s">
        <v>132</v>
      </c>
      <c r="M1780" t="s">
        <v>82</v>
      </c>
      <c r="N1780" t="s">
        <v>83</v>
      </c>
      <c r="O1780" s="3">
        <v>285000</v>
      </c>
      <c r="P1780" s="4">
        <v>5</v>
      </c>
      <c r="Q1780" s="2">
        <v>45841</v>
      </c>
      <c r="R1780" s="2">
        <v>46229</v>
      </c>
      <c r="S1780" s="2">
        <v>45784</v>
      </c>
      <c r="T1780" s="2"/>
      <c r="U1780" t="str">
        <f t="shared" si="189"/>
        <v>No</v>
      </c>
      <c r="W17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0" t="str">
        <f t="shared" ca="1" si="190"/>
        <v>Due/Open</v>
      </c>
      <c r="Y1780" t="str">
        <f t="shared" si="191"/>
        <v>Open</v>
      </c>
      <c r="Z1780" t="str">
        <f t="shared" si="192"/>
        <v>Apr-2025</v>
      </c>
      <c r="AA1780" t="str">
        <f t="shared" si="193"/>
        <v>Q2 2025</v>
      </c>
      <c r="AB1780" s="4">
        <f t="shared" ca="1" si="194"/>
        <v>437</v>
      </c>
      <c r="AC1780" t="str">
        <f t="shared" si="195"/>
        <v>Medium</v>
      </c>
    </row>
    <row r="1781" spans="1:29">
      <c r="A1781" t="s">
        <v>6171</v>
      </c>
      <c r="B1781" s="2">
        <v>45936</v>
      </c>
      <c r="C1781" t="s">
        <v>771</v>
      </c>
      <c r="D1781" t="s">
        <v>433</v>
      </c>
      <c r="E1781" t="s">
        <v>6172</v>
      </c>
      <c r="F1781" t="s">
        <v>6173</v>
      </c>
      <c r="G1781" t="s">
        <v>79</v>
      </c>
      <c r="H1781" t="s">
        <v>106</v>
      </c>
      <c r="I1781" t="s">
        <v>36</v>
      </c>
      <c r="J1781" t="s">
        <v>99</v>
      </c>
      <c r="K1781" t="s">
        <v>114</v>
      </c>
      <c r="L1781" t="s">
        <v>81</v>
      </c>
      <c r="M1781" t="s">
        <v>90</v>
      </c>
      <c r="N1781" t="s">
        <v>91</v>
      </c>
      <c r="O1781" s="3">
        <v>385000</v>
      </c>
      <c r="P1781" s="4">
        <v>55</v>
      </c>
      <c r="Q1781" s="2">
        <v>46006</v>
      </c>
      <c r="R1781" s="2">
        <v>46222</v>
      </c>
      <c r="S1781" s="2">
        <v>45945</v>
      </c>
      <c r="T1781" s="2"/>
      <c r="U1781" t="str">
        <f t="shared" si="189"/>
        <v>No</v>
      </c>
      <c r="W17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1" t="str">
        <f t="shared" ca="1" si="190"/>
        <v>Due/Open</v>
      </c>
      <c r="Y1781" t="str">
        <f t="shared" si="191"/>
        <v>Open</v>
      </c>
      <c r="Z1781" t="str">
        <f t="shared" si="192"/>
        <v>Oct-2025</v>
      </c>
      <c r="AA1781" t="str">
        <f t="shared" si="193"/>
        <v>Q4 2025</v>
      </c>
      <c r="AB1781" s="4">
        <f t="shared" ca="1" si="194"/>
        <v>263</v>
      </c>
      <c r="AC1781" t="str">
        <f t="shared" si="195"/>
        <v>High</v>
      </c>
    </row>
    <row r="1782" spans="1:29">
      <c r="A1782" t="s">
        <v>6174</v>
      </c>
      <c r="B1782" s="2">
        <v>45911</v>
      </c>
      <c r="C1782" t="s">
        <v>1802</v>
      </c>
      <c r="D1782" t="s">
        <v>1460</v>
      </c>
      <c r="E1782" t="s">
        <v>6175</v>
      </c>
      <c r="F1782" t="s">
        <v>6176</v>
      </c>
      <c r="G1782" t="s">
        <v>79</v>
      </c>
      <c r="H1782" t="s">
        <v>97</v>
      </c>
      <c r="I1782" t="s">
        <v>36</v>
      </c>
      <c r="J1782" t="s">
        <v>99</v>
      </c>
      <c r="K1782" t="s">
        <v>71</v>
      </c>
      <c r="L1782" t="s">
        <v>52</v>
      </c>
      <c r="M1782" t="s">
        <v>133</v>
      </c>
      <c r="N1782" t="s">
        <v>134</v>
      </c>
      <c r="O1782" s="3">
        <v>590000</v>
      </c>
      <c r="P1782" s="4">
        <v>0</v>
      </c>
      <c r="Q1782" s="2">
        <v>45928</v>
      </c>
      <c r="R1782" s="2"/>
      <c r="S1782" s="2">
        <v>45925</v>
      </c>
      <c r="T1782" s="2">
        <v>45928</v>
      </c>
      <c r="U1782" t="str">
        <f t="shared" si="189"/>
        <v>No</v>
      </c>
      <c r="V1782" t="s">
        <v>211</v>
      </c>
      <c r="W178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17</v>
      </c>
      <c r="X1782" t="str">
        <f t="shared" ca="1" si="190"/>
        <v>Closed</v>
      </c>
      <c r="Y1782" t="str">
        <f t="shared" si="191"/>
        <v>Closed</v>
      </c>
      <c r="Z1782" t="str">
        <f t="shared" si="192"/>
        <v>Sep-2025</v>
      </c>
      <c r="AA1782" t="str">
        <f t="shared" si="193"/>
        <v>Q3 2025</v>
      </c>
      <c r="AB1782" s="4">
        <f t="shared" ca="1" si="194"/>
        <v>288</v>
      </c>
      <c r="AC1782" t="str">
        <f t="shared" si="195"/>
        <v>High</v>
      </c>
    </row>
    <row r="1783" spans="1:29">
      <c r="A1783" t="s">
        <v>6177</v>
      </c>
      <c r="B1783" s="2">
        <v>45964</v>
      </c>
      <c r="C1783" t="s">
        <v>219</v>
      </c>
      <c r="D1783" t="s">
        <v>1012</v>
      </c>
      <c r="E1783" t="s">
        <v>6178</v>
      </c>
      <c r="F1783" t="s">
        <v>6179</v>
      </c>
      <c r="G1783" t="s">
        <v>47</v>
      </c>
      <c r="H1783" t="s">
        <v>113</v>
      </c>
      <c r="I1783" t="s">
        <v>36</v>
      </c>
      <c r="J1783" t="s">
        <v>50</v>
      </c>
      <c r="K1783" t="s">
        <v>114</v>
      </c>
      <c r="L1783" t="s">
        <v>39</v>
      </c>
      <c r="M1783" t="s">
        <v>73</v>
      </c>
      <c r="N1783" t="s">
        <v>73</v>
      </c>
      <c r="O1783" s="3">
        <v>315000</v>
      </c>
      <c r="P1783" s="4">
        <v>80</v>
      </c>
      <c r="Q1783" s="2">
        <v>46019</v>
      </c>
      <c r="R1783" s="2">
        <v>46154</v>
      </c>
      <c r="S1783" s="2">
        <v>45984</v>
      </c>
      <c r="T1783" s="2"/>
      <c r="U1783" t="str">
        <f t="shared" si="189"/>
        <v>No</v>
      </c>
      <c r="W17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3" t="str">
        <f t="shared" ca="1" si="190"/>
        <v>Overdue</v>
      </c>
      <c r="Y1783" t="str">
        <f t="shared" si="191"/>
        <v>Open</v>
      </c>
      <c r="Z1783" t="str">
        <f t="shared" si="192"/>
        <v>Nov-2025</v>
      </c>
      <c r="AA1783" t="str">
        <f t="shared" si="193"/>
        <v>Q4 2025</v>
      </c>
      <c r="AB1783" s="4">
        <f t="shared" ca="1" si="194"/>
        <v>235</v>
      </c>
      <c r="AC1783" t="str">
        <f t="shared" si="195"/>
        <v>High</v>
      </c>
    </row>
    <row r="1784" spans="1:29">
      <c r="A1784" t="s">
        <v>6180</v>
      </c>
      <c r="B1784" s="2">
        <v>45680</v>
      </c>
      <c r="C1784" t="s">
        <v>2389</v>
      </c>
      <c r="D1784" t="s">
        <v>1366</v>
      </c>
      <c r="E1784" t="s">
        <v>6181</v>
      </c>
      <c r="F1784" t="s">
        <v>6182</v>
      </c>
      <c r="G1784" t="s">
        <v>34</v>
      </c>
      <c r="H1784" t="s">
        <v>160</v>
      </c>
      <c r="I1784" t="s">
        <v>98</v>
      </c>
      <c r="J1784" t="s">
        <v>37</v>
      </c>
      <c r="K1784" t="s">
        <v>194</v>
      </c>
      <c r="L1784" t="s">
        <v>107</v>
      </c>
      <c r="M1784" t="s">
        <v>166</v>
      </c>
      <c r="N1784" t="s">
        <v>167</v>
      </c>
      <c r="O1784" s="3">
        <v>35000</v>
      </c>
      <c r="P1784" s="4">
        <v>60</v>
      </c>
      <c r="Q1784" s="2">
        <v>45774</v>
      </c>
      <c r="R1784" s="2">
        <v>46172</v>
      </c>
      <c r="S1784" s="2">
        <v>45693</v>
      </c>
      <c r="T1784" s="2"/>
      <c r="U1784" t="str">
        <f t="shared" si="189"/>
        <v>No</v>
      </c>
      <c r="W17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4" t="str">
        <f t="shared" ca="1" si="190"/>
        <v>Overdue</v>
      </c>
      <c r="Y1784" t="str">
        <f t="shared" si="191"/>
        <v>Open</v>
      </c>
      <c r="Z1784" t="str">
        <f t="shared" si="192"/>
        <v>Jan-2025</v>
      </c>
      <c r="AA1784" t="str">
        <f t="shared" si="193"/>
        <v>Q1 2025</v>
      </c>
      <c r="AB1784" s="4">
        <f t="shared" ca="1" si="194"/>
        <v>519</v>
      </c>
      <c r="AC1784" t="str">
        <f t="shared" si="195"/>
        <v>Low</v>
      </c>
    </row>
    <row r="1785" spans="1:29">
      <c r="A1785" t="s">
        <v>6183</v>
      </c>
      <c r="B1785" s="2">
        <v>45819</v>
      </c>
      <c r="C1785" t="s">
        <v>475</v>
      </c>
      <c r="D1785" t="s">
        <v>357</v>
      </c>
      <c r="E1785" t="s">
        <v>6184</v>
      </c>
      <c r="F1785" t="s">
        <v>6185</v>
      </c>
      <c r="G1785" t="s">
        <v>34</v>
      </c>
      <c r="H1785" t="s">
        <v>446</v>
      </c>
      <c r="I1785" t="s">
        <v>141</v>
      </c>
      <c r="J1785" t="s">
        <v>131</v>
      </c>
      <c r="K1785" t="s">
        <v>114</v>
      </c>
      <c r="L1785" t="s">
        <v>63</v>
      </c>
      <c r="M1785" t="s">
        <v>210</v>
      </c>
      <c r="N1785" t="s">
        <v>134</v>
      </c>
      <c r="O1785" s="3">
        <v>310000</v>
      </c>
      <c r="P1785" s="4">
        <v>0</v>
      </c>
      <c r="Q1785" s="2">
        <v>45884</v>
      </c>
      <c r="R1785" s="2"/>
      <c r="S1785" s="2">
        <v>45838</v>
      </c>
      <c r="T1785" s="2">
        <v>45884</v>
      </c>
      <c r="U1785" t="str">
        <f t="shared" si="189"/>
        <v>No</v>
      </c>
      <c r="V1785" t="s">
        <v>135</v>
      </c>
      <c r="W178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65</v>
      </c>
      <c r="X1785" t="str">
        <f t="shared" ca="1" si="190"/>
        <v>Closed</v>
      </c>
      <c r="Y1785" t="str">
        <f t="shared" si="191"/>
        <v>Closed</v>
      </c>
      <c r="Z1785" t="str">
        <f t="shared" si="192"/>
        <v>Jun-2025</v>
      </c>
      <c r="AA1785" t="str">
        <f t="shared" si="193"/>
        <v>Q2 2025</v>
      </c>
      <c r="AB1785" s="4">
        <f t="shared" ca="1" si="194"/>
        <v>380</v>
      </c>
      <c r="AC1785" t="str">
        <f t="shared" si="195"/>
        <v>High</v>
      </c>
    </row>
    <row r="1786" spans="1:29">
      <c r="A1786" t="s">
        <v>6186</v>
      </c>
      <c r="B1786" s="2">
        <v>45726</v>
      </c>
      <c r="C1786" t="s">
        <v>1334</v>
      </c>
      <c r="D1786" t="s">
        <v>151</v>
      </c>
      <c r="E1786" t="s">
        <v>6187</v>
      </c>
      <c r="F1786" t="s">
        <v>6188</v>
      </c>
      <c r="G1786" t="s">
        <v>79</v>
      </c>
      <c r="H1786" t="s">
        <v>97</v>
      </c>
      <c r="I1786" t="s">
        <v>36</v>
      </c>
      <c r="J1786" t="s">
        <v>99</v>
      </c>
      <c r="K1786" t="s">
        <v>71</v>
      </c>
      <c r="L1786" t="s">
        <v>239</v>
      </c>
      <c r="M1786" t="s">
        <v>73</v>
      </c>
      <c r="N1786" t="s">
        <v>73</v>
      </c>
      <c r="O1786" s="3">
        <v>260000</v>
      </c>
      <c r="P1786" s="4">
        <v>85</v>
      </c>
      <c r="Q1786" s="2">
        <v>45791</v>
      </c>
      <c r="R1786" s="2">
        <v>46217</v>
      </c>
      <c r="S1786" s="2">
        <v>45727</v>
      </c>
      <c r="T1786" s="2"/>
      <c r="U1786" t="str">
        <f t="shared" si="189"/>
        <v>No</v>
      </c>
      <c r="W17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6" t="str">
        <f t="shared" ca="1" si="190"/>
        <v>Due/Open</v>
      </c>
      <c r="Y1786" t="str">
        <f t="shared" si="191"/>
        <v>Open</v>
      </c>
      <c r="Z1786" t="str">
        <f t="shared" si="192"/>
        <v>Mar-2025</v>
      </c>
      <c r="AA1786" t="str">
        <f t="shared" si="193"/>
        <v>Q1 2025</v>
      </c>
      <c r="AB1786" s="4">
        <f t="shared" ca="1" si="194"/>
        <v>473</v>
      </c>
      <c r="AC1786" t="str">
        <f t="shared" si="195"/>
        <v>Medium</v>
      </c>
    </row>
    <row r="1787" spans="1:29">
      <c r="A1787" t="s">
        <v>6189</v>
      </c>
      <c r="B1787" s="2">
        <v>45937</v>
      </c>
      <c r="C1787" t="s">
        <v>1233</v>
      </c>
      <c r="D1787" t="s">
        <v>157</v>
      </c>
      <c r="E1787" t="s">
        <v>6190</v>
      </c>
      <c r="F1787" t="s">
        <v>6191</v>
      </c>
      <c r="G1787" t="s">
        <v>34</v>
      </c>
      <c r="H1787" t="s">
        <v>238</v>
      </c>
      <c r="I1787" t="s">
        <v>61</v>
      </c>
      <c r="J1787" t="s">
        <v>50</v>
      </c>
      <c r="K1787" t="s">
        <v>71</v>
      </c>
      <c r="L1787" t="s">
        <v>72</v>
      </c>
      <c r="M1787" t="s">
        <v>90</v>
      </c>
      <c r="N1787" t="s">
        <v>91</v>
      </c>
      <c r="O1787" s="3">
        <v>350000</v>
      </c>
      <c r="P1787" s="4">
        <v>40</v>
      </c>
      <c r="Q1787" s="2">
        <v>45974</v>
      </c>
      <c r="R1787" s="2">
        <v>46239</v>
      </c>
      <c r="S1787" s="2">
        <v>45965</v>
      </c>
      <c r="T1787" s="2"/>
      <c r="U1787" t="str">
        <f t="shared" si="189"/>
        <v>No</v>
      </c>
      <c r="W17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7" t="str">
        <f t="shared" ca="1" si="190"/>
        <v>Due/Open</v>
      </c>
      <c r="Y1787" t="str">
        <f t="shared" si="191"/>
        <v>Open</v>
      </c>
      <c r="Z1787" t="str">
        <f t="shared" si="192"/>
        <v>Oct-2025</v>
      </c>
      <c r="AA1787" t="str">
        <f t="shared" si="193"/>
        <v>Q4 2025</v>
      </c>
      <c r="AB1787" s="4">
        <f t="shared" ca="1" si="194"/>
        <v>262</v>
      </c>
      <c r="AC1787" t="str">
        <f t="shared" si="195"/>
        <v>High</v>
      </c>
    </row>
    <row r="1788" spans="1:29">
      <c r="A1788" t="s">
        <v>6192</v>
      </c>
      <c r="B1788" s="2">
        <v>46029</v>
      </c>
      <c r="C1788" t="s">
        <v>6193</v>
      </c>
      <c r="D1788" t="s">
        <v>517</v>
      </c>
      <c r="E1788" t="s">
        <v>6194</v>
      </c>
      <c r="F1788" t="s">
        <v>6195</v>
      </c>
      <c r="G1788" t="s">
        <v>179</v>
      </c>
      <c r="H1788" t="s">
        <v>318</v>
      </c>
      <c r="I1788" t="s">
        <v>123</v>
      </c>
      <c r="J1788" t="s">
        <v>37</v>
      </c>
      <c r="K1788" t="s">
        <v>51</v>
      </c>
      <c r="L1788" t="s">
        <v>142</v>
      </c>
      <c r="M1788" t="s">
        <v>73</v>
      </c>
      <c r="N1788" t="s">
        <v>73</v>
      </c>
      <c r="O1788" s="3">
        <v>95000</v>
      </c>
      <c r="P1788" s="4">
        <v>85</v>
      </c>
      <c r="Q1788" s="2">
        <v>46049</v>
      </c>
      <c r="R1788" s="2">
        <v>46202</v>
      </c>
      <c r="S1788" s="2">
        <v>46033</v>
      </c>
      <c r="T1788" s="2"/>
      <c r="U1788" t="str">
        <f t="shared" si="189"/>
        <v>No</v>
      </c>
      <c r="W17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88" t="str">
        <f t="shared" ca="1" si="190"/>
        <v>Due/Open</v>
      </c>
      <c r="Y1788" t="str">
        <f t="shared" si="191"/>
        <v>Open</v>
      </c>
      <c r="Z1788" t="str">
        <f t="shared" si="192"/>
        <v>Jan-2026</v>
      </c>
      <c r="AA1788" t="str">
        <f t="shared" si="193"/>
        <v>Q1 2026</v>
      </c>
      <c r="AB1788" s="4">
        <f t="shared" ca="1" si="194"/>
        <v>170</v>
      </c>
      <c r="AC1788" t="str">
        <f t="shared" si="195"/>
        <v>Low</v>
      </c>
    </row>
    <row r="1789" spans="1:29">
      <c r="A1789" t="s">
        <v>6196</v>
      </c>
      <c r="B1789" s="2">
        <v>45908</v>
      </c>
      <c r="C1789" t="s">
        <v>521</v>
      </c>
      <c r="D1789" t="s">
        <v>895</v>
      </c>
      <c r="E1789" t="s">
        <v>6197</v>
      </c>
      <c r="F1789" t="s">
        <v>6198</v>
      </c>
      <c r="G1789" t="s">
        <v>179</v>
      </c>
      <c r="H1789" t="s">
        <v>296</v>
      </c>
      <c r="I1789" t="s">
        <v>187</v>
      </c>
      <c r="J1789" t="s">
        <v>37</v>
      </c>
      <c r="K1789" t="s">
        <v>38</v>
      </c>
      <c r="L1789" t="s">
        <v>63</v>
      </c>
      <c r="M1789" t="s">
        <v>40</v>
      </c>
      <c r="N1789" t="s">
        <v>41</v>
      </c>
      <c r="O1789" s="3">
        <v>80000</v>
      </c>
      <c r="P1789" s="4">
        <v>100</v>
      </c>
      <c r="Q1789" s="2">
        <v>45972</v>
      </c>
      <c r="R1789" s="2"/>
      <c r="S1789" s="2">
        <v>45924</v>
      </c>
      <c r="T1789" s="2">
        <v>45972</v>
      </c>
      <c r="U1789" t="str">
        <f t="shared" si="189"/>
        <v>Yes</v>
      </c>
      <c r="W17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64</v>
      </c>
      <c r="X1789" t="str">
        <f t="shared" ca="1" si="190"/>
        <v>Closed</v>
      </c>
      <c r="Y1789" t="str">
        <f t="shared" si="191"/>
        <v>Closed</v>
      </c>
      <c r="Z1789" t="str">
        <f t="shared" si="192"/>
        <v>Sep-2025</v>
      </c>
      <c r="AA1789" t="str">
        <f t="shared" si="193"/>
        <v>Q3 2025</v>
      </c>
      <c r="AB1789" s="4">
        <f t="shared" ca="1" si="194"/>
        <v>291</v>
      </c>
      <c r="AC1789" t="str">
        <f t="shared" si="195"/>
        <v>Low</v>
      </c>
    </row>
    <row r="1790" spans="1:29">
      <c r="A1790" t="s">
        <v>6199</v>
      </c>
      <c r="B1790" s="2">
        <v>46015</v>
      </c>
      <c r="C1790" t="s">
        <v>365</v>
      </c>
      <c r="D1790" t="s">
        <v>904</v>
      </c>
      <c r="E1790" t="s">
        <v>6200</v>
      </c>
      <c r="F1790" t="s">
        <v>6201</v>
      </c>
      <c r="G1790" t="s">
        <v>47</v>
      </c>
      <c r="H1790" t="s">
        <v>89</v>
      </c>
      <c r="I1790" t="s">
        <v>141</v>
      </c>
      <c r="J1790" t="s">
        <v>62</v>
      </c>
      <c r="K1790" t="s">
        <v>114</v>
      </c>
      <c r="L1790" t="s">
        <v>132</v>
      </c>
      <c r="M1790" t="s">
        <v>166</v>
      </c>
      <c r="N1790" t="s">
        <v>167</v>
      </c>
      <c r="O1790" s="3">
        <v>375000</v>
      </c>
      <c r="P1790" s="4">
        <v>60</v>
      </c>
      <c r="Q1790" s="2">
        <v>46068</v>
      </c>
      <c r="R1790" s="2">
        <v>46200</v>
      </c>
      <c r="S1790" s="2">
        <v>46032</v>
      </c>
      <c r="T1790" s="2"/>
      <c r="U1790" t="str">
        <f t="shared" si="189"/>
        <v>No</v>
      </c>
      <c r="W17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0" t="str">
        <f t="shared" ca="1" si="190"/>
        <v>Due/Open</v>
      </c>
      <c r="Y1790" t="str">
        <f t="shared" si="191"/>
        <v>Open</v>
      </c>
      <c r="Z1790" t="str">
        <f t="shared" si="192"/>
        <v>Dec-2025</v>
      </c>
      <c r="AA1790" t="str">
        <f t="shared" si="193"/>
        <v>Q4 2025</v>
      </c>
      <c r="AB1790" s="4">
        <f t="shared" ca="1" si="194"/>
        <v>184</v>
      </c>
      <c r="AC1790" t="str">
        <f t="shared" si="195"/>
        <v>High</v>
      </c>
    </row>
    <row r="1791" spans="1:29">
      <c r="A1791" t="s">
        <v>6202</v>
      </c>
      <c r="B1791" s="2">
        <v>46153</v>
      </c>
      <c r="C1791" t="s">
        <v>2778</v>
      </c>
      <c r="D1791" t="s">
        <v>293</v>
      </c>
      <c r="E1791" t="s">
        <v>6203</v>
      </c>
      <c r="F1791" t="s">
        <v>6204</v>
      </c>
      <c r="G1791" t="s">
        <v>79</v>
      </c>
      <c r="H1791" t="s">
        <v>80</v>
      </c>
      <c r="I1791" t="s">
        <v>141</v>
      </c>
      <c r="J1791" t="s">
        <v>37</v>
      </c>
      <c r="K1791" t="s">
        <v>194</v>
      </c>
      <c r="L1791" t="s">
        <v>52</v>
      </c>
      <c r="M1791" t="s">
        <v>210</v>
      </c>
      <c r="N1791" t="s">
        <v>134</v>
      </c>
      <c r="O1791" s="3">
        <v>45000</v>
      </c>
      <c r="P1791" s="4">
        <v>0</v>
      </c>
      <c r="Q1791" s="2">
        <v>46181</v>
      </c>
      <c r="R1791" s="2"/>
      <c r="S1791" s="2">
        <v>46173</v>
      </c>
      <c r="T1791" s="2">
        <v>46181</v>
      </c>
      <c r="U1791" t="str">
        <f t="shared" si="189"/>
        <v>No</v>
      </c>
      <c r="V1791" t="s">
        <v>276</v>
      </c>
      <c r="W17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28</v>
      </c>
      <c r="X1791" t="str">
        <f t="shared" ca="1" si="190"/>
        <v>Closed</v>
      </c>
      <c r="Y1791" t="str">
        <f t="shared" si="191"/>
        <v>Closed</v>
      </c>
      <c r="Z1791" t="str">
        <f t="shared" si="192"/>
        <v>May-2026</v>
      </c>
      <c r="AA1791" t="str">
        <f t="shared" si="193"/>
        <v>Q2 2026</v>
      </c>
      <c r="AB1791" s="4">
        <f t="shared" ca="1" si="194"/>
        <v>46</v>
      </c>
      <c r="AC1791" t="str">
        <f t="shared" si="195"/>
        <v>Low</v>
      </c>
    </row>
    <row r="1792" spans="1:29">
      <c r="A1792" t="s">
        <v>6205</v>
      </c>
      <c r="B1792" s="2">
        <v>45768</v>
      </c>
      <c r="C1792" t="s">
        <v>2546</v>
      </c>
      <c r="D1792" t="s">
        <v>590</v>
      </c>
      <c r="E1792" t="s">
        <v>6206</v>
      </c>
      <c r="F1792" t="s">
        <v>6207</v>
      </c>
      <c r="G1792" t="s">
        <v>34</v>
      </c>
      <c r="H1792" t="s">
        <v>160</v>
      </c>
      <c r="I1792" t="s">
        <v>148</v>
      </c>
      <c r="J1792" t="s">
        <v>62</v>
      </c>
      <c r="K1792" t="s">
        <v>38</v>
      </c>
      <c r="L1792" t="s">
        <v>52</v>
      </c>
      <c r="M1792" t="s">
        <v>166</v>
      </c>
      <c r="N1792" t="s">
        <v>167</v>
      </c>
      <c r="O1792" s="3">
        <v>360000</v>
      </c>
      <c r="P1792" s="4">
        <v>65</v>
      </c>
      <c r="Q1792" s="2">
        <v>45795</v>
      </c>
      <c r="R1792" s="2">
        <v>46234</v>
      </c>
      <c r="S1792" s="2">
        <v>45792</v>
      </c>
      <c r="T1792" s="2"/>
      <c r="U1792" t="str">
        <f t="shared" si="189"/>
        <v>No</v>
      </c>
      <c r="W17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2" t="str">
        <f t="shared" ca="1" si="190"/>
        <v>Due/Open</v>
      </c>
      <c r="Y1792" t="str">
        <f t="shared" si="191"/>
        <v>Open</v>
      </c>
      <c r="Z1792" t="str">
        <f t="shared" si="192"/>
        <v>Apr-2025</v>
      </c>
      <c r="AA1792" t="str">
        <f t="shared" si="193"/>
        <v>Q2 2025</v>
      </c>
      <c r="AB1792" s="4">
        <f t="shared" ca="1" si="194"/>
        <v>431</v>
      </c>
      <c r="AC1792" t="str">
        <f t="shared" si="195"/>
        <v>High</v>
      </c>
    </row>
    <row r="1793" spans="1:29">
      <c r="A1793" t="s">
        <v>6208</v>
      </c>
      <c r="B1793" s="2">
        <v>46092</v>
      </c>
      <c r="C1793" t="s">
        <v>1280</v>
      </c>
      <c r="D1793" t="s">
        <v>547</v>
      </c>
      <c r="E1793" t="s">
        <v>5116</v>
      </c>
      <c r="F1793" t="s">
        <v>6209</v>
      </c>
      <c r="G1793" t="s">
        <v>47</v>
      </c>
      <c r="H1793" t="s">
        <v>122</v>
      </c>
      <c r="I1793" t="s">
        <v>61</v>
      </c>
      <c r="J1793" t="s">
        <v>99</v>
      </c>
      <c r="K1793" t="s">
        <v>100</v>
      </c>
      <c r="L1793" t="s">
        <v>63</v>
      </c>
      <c r="M1793" t="s">
        <v>53</v>
      </c>
      <c r="N1793" t="s">
        <v>54</v>
      </c>
      <c r="O1793" s="3">
        <v>625000</v>
      </c>
      <c r="P1793" s="4">
        <v>35</v>
      </c>
      <c r="Q1793" s="2">
        <v>46141</v>
      </c>
      <c r="R1793" s="2">
        <v>46204</v>
      </c>
      <c r="S1793" s="2">
        <v>46096</v>
      </c>
      <c r="T1793" s="2"/>
      <c r="U1793" t="str">
        <f t="shared" si="189"/>
        <v>No</v>
      </c>
      <c r="W17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3" t="str">
        <f t="shared" ca="1" si="190"/>
        <v>Due/Open</v>
      </c>
      <c r="Y1793" t="str">
        <f t="shared" si="191"/>
        <v>Open</v>
      </c>
      <c r="Z1793" t="str">
        <f t="shared" si="192"/>
        <v>Mar-2026</v>
      </c>
      <c r="AA1793" t="str">
        <f t="shared" si="193"/>
        <v>Q1 2026</v>
      </c>
      <c r="AB1793" s="4">
        <f t="shared" ca="1" si="194"/>
        <v>107</v>
      </c>
      <c r="AC1793" t="str">
        <f t="shared" si="195"/>
        <v>High</v>
      </c>
    </row>
    <row r="1794" spans="1:29">
      <c r="A1794" t="s">
        <v>6210</v>
      </c>
      <c r="B1794" s="2">
        <v>46071</v>
      </c>
      <c r="C1794" t="s">
        <v>1016</v>
      </c>
      <c r="D1794" t="s">
        <v>1343</v>
      </c>
      <c r="E1794" t="s">
        <v>6211</v>
      </c>
      <c r="F1794" t="s">
        <v>6212</v>
      </c>
      <c r="G1794" t="s">
        <v>69</v>
      </c>
      <c r="H1794" t="s">
        <v>200</v>
      </c>
      <c r="I1794" t="s">
        <v>141</v>
      </c>
      <c r="J1794" t="s">
        <v>50</v>
      </c>
      <c r="K1794" t="s">
        <v>100</v>
      </c>
      <c r="L1794" t="s">
        <v>63</v>
      </c>
      <c r="M1794" t="s">
        <v>90</v>
      </c>
      <c r="N1794" t="s">
        <v>91</v>
      </c>
      <c r="O1794" s="3">
        <v>305000</v>
      </c>
      <c r="P1794" s="4">
        <v>55</v>
      </c>
      <c r="Q1794" s="2">
        <v>46134</v>
      </c>
      <c r="R1794" s="2">
        <v>46153</v>
      </c>
      <c r="S1794" s="2">
        <v>46099</v>
      </c>
      <c r="T1794" s="2"/>
      <c r="U1794" t="str">
        <f t="shared" ref="U1794:U1857" si="196">IF(M1794="Converted","Yes","No")</f>
        <v>No</v>
      </c>
      <c r="W17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4" t="str">
        <f t="shared" ref="X1794:X1857" ca="1" si="197">IF(OR(M1794="Converted",M1794="Lost",M1794="Not Interested"),"Closed",IF(R1794&lt;TODAY(),"Overdue","Due/Open"))</f>
        <v>Overdue</v>
      </c>
      <c r="Y1794" t="str">
        <f t="shared" ref="Y1794:Y1857" si="198">IF(OR(M1794="Converted",M1794="Lost",M1794="Not Interested"),"Closed","Open")</f>
        <v>Open</v>
      </c>
      <c r="Z1794" t="str">
        <f t="shared" ref="Z1794:Z1857" si="199">TEXT(B1794,"mmm-yyyy")</f>
        <v>Feb-2026</v>
      </c>
      <c r="AA1794" t="str">
        <f t="shared" ref="AA1794:AA1857" si="200">"Q"&amp;ROUNDUP(MONTH(B1794)/3,0)&amp;" "&amp;YEAR(B1794)</f>
        <v>Q1 2026</v>
      </c>
      <c r="AB1794" s="4">
        <f t="shared" ref="AB1794:AB1857" ca="1" si="201">TODAY()-B1794</f>
        <v>128</v>
      </c>
      <c r="AC1794" t="str">
        <f t="shared" ref="AC1794:AC1857" si="202">IF(O1794&gt;=300000,"High",IF(O1794&gt;=120000,"Medium","Low"))</f>
        <v>High</v>
      </c>
    </row>
    <row r="1795" spans="1:29">
      <c r="A1795" t="s">
        <v>6213</v>
      </c>
      <c r="B1795" s="2">
        <v>46189</v>
      </c>
      <c r="C1795" t="s">
        <v>6214</v>
      </c>
      <c r="D1795" t="s">
        <v>909</v>
      </c>
      <c r="E1795" t="s">
        <v>6215</v>
      </c>
      <c r="F1795" t="s">
        <v>6216</v>
      </c>
      <c r="G1795" t="s">
        <v>69</v>
      </c>
      <c r="H1795" t="s">
        <v>193</v>
      </c>
      <c r="I1795" t="s">
        <v>187</v>
      </c>
      <c r="J1795" t="s">
        <v>62</v>
      </c>
      <c r="K1795" t="s">
        <v>100</v>
      </c>
      <c r="L1795" t="s">
        <v>154</v>
      </c>
      <c r="M1795" t="s">
        <v>82</v>
      </c>
      <c r="N1795" t="s">
        <v>83</v>
      </c>
      <c r="O1795" s="3">
        <v>360000</v>
      </c>
      <c r="P1795" s="4">
        <v>5</v>
      </c>
      <c r="Q1795" s="2">
        <v>46259</v>
      </c>
      <c r="R1795" s="2">
        <v>46216</v>
      </c>
      <c r="S1795" s="2">
        <v>46194</v>
      </c>
      <c r="T1795" s="2"/>
      <c r="U1795" t="str">
        <f t="shared" si="196"/>
        <v>No</v>
      </c>
      <c r="W17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5" t="str">
        <f t="shared" ca="1" si="197"/>
        <v>Due/Open</v>
      </c>
      <c r="Y1795" t="str">
        <f t="shared" si="198"/>
        <v>Open</v>
      </c>
      <c r="Z1795" t="str">
        <f t="shared" si="199"/>
        <v>Jun-2026</v>
      </c>
      <c r="AA1795" t="str">
        <f t="shared" si="200"/>
        <v>Q2 2026</v>
      </c>
      <c r="AB1795" s="4">
        <f t="shared" ca="1" si="201"/>
        <v>10</v>
      </c>
      <c r="AC1795" t="str">
        <f t="shared" si="202"/>
        <v>High</v>
      </c>
    </row>
    <row r="1796" spans="1:29">
      <c r="A1796" t="s">
        <v>6217</v>
      </c>
      <c r="B1796" s="2">
        <v>45790</v>
      </c>
      <c r="C1796" t="s">
        <v>314</v>
      </c>
      <c r="D1796" t="s">
        <v>1132</v>
      </c>
      <c r="E1796" t="s">
        <v>6218</v>
      </c>
      <c r="F1796" t="s">
        <v>6219</v>
      </c>
      <c r="G1796" t="s">
        <v>79</v>
      </c>
      <c r="H1796" t="s">
        <v>97</v>
      </c>
      <c r="I1796" t="s">
        <v>123</v>
      </c>
      <c r="J1796" t="s">
        <v>62</v>
      </c>
      <c r="K1796" t="s">
        <v>38</v>
      </c>
      <c r="L1796" t="s">
        <v>81</v>
      </c>
      <c r="M1796" t="s">
        <v>133</v>
      </c>
      <c r="N1796" t="s">
        <v>134</v>
      </c>
      <c r="O1796" s="3">
        <v>250000</v>
      </c>
      <c r="P1796" s="4">
        <v>0</v>
      </c>
      <c r="Q1796" s="2">
        <v>45857</v>
      </c>
      <c r="R1796" s="2"/>
      <c r="S1796" s="2">
        <v>45813</v>
      </c>
      <c r="T1796" s="2">
        <v>45857</v>
      </c>
      <c r="U1796" t="str">
        <f t="shared" si="196"/>
        <v>No</v>
      </c>
      <c r="V1796" t="s">
        <v>319</v>
      </c>
      <c r="W179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1796" t="str">
        <f t="shared" ca="1" si="197"/>
        <v>Closed</v>
      </c>
      <c r="Y1796" t="str">
        <f t="shared" si="198"/>
        <v>Closed</v>
      </c>
      <c r="Z1796" t="str">
        <f t="shared" si="199"/>
        <v>May-2025</v>
      </c>
      <c r="AA1796" t="str">
        <f t="shared" si="200"/>
        <v>Q2 2025</v>
      </c>
      <c r="AB1796" s="4">
        <f t="shared" ca="1" si="201"/>
        <v>409</v>
      </c>
      <c r="AC1796" t="str">
        <f t="shared" si="202"/>
        <v>Medium</v>
      </c>
    </row>
    <row r="1797" spans="1:29">
      <c r="A1797" t="s">
        <v>6220</v>
      </c>
      <c r="B1797" s="2">
        <v>45851</v>
      </c>
      <c r="C1797" t="s">
        <v>1479</v>
      </c>
      <c r="D1797" t="s">
        <v>299</v>
      </c>
      <c r="E1797" t="s">
        <v>6221</v>
      </c>
      <c r="F1797" t="s">
        <v>6222</v>
      </c>
      <c r="G1797" t="s">
        <v>179</v>
      </c>
      <c r="H1797" t="s">
        <v>296</v>
      </c>
      <c r="I1797" t="s">
        <v>98</v>
      </c>
      <c r="J1797" t="s">
        <v>99</v>
      </c>
      <c r="K1797" t="s">
        <v>51</v>
      </c>
      <c r="L1797" t="s">
        <v>72</v>
      </c>
      <c r="M1797" t="s">
        <v>82</v>
      </c>
      <c r="N1797" t="s">
        <v>83</v>
      </c>
      <c r="O1797" s="3">
        <v>220000</v>
      </c>
      <c r="P1797" s="4">
        <v>5</v>
      </c>
      <c r="Q1797" s="2">
        <v>45883</v>
      </c>
      <c r="R1797" s="2">
        <v>46227</v>
      </c>
      <c r="S1797" s="2">
        <v>45856</v>
      </c>
      <c r="T1797" s="2"/>
      <c r="U1797" t="str">
        <f t="shared" si="196"/>
        <v>No</v>
      </c>
      <c r="W17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7" t="str">
        <f t="shared" ca="1" si="197"/>
        <v>Due/Open</v>
      </c>
      <c r="Y1797" t="str">
        <f t="shared" si="198"/>
        <v>Open</v>
      </c>
      <c r="Z1797" t="str">
        <f t="shared" si="199"/>
        <v>Jul-2025</v>
      </c>
      <c r="AA1797" t="str">
        <f t="shared" si="200"/>
        <v>Q3 2025</v>
      </c>
      <c r="AB1797" s="4">
        <f t="shared" ca="1" si="201"/>
        <v>348</v>
      </c>
      <c r="AC1797" t="str">
        <f t="shared" si="202"/>
        <v>Medium</v>
      </c>
    </row>
    <row r="1798" spans="1:29">
      <c r="A1798" t="s">
        <v>6223</v>
      </c>
      <c r="B1798" s="2">
        <v>45796</v>
      </c>
      <c r="C1798" t="s">
        <v>3327</v>
      </c>
      <c r="D1798" t="s">
        <v>1118</v>
      </c>
      <c r="E1798" t="s">
        <v>6224</v>
      </c>
      <c r="F1798" t="s">
        <v>6225</v>
      </c>
      <c r="G1798" t="s">
        <v>34</v>
      </c>
      <c r="H1798" t="s">
        <v>173</v>
      </c>
      <c r="I1798" t="s">
        <v>36</v>
      </c>
      <c r="J1798" t="s">
        <v>99</v>
      </c>
      <c r="K1798" t="s">
        <v>51</v>
      </c>
      <c r="L1798" t="s">
        <v>39</v>
      </c>
      <c r="M1798" t="s">
        <v>90</v>
      </c>
      <c r="N1798" t="s">
        <v>91</v>
      </c>
      <c r="O1798" s="3">
        <v>445000</v>
      </c>
      <c r="P1798" s="4">
        <v>50</v>
      </c>
      <c r="Q1798" s="2">
        <v>45824</v>
      </c>
      <c r="R1798" s="2">
        <v>46225</v>
      </c>
      <c r="S1798" s="2">
        <v>45801</v>
      </c>
      <c r="T1798" s="2"/>
      <c r="U1798" t="str">
        <f t="shared" si="196"/>
        <v>No</v>
      </c>
      <c r="W17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798" t="str">
        <f t="shared" ca="1" si="197"/>
        <v>Due/Open</v>
      </c>
      <c r="Y1798" t="str">
        <f t="shared" si="198"/>
        <v>Open</v>
      </c>
      <c r="Z1798" t="str">
        <f t="shared" si="199"/>
        <v>May-2025</v>
      </c>
      <c r="AA1798" t="str">
        <f t="shared" si="200"/>
        <v>Q2 2025</v>
      </c>
      <c r="AB1798" s="4">
        <f t="shared" ca="1" si="201"/>
        <v>403</v>
      </c>
      <c r="AC1798" t="str">
        <f t="shared" si="202"/>
        <v>High</v>
      </c>
    </row>
    <row r="1799" spans="1:29">
      <c r="A1799" t="s">
        <v>6226</v>
      </c>
      <c r="B1799" s="2">
        <v>45664</v>
      </c>
      <c r="C1799" t="s">
        <v>1814</v>
      </c>
      <c r="D1799" t="s">
        <v>2704</v>
      </c>
      <c r="E1799" t="s">
        <v>6227</v>
      </c>
      <c r="F1799" t="s">
        <v>6228</v>
      </c>
      <c r="G1799" t="s">
        <v>79</v>
      </c>
      <c r="H1799" t="s">
        <v>217</v>
      </c>
      <c r="I1799" t="s">
        <v>148</v>
      </c>
      <c r="J1799" t="s">
        <v>131</v>
      </c>
      <c r="K1799" t="s">
        <v>100</v>
      </c>
      <c r="L1799" t="s">
        <v>142</v>
      </c>
      <c r="M1799" t="s">
        <v>40</v>
      </c>
      <c r="N1799" t="s">
        <v>41</v>
      </c>
      <c r="O1799" s="3">
        <v>375000</v>
      </c>
      <c r="P1799" s="4">
        <v>100</v>
      </c>
      <c r="Q1799" s="2">
        <v>45709</v>
      </c>
      <c r="R1799" s="2"/>
      <c r="S1799" s="2">
        <v>45684</v>
      </c>
      <c r="T1799" s="2">
        <v>45709</v>
      </c>
      <c r="U1799" t="str">
        <f t="shared" si="196"/>
        <v>Yes</v>
      </c>
      <c r="W179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45</v>
      </c>
      <c r="X1799" t="str">
        <f t="shared" ca="1" si="197"/>
        <v>Closed</v>
      </c>
      <c r="Y1799" t="str">
        <f t="shared" si="198"/>
        <v>Closed</v>
      </c>
      <c r="Z1799" t="str">
        <f t="shared" si="199"/>
        <v>Jan-2025</v>
      </c>
      <c r="AA1799" t="str">
        <f t="shared" si="200"/>
        <v>Q1 2025</v>
      </c>
      <c r="AB1799" s="4">
        <f t="shared" ca="1" si="201"/>
        <v>535</v>
      </c>
      <c r="AC1799" t="str">
        <f t="shared" si="202"/>
        <v>High</v>
      </c>
    </row>
    <row r="1800" spans="1:29">
      <c r="A1800" t="s">
        <v>6229</v>
      </c>
      <c r="B1800" s="2">
        <v>46089</v>
      </c>
      <c r="C1800" t="s">
        <v>626</v>
      </c>
      <c r="D1800" t="s">
        <v>590</v>
      </c>
      <c r="E1800" t="s">
        <v>6230</v>
      </c>
      <c r="F1800" t="s">
        <v>6231</v>
      </c>
      <c r="G1800" t="s">
        <v>179</v>
      </c>
      <c r="H1800" t="s">
        <v>186</v>
      </c>
      <c r="I1800" t="s">
        <v>98</v>
      </c>
      <c r="J1800" t="s">
        <v>37</v>
      </c>
      <c r="K1800" t="s">
        <v>38</v>
      </c>
      <c r="L1800" t="s">
        <v>115</v>
      </c>
      <c r="M1800" t="s">
        <v>133</v>
      </c>
      <c r="N1800" t="s">
        <v>134</v>
      </c>
      <c r="O1800" s="3">
        <v>55000</v>
      </c>
      <c r="P1800" s="4">
        <v>0</v>
      </c>
      <c r="Q1800" s="2">
        <v>46125</v>
      </c>
      <c r="R1800" s="2"/>
      <c r="S1800" s="2">
        <v>46098</v>
      </c>
      <c r="T1800" s="2">
        <v>46125</v>
      </c>
      <c r="U1800" t="str">
        <f t="shared" si="196"/>
        <v>No</v>
      </c>
      <c r="V1800" t="s">
        <v>319</v>
      </c>
      <c r="W180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36</v>
      </c>
      <c r="X1800" t="str">
        <f t="shared" ca="1" si="197"/>
        <v>Closed</v>
      </c>
      <c r="Y1800" t="str">
        <f t="shared" si="198"/>
        <v>Closed</v>
      </c>
      <c r="Z1800" t="str">
        <f t="shared" si="199"/>
        <v>Mar-2026</v>
      </c>
      <c r="AA1800" t="str">
        <f t="shared" si="200"/>
        <v>Q1 2026</v>
      </c>
      <c r="AB1800" s="4">
        <f t="shared" ca="1" si="201"/>
        <v>110</v>
      </c>
      <c r="AC1800" t="str">
        <f t="shared" si="202"/>
        <v>Low</v>
      </c>
    </row>
    <row r="1801" spans="1:29">
      <c r="A1801" t="s">
        <v>6232</v>
      </c>
      <c r="B1801" s="2">
        <v>45968</v>
      </c>
      <c r="C1801" t="s">
        <v>667</v>
      </c>
      <c r="D1801" t="s">
        <v>1315</v>
      </c>
      <c r="E1801" t="s">
        <v>6233</v>
      </c>
      <c r="F1801" t="s">
        <v>6234</v>
      </c>
      <c r="G1801" t="s">
        <v>69</v>
      </c>
      <c r="H1801" t="s">
        <v>70</v>
      </c>
      <c r="I1801" t="s">
        <v>98</v>
      </c>
      <c r="J1801" t="s">
        <v>131</v>
      </c>
      <c r="K1801" t="s">
        <v>51</v>
      </c>
      <c r="L1801" t="s">
        <v>115</v>
      </c>
      <c r="M1801" t="s">
        <v>40</v>
      </c>
      <c r="N1801" t="s">
        <v>41</v>
      </c>
      <c r="O1801" s="3">
        <v>170000</v>
      </c>
      <c r="P1801" s="4">
        <v>100</v>
      </c>
      <c r="Q1801" s="2">
        <v>46029</v>
      </c>
      <c r="R1801" s="2"/>
      <c r="S1801" s="2">
        <v>45977</v>
      </c>
      <c r="T1801" s="2">
        <v>46029</v>
      </c>
      <c r="U1801" t="str">
        <f t="shared" si="196"/>
        <v>Yes</v>
      </c>
      <c r="W180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1801" t="str">
        <f t="shared" ca="1" si="197"/>
        <v>Closed</v>
      </c>
      <c r="Y1801" t="str">
        <f t="shared" si="198"/>
        <v>Closed</v>
      </c>
      <c r="Z1801" t="str">
        <f t="shared" si="199"/>
        <v>Nov-2025</v>
      </c>
      <c r="AA1801" t="str">
        <f t="shared" si="200"/>
        <v>Q4 2025</v>
      </c>
      <c r="AB1801" s="4">
        <f t="shared" ca="1" si="201"/>
        <v>231</v>
      </c>
      <c r="AC1801" t="str">
        <f t="shared" si="202"/>
        <v>Medium</v>
      </c>
    </row>
    <row r="1802" spans="1:29">
      <c r="A1802" t="s">
        <v>6235</v>
      </c>
      <c r="B1802" s="2">
        <v>45796</v>
      </c>
      <c r="C1802" t="s">
        <v>796</v>
      </c>
      <c r="D1802" t="s">
        <v>640</v>
      </c>
      <c r="E1802" t="s">
        <v>6236</v>
      </c>
      <c r="F1802" t="s">
        <v>6237</v>
      </c>
      <c r="G1802" t="s">
        <v>79</v>
      </c>
      <c r="H1802" t="s">
        <v>80</v>
      </c>
      <c r="I1802" t="s">
        <v>98</v>
      </c>
      <c r="J1802" t="s">
        <v>124</v>
      </c>
      <c r="K1802" t="s">
        <v>51</v>
      </c>
      <c r="L1802" t="s">
        <v>81</v>
      </c>
      <c r="M1802" t="s">
        <v>90</v>
      </c>
      <c r="N1802" t="s">
        <v>91</v>
      </c>
      <c r="O1802" s="3">
        <v>100000</v>
      </c>
      <c r="P1802" s="4">
        <v>50</v>
      </c>
      <c r="Q1802" s="2">
        <v>45841</v>
      </c>
      <c r="R1802" s="2">
        <v>46158</v>
      </c>
      <c r="S1802" s="2">
        <v>45817</v>
      </c>
      <c r="T1802" s="2"/>
      <c r="U1802" t="str">
        <f t="shared" si="196"/>
        <v>No</v>
      </c>
      <c r="W180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2" t="str">
        <f t="shared" ca="1" si="197"/>
        <v>Overdue</v>
      </c>
      <c r="Y1802" t="str">
        <f t="shared" si="198"/>
        <v>Open</v>
      </c>
      <c r="Z1802" t="str">
        <f t="shared" si="199"/>
        <v>May-2025</v>
      </c>
      <c r="AA1802" t="str">
        <f t="shared" si="200"/>
        <v>Q2 2025</v>
      </c>
      <c r="AB1802" s="4">
        <f t="shared" ca="1" si="201"/>
        <v>403</v>
      </c>
      <c r="AC1802" t="str">
        <f t="shared" si="202"/>
        <v>Low</v>
      </c>
    </row>
    <row r="1803" spans="1:29">
      <c r="A1803" t="s">
        <v>6238</v>
      </c>
      <c r="B1803" s="2">
        <v>45750</v>
      </c>
      <c r="C1803" t="s">
        <v>2759</v>
      </c>
      <c r="D1803" t="s">
        <v>1335</v>
      </c>
      <c r="E1803" t="s">
        <v>6239</v>
      </c>
      <c r="F1803" t="s">
        <v>6240</v>
      </c>
      <c r="G1803" t="s">
        <v>179</v>
      </c>
      <c r="H1803" t="s">
        <v>296</v>
      </c>
      <c r="I1803" t="s">
        <v>141</v>
      </c>
      <c r="J1803" t="s">
        <v>37</v>
      </c>
      <c r="K1803" t="s">
        <v>100</v>
      </c>
      <c r="L1803" t="s">
        <v>125</v>
      </c>
      <c r="M1803" t="s">
        <v>116</v>
      </c>
      <c r="N1803" t="s">
        <v>54</v>
      </c>
      <c r="O1803" s="3">
        <v>35000</v>
      </c>
      <c r="P1803" s="4">
        <v>15</v>
      </c>
      <c r="Q1803" s="2">
        <v>45790</v>
      </c>
      <c r="R1803" s="2">
        <v>46168</v>
      </c>
      <c r="S1803" s="2">
        <v>45780</v>
      </c>
      <c r="T1803" s="2"/>
      <c r="U1803" t="str">
        <f t="shared" si="196"/>
        <v>No</v>
      </c>
      <c r="W18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3" t="str">
        <f t="shared" ca="1" si="197"/>
        <v>Overdue</v>
      </c>
      <c r="Y1803" t="str">
        <f t="shared" si="198"/>
        <v>Open</v>
      </c>
      <c r="Z1803" t="str">
        <f t="shared" si="199"/>
        <v>Apr-2025</v>
      </c>
      <c r="AA1803" t="str">
        <f t="shared" si="200"/>
        <v>Q2 2025</v>
      </c>
      <c r="AB1803" s="4">
        <f t="shared" ca="1" si="201"/>
        <v>449</v>
      </c>
      <c r="AC1803" t="str">
        <f t="shared" si="202"/>
        <v>Low</v>
      </c>
    </row>
    <row r="1804" spans="1:29">
      <c r="A1804" t="s">
        <v>6241</v>
      </c>
      <c r="B1804" s="2">
        <v>46030</v>
      </c>
      <c r="C1804" t="s">
        <v>3148</v>
      </c>
      <c r="D1804" t="s">
        <v>1269</v>
      </c>
      <c r="E1804" t="s">
        <v>6242</v>
      </c>
      <c r="F1804" t="s">
        <v>6243</v>
      </c>
      <c r="G1804" t="s">
        <v>34</v>
      </c>
      <c r="H1804" t="s">
        <v>173</v>
      </c>
      <c r="I1804" t="s">
        <v>141</v>
      </c>
      <c r="J1804" t="s">
        <v>124</v>
      </c>
      <c r="K1804" t="s">
        <v>71</v>
      </c>
      <c r="L1804" t="s">
        <v>63</v>
      </c>
      <c r="M1804" t="s">
        <v>116</v>
      </c>
      <c r="N1804" t="s">
        <v>54</v>
      </c>
      <c r="O1804" s="3">
        <v>295000</v>
      </c>
      <c r="P1804" s="4">
        <v>25</v>
      </c>
      <c r="Q1804" s="2">
        <v>46116</v>
      </c>
      <c r="R1804" s="2">
        <v>46176</v>
      </c>
      <c r="S1804" s="2">
        <v>46057</v>
      </c>
      <c r="T1804" s="2"/>
      <c r="U1804" t="str">
        <f t="shared" si="196"/>
        <v>No</v>
      </c>
      <c r="W18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4" t="str">
        <f t="shared" ca="1" si="197"/>
        <v>Overdue</v>
      </c>
      <c r="Y1804" t="str">
        <f t="shared" si="198"/>
        <v>Open</v>
      </c>
      <c r="Z1804" t="str">
        <f t="shared" si="199"/>
        <v>Jan-2026</v>
      </c>
      <c r="AA1804" t="str">
        <f t="shared" si="200"/>
        <v>Q1 2026</v>
      </c>
      <c r="AB1804" s="4">
        <f t="shared" ca="1" si="201"/>
        <v>169</v>
      </c>
      <c r="AC1804" t="str">
        <f t="shared" si="202"/>
        <v>Medium</v>
      </c>
    </row>
    <row r="1805" spans="1:29">
      <c r="A1805" t="s">
        <v>6244</v>
      </c>
      <c r="B1805" s="2">
        <v>46136</v>
      </c>
      <c r="C1805" t="s">
        <v>2626</v>
      </c>
      <c r="D1805" t="s">
        <v>484</v>
      </c>
      <c r="E1805" t="s">
        <v>6245</v>
      </c>
      <c r="F1805" t="s">
        <v>6246</v>
      </c>
      <c r="G1805" t="s">
        <v>79</v>
      </c>
      <c r="H1805" t="s">
        <v>217</v>
      </c>
      <c r="I1805" t="s">
        <v>187</v>
      </c>
      <c r="J1805" t="s">
        <v>37</v>
      </c>
      <c r="K1805" t="s">
        <v>100</v>
      </c>
      <c r="L1805" t="s">
        <v>132</v>
      </c>
      <c r="M1805" t="s">
        <v>90</v>
      </c>
      <c r="N1805" t="s">
        <v>91</v>
      </c>
      <c r="O1805" s="3">
        <v>45000</v>
      </c>
      <c r="P1805" s="4">
        <v>40</v>
      </c>
      <c r="Q1805" s="2">
        <v>46219</v>
      </c>
      <c r="R1805" s="2">
        <v>46206</v>
      </c>
      <c r="S1805" s="2">
        <v>46164</v>
      </c>
      <c r="T1805" s="2"/>
      <c r="U1805" t="str">
        <f t="shared" si="196"/>
        <v>No</v>
      </c>
      <c r="W18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5" t="str">
        <f t="shared" ca="1" si="197"/>
        <v>Due/Open</v>
      </c>
      <c r="Y1805" t="str">
        <f t="shared" si="198"/>
        <v>Open</v>
      </c>
      <c r="Z1805" t="str">
        <f t="shared" si="199"/>
        <v>Apr-2026</v>
      </c>
      <c r="AA1805" t="str">
        <f t="shared" si="200"/>
        <v>Q2 2026</v>
      </c>
      <c r="AB1805" s="4">
        <f t="shared" ca="1" si="201"/>
        <v>63</v>
      </c>
      <c r="AC1805" t="str">
        <f t="shared" si="202"/>
        <v>Low</v>
      </c>
    </row>
    <row r="1806" spans="1:29">
      <c r="A1806" t="s">
        <v>6247</v>
      </c>
      <c r="B1806" s="2">
        <v>45747</v>
      </c>
      <c r="C1806" t="s">
        <v>1034</v>
      </c>
      <c r="D1806" t="s">
        <v>443</v>
      </c>
      <c r="E1806" t="s">
        <v>6248</v>
      </c>
      <c r="F1806" t="s">
        <v>6249</v>
      </c>
      <c r="G1806" t="s">
        <v>179</v>
      </c>
      <c r="H1806" t="s">
        <v>296</v>
      </c>
      <c r="I1806" t="s">
        <v>36</v>
      </c>
      <c r="J1806" t="s">
        <v>99</v>
      </c>
      <c r="K1806" t="s">
        <v>114</v>
      </c>
      <c r="L1806" t="s">
        <v>142</v>
      </c>
      <c r="M1806" t="s">
        <v>53</v>
      </c>
      <c r="N1806" t="s">
        <v>54</v>
      </c>
      <c r="O1806" s="3">
        <v>210000</v>
      </c>
      <c r="P1806" s="4">
        <v>30</v>
      </c>
      <c r="Q1806" s="2">
        <v>45838</v>
      </c>
      <c r="R1806" s="2">
        <v>46201</v>
      </c>
      <c r="S1806" s="2">
        <v>45763</v>
      </c>
      <c r="T1806" s="2"/>
      <c r="U1806" t="str">
        <f t="shared" si="196"/>
        <v>No</v>
      </c>
      <c r="W18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6" t="str">
        <f t="shared" ca="1" si="197"/>
        <v>Due/Open</v>
      </c>
      <c r="Y1806" t="str">
        <f t="shared" si="198"/>
        <v>Open</v>
      </c>
      <c r="Z1806" t="str">
        <f t="shared" si="199"/>
        <v>Mar-2025</v>
      </c>
      <c r="AA1806" t="str">
        <f t="shared" si="200"/>
        <v>Q1 2025</v>
      </c>
      <c r="AB1806" s="4">
        <f t="shared" ca="1" si="201"/>
        <v>452</v>
      </c>
      <c r="AC1806" t="str">
        <f t="shared" si="202"/>
        <v>Medium</v>
      </c>
    </row>
    <row r="1807" spans="1:29">
      <c r="A1807" t="s">
        <v>6250</v>
      </c>
      <c r="B1807" s="2">
        <v>45705</v>
      </c>
      <c r="C1807" t="s">
        <v>2669</v>
      </c>
      <c r="D1807" t="s">
        <v>190</v>
      </c>
      <c r="E1807" t="s">
        <v>6251</v>
      </c>
      <c r="F1807" t="s">
        <v>6252</v>
      </c>
      <c r="G1807" t="s">
        <v>79</v>
      </c>
      <c r="H1807" t="s">
        <v>217</v>
      </c>
      <c r="I1807" t="s">
        <v>98</v>
      </c>
      <c r="J1807" t="s">
        <v>131</v>
      </c>
      <c r="K1807" t="s">
        <v>114</v>
      </c>
      <c r="L1807" t="s">
        <v>72</v>
      </c>
      <c r="M1807" t="s">
        <v>53</v>
      </c>
      <c r="N1807" t="s">
        <v>54</v>
      </c>
      <c r="O1807" s="3">
        <v>265000</v>
      </c>
      <c r="P1807" s="4">
        <v>35</v>
      </c>
      <c r="Q1807" s="2">
        <v>45737</v>
      </c>
      <c r="R1807" s="2">
        <v>46162</v>
      </c>
      <c r="S1807" s="2">
        <v>45713</v>
      </c>
      <c r="T1807" s="2"/>
      <c r="U1807" t="str">
        <f t="shared" si="196"/>
        <v>No</v>
      </c>
      <c r="W18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7" t="str">
        <f t="shared" ca="1" si="197"/>
        <v>Overdue</v>
      </c>
      <c r="Y1807" t="str">
        <f t="shared" si="198"/>
        <v>Open</v>
      </c>
      <c r="Z1807" t="str">
        <f t="shared" si="199"/>
        <v>Feb-2025</v>
      </c>
      <c r="AA1807" t="str">
        <f t="shared" si="200"/>
        <v>Q1 2025</v>
      </c>
      <c r="AB1807" s="4">
        <f t="shared" ca="1" si="201"/>
        <v>494</v>
      </c>
      <c r="AC1807" t="str">
        <f t="shared" si="202"/>
        <v>Medium</v>
      </c>
    </row>
    <row r="1808" spans="1:29">
      <c r="A1808" t="s">
        <v>6253</v>
      </c>
      <c r="B1808" s="2">
        <v>46191</v>
      </c>
      <c r="C1808" t="s">
        <v>5697</v>
      </c>
      <c r="D1808" t="s">
        <v>366</v>
      </c>
      <c r="E1808" t="s">
        <v>6254</v>
      </c>
      <c r="F1808" t="s">
        <v>6255</v>
      </c>
      <c r="G1808" t="s">
        <v>34</v>
      </c>
      <c r="H1808" t="s">
        <v>446</v>
      </c>
      <c r="I1808" t="s">
        <v>61</v>
      </c>
      <c r="J1808" t="s">
        <v>37</v>
      </c>
      <c r="K1808" t="s">
        <v>100</v>
      </c>
      <c r="L1808" t="s">
        <v>125</v>
      </c>
      <c r="M1808" t="s">
        <v>90</v>
      </c>
      <c r="N1808" t="s">
        <v>91</v>
      </c>
      <c r="O1808" s="3">
        <v>145000</v>
      </c>
      <c r="P1808" s="4">
        <v>40</v>
      </c>
      <c r="Q1808" s="2">
        <v>46258</v>
      </c>
      <c r="R1808" s="2">
        <v>46229</v>
      </c>
      <c r="S1808" s="2">
        <v>46195</v>
      </c>
      <c r="T1808" s="2"/>
      <c r="U1808" t="str">
        <f t="shared" si="196"/>
        <v>No</v>
      </c>
      <c r="W18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08" t="str">
        <f t="shared" ca="1" si="197"/>
        <v>Due/Open</v>
      </c>
      <c r="Y1808" t="str">
        <f t="shared" si="198"/>
        <v>Open</v>
      </c>
      <c r="Z1808" t="str">
        <f t="shared" si="199"/>
        <v>Jun-2026</v>
      </c>
      <c r="AA1808" t="str">
        <f t="shared" si="200"/>
        <v>Q2 2026</v>
      </c>
      <c r="AB1808" s="4">
        <f t="shared" ca="1" si="201"/>
        <v>8</v>
      </c>
      <c r="AC1808" t="str">
        <f t="shared" si="202"/>
        <v>Medium</v>
      </c>
    </row>
    <row r="1809" spans="1:29">
      <c r="A1809" t="s">
        <v>6256</v>
      </c>
      <c r="B1809" s="2">
        <v>45942</v>
      </c>
      <c r="C1809" t="s">
        <v>925</v>
      </c>
      <c r="D1809" t="s">
        <v>207</v>
      </c>
      <c r="E1809" t="s">
        <v>6257</v>
      </c>
      <c r="F1809" t="s">
        <v>6258</v>
      </c>
      <c r="G1809" t="s">
        <v>47</v>
      </c>
      <c r="H1809" t="s">
        <v>122</v>
      </c>
      <c r="I1809" t="s">
        <v>36</v>
      </c>
      <c r="J1809" t="s">
        <v>131</v>
      </c>
      <c r="K1809" t="s">
        <v>38</v>
      </c>
      <c r="L1809" t="s">
        <v>107</v>
      </c>
      <c r="M1809" t="s">
        <v>210</v>
      </c>
      <c r="N1809" t="s">
        <v>134</v>
      </c>
      <c r="O1809" s="3">
        <v>125000</v>
      </c>
      <c r="P1809" s="4">
        <v>0</v>
      </c>
      <c r="Q1809" s="2">
        <v>46011</v>
      </c>
      <c r="R1809" s="2"/>
      <c r="S1809" s="2">
        <v>45966</v>
      </c>
      <c r="T1809" s="2">
        <v>46011</v>
      </c>
      <c r="U1809" t="str">
        <f t="shared" si="196"/>
        <v>No</v>
      </c>
      <c r="V1809" t="s">
        <v>452</v>
      </c>
      <c r="W180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69</v>
      </c>
      <c r="X1809" t="str">
        <f t="shared" ca="1" si="197"/>
        <v>Closed</v>
      </c>
      <c r="Y1809" t="str">
        <f t="shared" si="198"/>
        <v>Closed</v>
      </c>
      <c r="Z1809" t="str">
        <f t="shared" si="199"/>
        <v>Oct-2025</v>
      </c>
      <c r="AA1809" t="str">
        <f t="shared" si="200"/>
        <v>Q4 2025</v>
      </c>
      <c r="AB1809" s="4">
        <f t="shared" ca="1" si="201"/>
        <v>257</v>
      </c>
      <c r="AC1809" t="str">
        <f t="shared" si="202"/>
        <v>Medium</v>
      </c>
    </row>
    <row r="1810" spans="1:29">
      <c r="A1810" t="s">
        <v>6259</v>
      </c>
      <c r="B1810" s="2">
        <v>46028</v>
      </c>
      <c r="C1810" t="s">
        <v>3218</v>
      </c>
      <c r="D1810" t="s">
        <v>1343</v>
      </c>
      <c r="E1810" t="s">
        <v>6260</v>
      </c>
      <c r="F1810" t="s">
        <v>6261</v>
      </c>
      <c r="G1810" t="s">
        <v>34</v>
      </c>
      <c r="H1810" t="s">
        <v>60</v>
      </c>
      <c r="I1810" t="s">
        <v>141</v>
      </c>
      <c r="J1810" t="s">
        <v>124</v>
      </c>
      <c r="K1810" t="s">
        <v>114</v>
      </c>
      <c r="L1810" t="s">
        <v>239</v>
      </c>
      <c r="M1810" t="s">
        <v>166</v>
      </c>
      <c r="N1810" t="s">
        <v>167</v>
      </c>
      <c r="O1810" s="3">
        <v>140000</v>
      </c>
      <c r="P1810" s="4">
        <v>70</v>
      </c>
      <c r="Q1810" s="2">
        <v>46051</v>
      </c>
      <c r="R1810" s="2">
        <v>46210</v>
      </c>
      <c r="S1810" s="2">
        <v>46036</v>
      </c>
      <c r="T1810" s="2"/>
      <c r="U1810" t="str">
        <f t="shared" si="196"/>
        <v>No</v>
      </c>
      <c r="W18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0" t="str">
        <f t="shared" ca="1" si="197"/>
        <v>Due/Open</v>
      </c>
      <c r="Y1810" t="str">
        <f t="shared" si="198"/>
        <v>Open</v>
      </c>
      <c r="Z1810" t="str">
        <f t="shared" si="199"/>
        <v>Jan-2026</v>
      </c>
      <c r="AA1810" t="str">
        <f t="shared" si="200"/>
        <v>Q1 2026</v>
      </c>
      <c r="AB1810" s="4">
        <f t="shared" ca="1" si="201"/>
        <v>171</v>
      </c>
      <c r="AC1810" t="str">
        <f t="shared" si="202"/>
        <v>Medium</v>
      </c>
    </row>
    <row r="1811" spans="1:29">
      <c r="A1811" t="s">
        <v>6262</v>
      </c>
      <c r="B1811" s="2">
        <v>45930</v>
      </c>
      <c r="C1811" t="s">
        <v>899</v>
      </c>
      <c r="D1811" t="s">
        <v>176</v>
      </c>
      <c r="E1811" t="s">
        <v>6263</v>
      </c>
      <c r="F1811" t="s">
        <v>6264</v>
      </c>
      <c r="G1811" t="s">
        <v>47</v>
      </c>
      <c r="H1811" t="s">
        <v>418</v>
      </c>
      <c r="I1811" t="s">
        <v>123</v>
      </c>
      <c r="J1811" t="s">
        <v>62</v>
      </c>
      <c r="K1811" t="s">
        <v>100</v>
      </c>
      <c r="L1811" t="s">
        <v>107</v>
      </c>
      <c r="M1811" t="s">
        <v>73</v>
      </c>
      <c r="N1811" t="s">
        <v>73</v>
      </c>
      <c r="O1811" s="3">
        <v>210000</v>
      </c>
      <c r="P1811" s="4">
        <v>85</v>
      </c>
      <c r="Q1811" s="2">
        <v>45955</v>
      </c>
      <c r="R1811" s="2">
        <v>46205</v>
      </c>
      <c r="S1811" s="2">
        <v>45940</v>
      </c>
      <c r="T1811" s="2"/>
      <c r="U1811" t="str">
        <f t="shared" si="196"/>
        <v>No</v>
      </c>
      <c r="W18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1" t="str">
        <f t="shared" ca="1" si="197"/>
        <v>Due/Open</v>
      </c>
      <c r="Y1811" t="str">
        <f t="shared" si="198"/>
        <v>Open</v>
      </c>
      <c r="Z1811" t="str">
        <f t="shared" si="199"/>
        <v>Sep-2025</v>
      </c>
      <c r="AA1811" t="str">
        <f t="shared" si="200"/>
        <v>Q3 2025</v>
      </c>
      <c r="AB1811" s="4">
        <f t="shared" ca="1" si="201"/>
        <v>269</v>
      </c>
      <c r="AC1811" t="str">
        <f t="shared" si="202"/>
        <v>Medium</v>
      </c>
    </row>
    <row r="1812" spans="1:29">
      <c r="A1812" t="s">
        <v>6265</v>
      </c>
      <c r="B1812" s="2">
        <v>45673</v>
      </c>
      <c r="C1812" t="s">
        <v>783</v>
      </c>
      <c r="D1812" t="s">
        <v>755</v>
      </c>
      <c r="E1812" t="s">
        <v>6266</v>
      </c>
      <c r="F1812" t="s">
        <v>6267</v>
      </c>
      <c r="G1812" t="s">
        <v>47</v>
      </c>
      <c r="H1812" t="s">
        <v>89</v>
      </c>
      <c r="I1812" t="s">
        <v>49</v>
      </c>
      <c r="J1812" t="s">
        <v>131</v>
      </c>
      <c r="K1812" t="s">
        <v>71</v>
      </c>
      <c r="L1812" t="s">
        <v>154</v>
      </c>
      <c r="M1812" t="s">
        <v>133</v>
      </c>
      <c r="N1812" t="s">
        <v>134</v>
      </c>
      <c r="O1812" s="3">
        <v>215000</v>
      </c>
      <c r="P1812" s="4">
        <v>0</v>
      </c>
      <c r="Q1812" s="2">
        <v>45720</v>
      </c>
      <c r="R1812" s="2"/>
      <c r="S1812" s="2">
        <v>45693</v>
      </c>
      <c r="T1812" s="2">
        <v>45720</v>
      </c>
      <c r="U1812" t="str">
        <f t="shared" si="196"/>
        <v>No</v>
      </c>
      <c r="V1812" t="s">
        <v>1105</v>
      </c>
      <c r="W18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47</v>
      </c>
      <c r="X1812" t="str">
        <f t="shared" ca="1" si="197"/>
        <v>Closed</v>
      </c>
      <c r="Y1812" t="str">
        <f t="shared" si="198"/>
        <v>Closed</v>
      </c>
      <c r="Z1812" t="str">
        <f t="shared" si="199"/>
        <v>Jan-2025</v>
      </c>
      <c r="AA1812" t="str">
        <f t="shared" si="200"/>
        <v>Q1 2025</v>
      </c>
      <c r="AB1812" s="4">
        <f t="shared" ca="1" si="201"/>
        <v>526</v>
      </c>
      <c r="AC1812" t="str">
        <f t="shared" si="202"/>
        <v>Medium</v>
      </c>
    </row>
    <row r="1813" spans="1:29">
      <c r="A1813" t="s">
        <v>6268</v>
      </c>
      <c r="B1813" s="2">
        <v>46079</v>
      </c>
      <c r="C1813" t="s">
        <v>1498</v>
      </c>
      <c r="D1813" t="s">
        <v>645</v>
      </c>
      <c r="E1813" t="s">
        <v>6269</v>
      </c>
      <c r="F1813" t="s">
        <v>6270</v>
      </c>
      <c r="G1813" t="s">
        <v>79</v>
      </c>
      <c r="H1813" t="s">
        <v>217</v>
      </c>
      <c r="I1813" t="s">
        <v>123</v>
      </c>
      <c r="J1813" t="s">
        <v>37</v>
      </c>
      <c r="K1813" t="s">
        <v>100</v>
      </c>
      <c r="L1813" t="s">
        <v>239</v>
      </c>
      <c r="M1813" t="s">
        <v>90</v>
      </c>
      <c r="N1813" t="s">
        <v>91</v>
      </c>
      <c r="O1813" s="3">
        <v>100000</v>
      </c>
      <c r="P1813" s="4">
        <v>55</v>
      </c>
      <c r="Q1813" s="2">
        <v>46169</v>
      </c>
      <c r="R1813" s="2">
        <v>46211</v>
      </c>
      <c r="S1813" s="2">
        <v>46101</v>
      </c>
      <c r="T1813" s="2"/>
      <c r="U1813" t="str">
        <f t="shared" si="196"/>
        <v>No</v>
      </c>
      <c r="W181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3" t="str">
        <f t="shared" ca="1" si="197"/>
        <v>Due/Open</v>
      </c>
      <c r="Y1813" t="str">
        <f t="shared" si="198"/>
        <v>Open</v>
      </c>
      <c r="Z1813" t="str">
        <f t="shared" si="199"/>
        <v>Feb-2026</v>
      </c>
      <c r="AA1813" t="str">
        <f t="shared" si="200"/>
        <v>Q1 2026</v>
      </c>
      <c r="AB1813" s="4">
        <f t="shared" ca="1" si="201"/>
        <v>120</v>
      </c>
      <c r="AC1813" t="str">
        <f t="shared" si="202"/>
        <v>Low</v>
      </c>
    </row>
    <row r="1814" spans="1:29">
      <c r="A1814" t="s">
        <v>6271</v>
      </c>
      <c r="B1814" s="2">
        <v>45797</v>
      </c>
      <c r="C1814" t="s">
        <v>1156</v>
      </c>
      <c r="D1814" t="s">
        <v>183</v>
      </c>
      <c r="E1814" t="s">
        <v>6272</v>
      </c>
      <c r="F1814" t="s">
        <v>6273</v>
      </c>
      <c r="G1814" t="s">
        <v>179</v>
      </c>
      <c r="H1814" t="s">
        <v>487</v>
      </c>
      <c r="I1814" t="s">
        <v>49</v>
      </c>
      <c r="J1814" t="s">
        <v>131</v>
      </c>
      <c r="K1814" t="s">
        <v>71</v>
      </c>
      <c r="L1814" t="s">
        <v>154</v>
      </c>
      <c r="M1814" t="s">
        <v>82</v>
      </c>
      <c r="N1814" t="s">
        <v>83</v>
      </c>
      <c r="O1814" s="3">
        <v>200000</v>
      </c>
      <c r="P1814" s="4">
        <v>10</v>
      </c>
      <c r="Q1814" s="2">
        <v>45859</v>
      </c>
      <c r="R1814" s="2">
        <v>46242</v>
      </c>
      <c r="S1814" s="2">
        <v>45811</v>
      </c>
      <c r="T1814" s="2"/>
      <c r="U1814" t="str">
        <f t="shared" si="196"/>
        <v>No</v>
      </c>
      <c r="W18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4" t="str">
        <f t="shared" ca="1" si="197"/>
        <v>Due/Open</v>
      </c>
      <c r="Y1814" t="str">
        <f t="shared" si="198"/>
        <v>Open</v>
      </c>
      <c r="Z1814" t="str">
        <f t="shared" si="199"/>
        <v>May-2025</v>
      </c>
      <c r="AA1814" t="str">
        <f t="shared" si="200"/>
        <v>Q2 2025</v>
      </c>
      <c r="AB1814" s="4">
        <f t="shared" ca="1" si="201"/>
        <v>402</v>
      </c>
      <c r="AC1814" t="str">
        <f t="shared" si="202"/>
        <v>Medium</v>
      </c>
    </row>
    <row r="1815" spans="1:29">
      <c r="A1815" t="s">
        <v>6274</v>
      </c>
      <c r="B1815" s="2">
        <v>45898</v>
      </c>
      <c r="C1815" t="s">
        <v>336</v>
      </c>
      <c r="D1815" t="s">
        <v>914</v>
      </c>
      <c r="E1815" t="s">
        <v>6275</v>
      </c>
      <c r="F1815" t="s">
        <v>6276</v>
      </c>
      <c r="G1815" t="s">
        <v>69</v>
      </c>
      <c r="H1815" t="s">
        <v>285</v>
      </c>
      <c r="I1815" t="s">
        <v>141</v>
      </c>
      <c r="J1815" t="s">
        <v>124</v>
      </c>
      <c r="K1815" t="s">
        <v>194</v>
      </c>
      <c r="L1815" t="s">
        <v>239</v>
      </c>
      <c r="M1815" t="s">
        <v>40</v>
      </c>
      <c r="N1815" t="s">
        <v>41</v>
      </c>
      <c r="O1815" s="3">
        <v>130000</v>
      </c>
      <c r="P1815" s="4">
        <v>100</v>
      </c>
      <c r="Q1815" s="2">
        <v>45924</v>
      </c>
      <c r="R1815" s="2"/>
      <c r="S1815" s="2">
        <v>45910</v>
      </c>
      <c r="T1815" s="2">
        <v>45924</v>
      </c>
      <c r="U1815" t="str">
        <f t="shared" si="196"/>
        <v>Yes</v>
      </c>
      <c r="W181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26</v>
      </c>
      <c r="X1815" t="str">
        <f t="shared" ca="1" si="197"/>
        <v>Closed</v>
      </c>
      <c r="Y1815" t="str">
        <f t="shared" si="198"/>
        <v>Closed</v>
      </c>
      <c r="Z1815" t="str">
        <f t="shared" si="199"/>
        <v>Aug-2025</v>
      </c>
      <c r="AA1815" t="str">
        <f t="shared" si="200"/>
        <v>Q3 2025</v>
      </c>
      <c r="AB1815" s="4">
        <f t="shared" ca="1" si="201"/>
        <v>301</v>
      </c>
      <c r="AC1815" t="str">
        <f t="shared" si="202"/>
        <v>Medium</v>
      </c>
    </row>
    <row r="1816" spans="1:29">
      <c r="A1816" t="s">
        <v>6277</v>
      </c>
      <c r="B1816" s="2">
        <v>46098</v>
      </c>
      <c r="C1816" t="s">
        <v>1452</v>
      </c>
      <c r="D1816" t="s">
        <v>969</v>
      </c>
      <c r="E1816" t="s">
        <v>6278</v>
      </c>
      <c r="F1816" t="s">
        <v>6279</v>
      </c>
      <c r="G1816" t="s">
        <v>47</v>
      </c>
      <c r="H1816" t="s">
        <v>122</v>
      </c>
      <c r="I1816" t="s">
        <v>98</v>
      </c>
      <c r="J1816" t="s">
        <v>37</v>
      </c>
      <c r="K1816" t="s">
        <v>51</v>
      </c>
      <c r="L1816" t="s">
        <v>63</v>
      </c>
      <c r="M1816" t="s">
        <v>116</v>
      </c>
      <c r="N1816" t="s">
        <v>54</v>
      </c>
      <c r="O1816" s="3">
        <v>90000</v>
      </c>
      <c r="P1816" s="4">
        <v>15</v>
      </c>
      <c r="Q1816" s="2">
        <v>46121</v>
      </c>
      <c r="R1816" s="2">
        <v>46212</v>
      </c>
      <c r="S1816" s="2">
        <v>46103</v>
      </c>
      <c r="T1816" s="2"/>
      <c r="U1816" t="str">
        <f t="shared" si="196"/>
        <v>No</v>
      </c>
      <c r="W18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6" t="str">
        <f t="shared" ca="1" si="197"/>
        <v>Due/Open</v>
      </c>
      <c r="Y1816" t="str">
        <f t="shared" si="198"/>
        <v>Open</v>
      </c>
      <c r="Z1816" t="str">
        <f t="shared" si="199"/>
        <v>Mar-2026</v>
      </c>
      <c r="AA1816" t="str">
        <f t="shared" si="200"/>
        <v>Q1 2026</v>
      </c>
      <c r="AB1816" s="4">
        <f t="shared" ca="1" si="201"/>
        <v>101</v>
      </c>
      <c r="AC1816" t="str">
        <f t="shared" si="202"/>
        <v>Low</v>
      </c>
    </row>
    <row r="1817" spans="1:29">
      <c r="A1817" t="s">
        <v>6280</v>
      </c>
      <c r="B1817" s="2">
        <v>45796</v>
      </c>
      <c r="C1817" t="s">
        <v>2165</v>
      </c>
      <c r="D1817" t="s">
        <v>775</v>
      </c>
      <c r="E1817" t="s">
        <v>6281</v>
      </c>
      <c r="F1817" t="s">
        <v>6282</v>
      </c>
      <c r="G1817" t="s">
        <v>34</v>
      </c>
      <c r="H1817" t="s">
        <v>173</v>
      </c>
      <c r="I1817" t="s">
        <v>141</v>
      </c>
      <c r="J1817" t="s">
        <v>131</v>
      </c>
      <c r="K1817" t="s">
        <v>194</v>
      </c>
      <c r="L1817" t="s">
        <v>142</v>
      </c>
      <c r="M1817" t="s">
        <v>82</v>
      </c>
      <c r="N1817" t="s">
        <v>83</v>
      </c>
      <c r="O1817" s="3">
        <v>290000</v>
      </c>
      <c r="P1817" s="4">
        <v>5</v>
      </c>
      <c r="Q1817" s="2">
        <v>45838</v>
      </c>
      <c r="R1817" s="2">
        <v>46204</v>
      </c>
      <c r="S1817" s="2">
        <v>45804</v>
      </c>
      <c r="T1817" s="2"/>
      <c r="U1817" t="str">
        <f t="shared" si="196"/>
        <v>No</v>
      </c>
      <c r="W18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7" t="str">
        <f t="shared" ca="1" si="197"/>
        <v>Due/Open</v>
      </c>
      <c r="Y1817" t="str">
        <f t="shared" si="198"/>
        <v>Open</v>
      </c>
      <c r="Z1817" t="str">
        <f t="shared" si="199"/>
        <v>May-2025</v>
      </c>
      <c r="AA1817" t="str">
        <f t="shared" si="200"/>
        <v>Q2 2025</v>
      </c>
      <c r="AB1817" s="4">
        <f t="shared" ca="1" si="201"/>
        <v>403</v>
      </c>
      <c r="AC1817" t="str">
        <f t="shared" si="202"/>
        <v>Medium</v>
      </c>
    </row>
    <row r="1818" spans="1:29">
      <c r="A1818" t="s">
        <v>6283</v>
      </c>
      <c r="B1818" s="2">
        <v>46099</v>
      </c>
      <c r="C1818" t="s">
        <v>6284</v>
      </c>
      <c r="D1818" t="s">
        <v>375</v>
      </c>
      <c r="E1818" t="s">
        <v>6285</v>
      </c>
      <c r="F1818" t="s">
        <v>6286</v>
      </c>
      <c r="G1818" t="s">
        <v>179</v>
      </c>
      <c r="H1818" t="s">
        <v>180</v>
      </c>
      <c r="I1818" t="s">
        <v>141</v>
      </c>
      <c r="J1818" t="s">
        <v>131</v>
      </c>
      <c r="K1818" t="s">
        <v>100</v>
      </c>
      <c r="L1818" t="s">
        <v>63</v>
      </c>
      <c r="M1818" t="s">
        <v>166</v>
      </c>
      <c r="N1818" t="s">
        <v>167</v>
      </c>
      <c r="O1818" s="3">
        <v>305000</v>
      </c>
      <c r="P1818" s="4">
        <v>60</v>
      </c>
      <c r="Q1818" s="2">
        <v>46149</v>
      </c>
      <c r="R1818" s="2">
        <v>46181</v>
      </c>
      <c r="S1818" s="2">
        <v>46126</v>
      </c>
      <c r="T1818" s="2"/>
      <c r="U1818" t="str">
        <f t="shared" si="196"/>
        <v>No</v>
      </c>
      <c r="W18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8" t="str">
        <f t="shared" ca="1" si="197"/>
        <v>Overdue</v>
      </c>
      <c r="Y1818" t="str">
        <f t="shared" si="198"/>
        <v>Open</v>
      </c>
      <c r="Z1818" t="str">
        <f t="shared" si="199"/>
        <v>Mar-2026</v>
      </c>
      <c r="AA1818" t="str">
        <f t="shared" si="200"/>
        <v>Q1 2026</v>
      </c>
      <c r="AB1818" s="4">
        <f t="shared" ca="1" si="201"/>
        <v>100</v>
      </c>
      <c r="AC1818" t="str">
        <f t="shared" si="202"/>
        <v>High</v>
      </c>
    </row>
    <row r="1819" spans="1:29">
      <c r="A1819" t="s">
        <v>6287</v>
      </c>
      <c r="B1819" s="2">
        <v>46128</v>
      </c>
      <c r="C1819" t="s">
        <v>1536</v>
      </c>
      <c r="D1819" t="s">
        <v>1416</v>
      </c>
      <c r="E1819" t="s">
        <v>6288</v>
      </c>
      <c r="F1819" t="s">
        <v>6289</v>
      </c>
      <c r="G1819" t="s">
        <v>34</v>
      </c>
      <c r="H1819" t="s">
        <v>238</v>
      </c>
      <c r="I1819" t="s">
        <v>187</v>
      </c>
      <c r="J1819" t="s">
        <v>50</v>
      </c>
      <c r="K1819" t="s">
        <v>38</v>
      </c>
      <c r="L1819" t="s">
        <v>154</v>
      </c>
      <c r="M1819" t="s">
        <v>82</v>
      </c>
      <c r="N1819" t="s">
        <v>83</v>
      </c>
      <c r="O1819" s="3">
        <v>265000</v>
      </c>
      <c r="P1819" s="4">
        <v>5</v>
      </c>
      <c r="Q1819" s="2">
        <v>46208</v>
      </c>
      <c r="R1819" s="2">
        <v>46212</v>
      </c>
      <c r="S1819" s="2">
        <v>46133</v>
      </c>
      <c r="T1819" s="2"/>
      <c r="U1819" t="str">
        <f t="shared" si="196"/>
        <v>No</v>
      </c>
      <c r="W18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19" t="str">
        <f t="shared" ca="1" si="197"/>
        <v>Due/Open</v>
      </c>
      <c r="Y1819" t="str">
        <f t="shared" si="198"/>
        <v>Open</v>
      </c>
      <c r="Z1819" t="str">
        <f t="shared" si="199"/>
        <v>Apr-2026</v>
      </c>
      <c r="AA1819" t="str">
        <f t="shared" si="200"/>
        <v>Q2 2026</v>
      </c>
      <c r="AB1819" s="4">
        <f t="shared" ca="1" si="201"/>
        <v>71</v>
      </c>
      <c r="AC1819" t="str">
        <f t="shared" si="202"/>
        <v>Medium</v>
      </c>
    </row>
    <row r="1820" spans="1:29">
      <c r="A1820" t="s">
        <v>6290</v>
      </c>
      <c r="B1820" s="2">
        <v>46007</v>
      </c>
      <c r="C1820" t="s">
        <v>1825</v>
      </c>
      <c r="D1820" t="s">
        <v>636</v>
      </c>
      <c r="E1820" t="s">
        <v>6291</v>
      </c>
      <c r="F1820" t="s">
        <v>6292</v>
      </c>
      <c r="G1820" t="s">
        <v>79</v>
      </c>
      <c r="H1820" t="s">
        <v>228</v>
      </c>
      <c r="I1820" t="s">
        <v>187</v>
      </c>
      <c r="J1820" t="s">
        <v>37</v>
      </c>
      <c r="K1820" t="s">
        <v>100</v>
      </c>
      <c r="L1820" t="s">
        <v>52</v>
      </c>
      <c r="M1820" t="s">
        <v>133</v>
      </c>
      <c r="N1820" t="s">
        <v>134</v>
      </c>
      <c r="O1820" s="3">
        <v>55000</v>
      </c>
      <c r="P1820" s="4">
        <v>0</v>
      </c>
      <c r="Q1820" s="2">
        <v>46040</v>
      </c>
      <c r="R1820" s="2"/>
      <c r="S1820" s="2">
        <v>46022</v>
      </c>
      <c r="T1820" s="2">
        <v>46040</v>
      </c>
      <c r="U1820" t="str">
        <f t="shared" si="196"/>
        <v>No</v>
      </c>
      <c r="V1820" t="s">
        <v>1105</v>
      </c>
      <c r="W182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33</v>
      </c>
      <c r="X1820" t="str">
        <f t="shared" ca="1" si="197"/>
        <v>Closed</v>
      </c>
      <c r="Y1820" t="str">
        <f t="shared" si="198"/>
        <v>Closed</v>
      </c>
      <c r="Z1820" t="str">
        <f t="shared" si="199"/>
        <v>Dec-2025</v>
      </c>
      <c r="AA1820" t="str">
        <f t="shared" si="200"/>
        <v>Q4 2025</v>
      </c>
      <c r="AB1820" s="4">
        <f t="shared" ca="1" si="201"/>
        <v>192</v>
      </c>
      <c r="AC1820" t="str">
        <f t="shared" si="202"/>
        <v>Low</v>
      </c>
    </row>
    <row r="1821" spans="1:29">
      <c r="A1821" t="s">
        <v>6293</v>
      </c>
      <c r="B1821" s="2">
        <v>46034</v>
      </c>
      <c r="C1821" t="s">
        <v>3444</v>
      </c>
      <c r="D1821" t="s">
        <v>242</v>
      </c>
      <c r="E1821" t="s">
        <v>6294</v>
      </c>
      <c r="F1821" t="s">
        <v>6295</v>
      </c>
      <c r="G1821" t="s">
        <v>179</v>
      </c>
      <c r="H1821" t="s">
        <v>296</v>
      </c>
      <c r="I1821" t="s">
        <v>61</v>
      </c>
      <c r="J1821" t="s">
        <v>124</v>
      </c>
      <c r="K1821" t="s">
        <v>114</v>
      </c>
      <c r="L1821" t="s">
        <v>239</v>
      </c>
      <c r="M1821" t="s">
        <v>40</v>
      </c>
      <c r="N1821" t="s">
        <v>41</v>
      </c>
      <c r="O1821" s="3">
        <v>325000</v>
      </c>
      <c r="P1821" s="4">
        <v>100</v>
      </c>
      <c r="Q1821" s="2">
        <v>46090</v>
      </c>
      <c r="R1821" s="2"/>
      <c r="S1821" s="2">
        <v>46064</v>
      </c>
      <c r="T1821" s="2">
        <v>46090</v>
      </c>
      <c r="U1821" t="str">
        <f t="shared" si="196"/>
        <v>Yes</v>
      </c>
      <c r="W182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56</v>
      </c>
      <c r="X1821" t="str">
        <f t="shared" ca="1" si="197"/>
        <v>Closed</v>
      </c>
      <c r="Y1821" t="str">
        <f t="shared" si="198"/>
        <v>Closed</v>
      </c>
      <c r="Z1821" t="str">
        <f t="shared" si="199"/>
        <v>Jan-2026</v>
      </c>
      <c r="AA1821" t="str">
        <f t="shared" si="200"/>
        <v>Q1 2026</v>
      </c>
      <c r="AB1821" s="4">
        <f t="shared" ca="1" si="201"/>
        <v>165</v>
      </c>
      <c r="AC1821" t="str">
        <f t="shared" si="202"/>
        <v>High</v>
      </c>
    </row>
    <row r="1822" spans="1:29">
      <c r="A1822" t="s">
        <v>6296</v>
      </c>
      <c r="B1822" s="2">
        <v>46095</v>
      </c>
      <c r="C1822" t="s">
        <v>1038</v>
      </c>
      <c r="D1822" t="s">
        <v>904</v>
      </c>
      <c r="E1822" t="s">
        <v>6297</v>
      </c>
      <c r="F1822" t="s">
        <v>6298</v>
      </c>
      <c r="G1822" t="s">
        <v>79</v>
      </c>
      <c r="H1822" t="s">
        <v>228</v>
      </c>
      <c r="I1822" t="s">
        <v>141</v>
      </c>
      <c r="J1822" t="s">
        <v>99</v>
      </c>
      <c r="K1822" t="s">
        <v>51</v>
      </c>
      <c r="L1822" t="s">
        <v>72</v>
      </c>
      <c r="M1822" t="s">
        <v>210</v>
      </c>
      <c r="N1822" t="s">
        <v>134</v>
      </c>
      <c r="O1822" s="3">
        <v>480000</v>
      </c>
      <c r="P1822" s="4">
        <v>0</v>
      </c>
      <c r="Q1822" s="2">
        <v>46132</v>
      </c>
      <c r="R1822" s="2"/>
      <c r="S1822" s="2">
        <v>46101</v>
      </c>
      <c r="T1822" s="2">
        <v>46132</v>
      </c>
      <c r="U1822" t="str">
        <f t="shared" si="196"/>
        <v>No</v>
      </c>
      <c r="V1822" t="s">
        <v>276</v>
      </c>
      <c r="W182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822" t="str">
        <f t="shared" ca="1" si="197"/>
        <v>Closed</v>
      </c>
      <c r="Y1822" t="str">
        <f t="shared" si="198"/>
        <v>Closed</v>
      </c>
      <c r="Z1822" t="str">
        <f t="shared" si="199"/>
        <v>Mar-2026</v>
      </c>
      <c r="AA1822" t="str">
        <f t="shared" si="200"/>
        <v>Q1 2026</v>
      </c>
      <c r="AB1822" s="4">
        <f t="shared" ca="1" si="201"/>
        <v>104</v>
      </c>
      <c r="AC1822" t="str">
        <f t="shared" si="202"/>
        <v>High</v>
      </c>
    </row>
    <row r="1823" spans="1:29">
      <c r="A1823" t="s">
        <v>6299</v>
      </c>
      <c r="B1823" s="2">
        <v>45758</v>
      </c>
      <c r="C1823" t="s">
        <v>1097</v>
      </c>
      <c r="D1823" t="s">
        <v>1086</v>
      </c>
      <c r="E1823" t="s">
        <v>6300</v>
      </c>
      <c r="F1823" t="s">
        <v>6301</v>
      </c>
      <c r="G1823" t="s">
        <v>69</v>
      </c>
      <c r="H1823" t="s">
        <v>193</v>
      </c>
      <c r="I1823" t="s">
        <v>187</v>
      </c>
      <c r="J1823" t="s">
        <v>124</v>
      </c>
      <c r="K1823" t="s">
        <v>100</v>
      </c>
      <c r="L1823" t="s">
        <v>39</v>
      </c>
      <c r="M1823" t="s">
        <v>116</v>
      </c>
      <c r="N1823" t="s">
        <v>54</v>
      </c>
      <c r="O1823" s="3">
        <v>130000</v>
      </c>
      <c r="P1823" s="4">
        <v>15</v>
      </c>
      <c r="Q1823" s="2">
        <v>45841</v>
      </c>
      <c r="R1823" s="2">
        <v>46208</v>
      </c>
      <c r="S1823" s="2">
        <v>45761</v>
      </c>
      <c r="T1823" s="2"/>
      <c r="U1823" t="str">
        <f t="shared" si="196"/>
        <v>No</v>
      </c>
      <c r="W18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3" t="str">
        <f t="shared" ca="1" si="197"/>
        <v>Due/Open</v>
      </c>
      <c r="Y1823" t="str">
        <f t="shared" si="198"/>
        <v>Open</v>
      </c>
      <c r="Z1823" t="str">
        <f t="shared" si="199"/>
        <v>Apr-2025</v>
      </c>
      <c r="AA1823" t="str">
        <f t="shared" si="200"/>
        <v>Q2 2025</v>
      </c>
      <c r="AB1823" s="4">
        <f t="shared" ca="1" si="201"/>
        <v>441</v>
      </c>
      <c r="AC1823" t="str">
        <f t="shared" si="202"/>
        <v>Medium</v>
      </c>
    </row>
    <row r="1824" spans="1:29">
      <c r="A1824" t="s">
        <v>6302</v>
      </c>
      <c r="B1824" s="2">
        <v>46134</v>
      </c>
      <c r="C1824" t="s">
        <v>683</v>
      </c>
      <c r="D1824" t="s">
        <v>337</v>
      </c>
      <c r="E1824" t="s">
        <v>6303</v>
      </c>
      <c r="F1824" t="s">
        <v>6304</v>
      </c>
      <c r="G1824" t="s">
        <v>34</v>
      </c>
      <c r="H1824" t="s">
        <v>173</v>
      </c>
      <c r="I1824" t="s">
        <v>61</v>
      </c>
      <c r="J1824" t="s">
        <v>99</v>
      </c>
      <c r="K1824" t="s">
        <v>194</v>
      </c>
      <c r="L1824" t="s">
        <v>39</v>
      </c>
      <c r="M1824" t="s">
        <v>90</v>
      </c>
      <c r="N1824" t="s">
        <v>91</v>
      </c>
      <c r="O1824" s="3">
        <v>310000</v>
      </c>
      <c r="P1824" s="4">
        <v>50</v>
      </c>
      <c r="Q1824" s="2">
        <v>46217</v>
      </c>
      <c r="R1824" s="2">
        <v>46179</v>
      </c>
      <c r="S1824" s="2">
        <v>46148</v>
      </c>
      <c r="T1824" s="2"/>
      <c r="U1824" t="str">
        <f t="shared" si="196"/>
        <v>No</v>
      </c>
      <c r="W182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4" t="str">
        <f t="shared" ca="1" si="197"/>
        <v>Overdue</v>
      </c>
      <c r="Y1824" t="str">
        <f t="shared" si="198"/>
        <v>Open</v>
      </c>
      <c r="Z1824" t="str">
        <f t="shared" si="199"/>
        <v>Apr-2026</v>
      </c>
      <c r="AA1824" t="str">
        <f t="shared" si="200"/>
        <v>Q2 2026</v>
      </c>
      <c r="AB1824" s="4">
        <f t="shared" ca="1" si="201"/>
        <v>65</v>
      </c>
      <c r="AC1824" t="str">
        <f t="shared" si="202"/>
        <v>High</v>
      </c>
    </row>
    <row r="1825" spans="1:29">
      <c r="A1825" t="s">
        <v>6305</v>
      </c>
      <c r="B1825" s="2">
        <v>45830</v>
      </c>
      <c r="C1825" t="s">
        <v>1080</v>
      </c>
      <c r="D1825" t="s">
        <v>1302</v>
      </c>
      <c r="E1825" t="s">
        <v>6306</v>
      </c>
      <c r="F1825" t="s">
        <v>6307</v>
      </c>
      <c r="G1825" t="s">
        <v>34</v>
      </c>
      <c r="H1825" t="s">
        <v>173</v>
      </c>
      <c r="I1825" t="s">
        <v>61</v>
      </c>
      <c r="J1825" t="s">
        <v>124</v>
      </c>
      <c r="K1825" t="s">
        <v>71</v>
      </c>
      <c r="L1825" t="s">
        <v>72</v>
      </c>
      <c r="M1825" t="s">
        <v>116</v>
      </c>
      <c r="N1825" t="s">
        <v>54</v>
      </c>
      <c r="O1825" s="3">
        <v>150000</v>
      </c>
      <c r="P1825" s="4">
        <v>20</v>
      </c>
      <c r="Q1825" s="2">
        <v>45863</v>
      </c>
      <c r="R1825" s="2">
        <v>46207</v>
      </c>
      <c r="S1825" s="2">
        <v>45846</v>
      </c>
      <c r="T1825" s="2"/>
      <c r="U1825" t="str">
        <f t="shared" si="196"/>
        <v>No</v>
      </c>
      <c r="W18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5" t="str">
        <f t="shared" ca="1" si="197"/>
        <v>Due/Open</v>
      </c>
      <c r="Y1825" t="str">
        <f t="shared" si="198"/>
        <v>Open</v>
      </c>
      <c r="Z1825" t="str">
        <f t="shared" si="199"/>
        <v>Jun-2025</v>
      </c>
      <c r="AA1825" t="str">
        <f t="shared" si="200"/>
        <v>Q2 2025</v>
      </c>
      <c r="AB1825" s="4">
        <f t="shared" ca="1" si="201"/>
        <v>369</v>
      </c>
      <c r="AC1825" t="str">
        <f t="shared" si="202"/>
        <v>Medium</v>
      </c>
    </row>
    <row r="1826" spans="1:29">
      <c r="A1826" t="s">
        <v>6308</v>
      </c>
      <c r="B1826" s="2">
        <v>45724</v>
      </c>
      <c r="C1826" t="s">
        <v>1782</v>
      </c>
      <c r="D1826" t="s">
        <v>119</v>
      </c>
      <c r="E1826" t="s">
        <v>6309</v>
      </c>
      <c r="F1826" t="s">
        <v>6310</v>
      </c>
      <c r="G1826" t="s">
        <v>179</v>
      </c>
      <c r="H1826" t="s">
        <v>180</v>
      </c>
      <c r="I1826" t="s">
        <v>98</v>
      </c>
      <c r="J1826" t="s">
        <v>62</v>
      </c>
      <c r="K1826" t="s">
        <v>194</v>
      </c>
      <c r="L1826" t="s">
        <v>154</v>
      </c>
      <c r="M1826" t="s">
        <v>53</v>
      </c>
      <c r="N1826" t="s">
        <v>54</v>
      </c>
      <c r="O1826" s="3">
        <v>390000</v>
      </c>
      <c r="P1826" s="4">
        <v>35</v>
      </c>
      <c r="Q1826" s="2">
        <v>45758</v>
      </c>
      <c r="R1826" s="2">
        <v>46210</v>
      </c>
      <c r="S1826" s="2">
        <v>45743</v>
      </c>
      <c r="T1826" s="2"/>
      <c r="U1826" t="str">
        <f t="shared" si="196"/>
        <v>No</v>
      </c>
      <c r="W18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6" t="str">
        <f t="shared" ca="1" si="197"/>
        <v>Due/Open</v>
      </c>
      <c r="Y1826" t="str">
        <f t="shared" si="198"/>
        <v>Open</v>
      </c>
      <c r="Z1826" t="str">
        <f t="shared" si="199"/>
        <v>Mar-2025</v>
      </c>
      <c r="AA1826" t="str">
        <f t="shared" si="200"/>
        <v>Q1 2025</v>
      </c>
      <c r="AB1826" s="4">
        <f t="shared" ca="1" si="201"/>
        <v>475</v>
      </c>
      <c r="AC1826" t="str">
        <f t="shared" si="202"/>
        <v>High</v>
      </c>
    </row>
    <row r="1827" spans="1:29">
      <c r="A1827" t="s">
        <v>6311</v>
      </c>
      <c r="B1827" s="2">
        <v>45892</v>
      </c>
      <c r="C1827" t="s">
        <v>6312</v>
      </c>
      <c r="D1827" t="s">
        <v>1178</v>
      </c>
      <c r="E1827" t="s">
        <v>6313</v>
      </c>
      <c r="F1827" t="s">
        <v>6314</v>
      </c>
      <c r="G1827" t="s">
        <v>69</v>
      </c>
      <c r="H1827" t="s">
        <v>200</v>
      </c>
      <c r="I1827" t="s">
        <v>49</v>
      </c>
      <c r="J1827" t="s">
        <v>37</v>
      </c>
      <c r="K1827" t="s">
        <v>38</v>
      </c>
      <c r="L1827" t="s">
        <v>125</v>
      </c>
      <c r="M1827" t="s">
        <v>73</v>
      </c>
      <c r="N1827" t="s">
        <v>73</v>
      </c>
      <c r="O1827" s="3">
        <v>180000</v>
      </c>
      <c r="P1827" s="4">
        <v>85</v>
      </c>
      <c r="Q1827" s="2">
        <v>45958</v>
      </c>
      <c r="R1827" s="2">
        <v>46206</v>
      </c>
      <c r="S1827" s="2">
        <v>45916</v>
      </c>
      <c r="T1827" s="2"/>
      <c r="U1827" t="str">
        <f t="shared" si="196"/>
        <v>No</v>
      </c>
      <c r="W18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7" t="str">
        <f t="shared" ca="1" si="197"/>
        <v>Due/Open</v>
      </c>
      <c r="Y1827" t="str">
        <f t="shared" si="198"/>
        <v>Open</v>
      </c>
      <c r="Z1827" t="str">
        <f t="shared" si="199"/>
        <v>Aug-2025</v>
      </c>
      <c r="AA1827" t="str">
        <f t="shared" si="200"/>
        <v>Q3 2025</v>
      </c>
      <c r="AB1827" s="4">
        <f t="shared" ca="1" si="201"/>
        <v>307</v>
      </c>
      <c r="AC1827" t="str">
        <f t="shared" si="202"/>
        <v>Medium</v>
      </c>
    </row>
    <row r="1828" spans="1:29">
      <c r="A1828" t="s">
        <v>6315</v>
      </c>
      <c r="B1828" s="2">
        <v>45717</v>
      </c>
      <c r="C1828" t="s">
        <v>4339</v>
      </c>
      <c r="D1828" t="s">
        <v>1093</v>
      </c>
      <c r="E1828" t="s">
        <v>6316</v>
      </c>
      <c r="F1828" t="s">
        <v>6317</v>
      </c>
      <c r="G1828" t="s">
        <v>179</v>
      </c>
      <c r="H1828" t="s">
        <v>186</v>
      </c>
      <c r="I1828" t="s">
        <v>123</v>
      </c>
      <c r="J1828" t="s">
        <v>131</v>
      </c>
      <c r="K1828" t="s">
        <v>194</v>
      </c>
      <c r="L1828" t="s">
        <v>52</v>
      </c>
      <c r="M1828" t="s">
        <v>116</v>
      </c>
      <c r="N1828" t="s">
        <v>54</v>
      </c>
      <c r="O1828" s="3">
        <v>335000</v>
      </c>
      <c r="P1828" s="4">
        <v>20</v>
      </c>
      <c r="Q1828" s="2">
        <v>45775</v>
      </c>
      <c r="R1828" s="2">
        <v>46153</v>
      </c>
      <c r="S1828" s="2">
        <v>45736</v>
      </c>
      <c r="T1828" s="2"/>
      <c r="U1828" t="str">
        <f t="shared" si="196"/>
        <v>No</v>
      </c>
      <c r="W18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8" t="str">
        <f t="shared" ca="1" si="197"/>
        <v>Overdue</v>
      </c>
      <c r="Y1828" t="str">
        <f t="shared" si="198"/>
        <v>Open</v>
      </c>
      <c r="Z1828" t="str">
        <f t="shared" si="199"/>
        <v>Mar-2025</v>
      </c>
      <c r="AA1828" t="str">
        <f t="shared" si="200"/>
        <v>Q1 2025</v>
      </c>
      <c r="AB1828" s="4">
        <f t="shared" ca="1" si="201"/>
        <v>482</v>
      </c>
      <c r="AC1828" t="str">
        <f t="shared" si="202"/>
        <v>High</v>
      </c>
    </row>
    <row r="1829" spans="1:29">
      <c r="A1829" t="s">
        <v>6318</v>
      </c>
      <c r="B1829" s="2">
        <v>46162</v>
      </c>
      <c r="C1829" t="s">
        <v>3148</v>
      </c>
      <c r="D1829" t="s">
        <v>1933</v>
      </c>
      <c r="E1829" t="s">
        <v>6319</v>
      </c>
      <c r="F1829" t="s">
        <v>6320</v>
      </c>
      <c r="G1829" t="s">
        <v>47</v>
      </c>
      <c r="H1829" t="s">
        <v>493</v>
      </c>
      <c r="I1829" t="s">
        <v>36</v>
      </c>
      <c r="J1829" t="s">
        <v>37</v>
      </c>
      <c r="K1829" t="s">
        <v>194</v>
      </c>
      <c r="L1829" t="s">
        <v>115</v>
      </c>
      <c r="M1829" t="s">
        <v>166</v>
      </c>
      <c r="N1829" t="s">
        <v>167</v>
      </c>
      <c r="O1829" s="3">
        <v>155000</v>
      </c>
      <c r="P1829" s="4">
        <v>60</v>
      </c>
      <c r="Q1829" s="2">
        <v>46195</v>
      </c>
      <c r="R1829" s="2">
        <v>46217</v>
      </c>
      <c r="S1829" s="2">
        <v>46173</v>
      </c>
      <c r="T1829" s="2"/>
      <c r="U1829" t="str">
        <f t="shared" si="196"/>
        <v>No</v>
      </c>
      <c r="W182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29" t="str">
        <f t="shared" ca="1" si="197"/>
        <v>Due/Open</v>
      </c>
      <c r="Y1829" t="str">
        <f t="shared" si="198"/>
        <v>Open</v>
      </c>
      <c r="Z1829" t="str">
        <f t="shared" si="199"/>
        <v>May-2026</v>
      </c>
      <c r="AA1829" t="str">
        <f t="shared" si="200"/>
        <v>Q2 2026</v>
      </c>
      <c r="AB1829" s="4">
        <f t="shared" ca="1" si="201"/>
        <v>37</v>
      </c>
      <c r="AC1829" t="str">
        <f t="shared" si="202"/>
        <v>Medium</v>
      </c>
    </row>
    <row r="1830" spans="1:29">
      <c r="A1830" t="s">
        <v>6321</v>
      </c>
      <c r="B1830" s="2">
        <v>46040</v>
      </c>
      <c r="C1830" t="s">
        <v>1810</v>
      </c>
      <c r="D1830" t="s">
        <v>1132</v>
      </c>
      <c r="E1830" t="s">
        <v>6322</v>
      </c>
      <c r="F1830" t="s">
        <v>6323</v>
      </c>
      <c r="G1830" t="s">
        <v>69</v>
      </c>
      <c r="H1830" t="s">
        <v>193</v>
      </c>
      <c r="I1830" t="s">
        <v>49</v>
      </c>
      <c r="J1830" t="s">
        <v>50</v>
      </c>
      <c r="K1830" t="s">
        <v>194</v>
      </c>
      <c r="L1830" t="s">
        <v>72</v>
      </c>
      <c r="M1830" t="s">
        <v>133</v>
      </c>
      <c r="N1830" t="s">
        <v>134</v>
      </c>
      <c r="O1830" s="3">
        <v>120000</v>
      </c>
      <c r="P1830" s="4">
        <v>0</v>
      </c>
      <c r="Q1830" s="2">
        <v>46107</v>
      </c>
      <c r="R1830" s="2"/>
      <c r="S1830" s="2">
        <v>46046</v>
      </c>
      <c r="T1830" s="2">
        <v>46107</v>
      </c>
      <c r="U1830" t="str">
        <f t="shared" si="196"/>
        <v>No</v>
      </c>
      <c r="V1830" t="s">
        <v>319</v>
      </c>
      <c r="W183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67</v>
      </c>
      <c r="X1830" t="str">
        <f t="shared" ca="1" si="197"/>
        <v>Closed</v>
      </c>
      <c r="Y1830" t="str">
        <f t="shared" si="198"/>
        <v>Closed</v>
      </c>
      <c r="Z1830" t="str">
        <f t="shared" si="199"/>
        <v>Jan-2026</v>
      </c>
      <c r="AA1830" t="str">
        <f t="shared" si="200"/>
        <v>Q1 2026</v>
      </c>
      <c r="AB1830" s="4">
        <f t="shared" ca="1" si="201"/>
        <v>159</v>
      </c>
      <c r="AC1830" t="str">
        <f t="shared" si="202"/>
        <v>Medium</v>
      </c>
    </row>
    <row r="1831" spans="1:29">
      <c r="A1831" t="s">
        <v>6324</v>
      </c>
      <c r="B1831" s="2">
        <v>46063</v>
      </c>
      <c r="C1831" t="s">
        <v>1559</v>
      </c>
      <c r="D1831" t="s">
        <v>1560</v>
      </c>
      <c r="E1831" t="s">
        <v>1561</v>
      </c>
      <c r="F1831" t="s">
        <v>6325</v>
      </c>
      <c r="G1831" t="s">
        <v>34</v>
      </c>
      <c r="H1831" t="s">
        <v>446</v>
      </c>
      <c r="I1831" t="s">
        <v>36</v>
      </c>
      <c r="J1831" t="s">
        <v>50</v>
      </c>
      <c r="K1831" t="s">
        <v>114</v>
      </c>
      <c r="L1831" t="s">
        <v>125</v>
      </c>
      <c r="M1831" t="s">
        <v>53</v>
      </c>
      <c r="N1831" t="s">
        <v>54</v>
      </c>
      <c r="O1831" s="3">
        <v>395000</v>
      </c>
      <c r="P1831" s="4">
        <v>30</v>
      </c>
      <c r="Q1831" s="2">
        <v>46134</v>
      </c>
      <c r="R1831" s="2">
        <v>46202</v>
      </c>
      <c r="S1831" s="2">
        <v>46078</v>
      </c>
      <c r="T1831" s="2"/>
      <c r="U1831" t="str">
        <f t="shared" si="196"/>
        <v>No</v>
      </c>
      <c r="W18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1" t="str">
        <f t="shared" ca="1" si="197"/>
        <v>Due/Open</v>
      </c>
      <c r="Y1831" t="str">
        <f t="shared" si="198"/>
        <v>Open</v>
      </c>
      <c r="Z1831" t="str">
        <f t="shared" si="199"/>
        <v>Feb-2026</v>
      </c>
      <c r="AA1831" t="str">
        <f t="shared" si="200"/>
        <v>Q1 2026</v>
      </c>
      <c r="AB1831" s="4">
        <f t="shared" ca="1" si="201"/>
        <v>136</v>
      </c>
      <c r="AC1831" t="str">
        <f t="shared" si="202"/>
        <v>High</v>
      </c>
    </row>
    <row r="1832" spans="1:29">
      <c r="A1832" t="s">
        <v>6326</v>
      </c>
      <c r="B1832" s="2">
        <v>46133</v>
      </c>
      <c r="C1832" t="s">
        <v>1164</v>
      </c>
      <c r="D1832" t="s">
        <v>1404</v>
      </c>
      <c r="E1832" t="s">
        <v>6327</v>
      </c>
      <c r="F1832" t="s">
        <v>6328</v>
      </c>
      <c r="G1832" t="s">
        <v>34</v>
      </c>
      <c r="H1832" t="s">
        <v>238</v>
      </c>
      <c r="I1832" t="s">
        <v>148</v>
      </c>
      <c r="J1832" t="s">
        <v>99</v>
      </c>
      <c r="K1832" t="s">
        <v>100</v>
      </c>
      <c r="L1832" t="s">
        <v>63</v>
      </c>
      <c r="M1832" t="s">
        <v>166</v>
      </c>
      <c r="N1832" t="s">
        <v>167</v>
      </c>
      <c r="O1832" s="3">
        <v>270000</v>
      </c>
      <c r="P1832" s="4">
        <v>70</v>
      </c>
      <c r="Q1832" s="2">
        <v>46178</v>
      </c>
      <c r="R1832" s="2">
        <v>46173</v>
      </c>
      <c r="S1832" s="2">
        <v>46163</v>
      </c>
      <c r="T1832" s="2"/>
      <c r="U1832" t="str">
        <f t="shared" si="196"/>
        <v>No</v>
      </c>
      <c r="W183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2" t="str">
        <f t="shared" ca="1" si="197"/>
        <v>Overdue</v>
      </c>
      <c r="Y1832" t="str">
        <f t="shared" si="198"/>
        <v>Open</v>
      </c>
      <c r="Z1832" t="str">
        <f t="shared" si="199"/>
        <v>Apr-2026</v>
      </c>
      <c r="AA1832" t="str">
        <f t="shared" si="200"/>
        <v>Q2 2026</v>
      </c>
      <c r="AB1832" s="4">
        <f t="shared" ca="1" si="201"/>
        <v>66</v>
      </c>
      <c r="AC1832" t="str">
        <f t="shared" si="202"/>
        <v>Medium</v>
      </c>
    </row>
    <row r="1833" spans="1:29">
      <c r="A1833" t="s">
        <v>6329</v>
      </c>
      <c r="B1833" s="2">
        <v>45981</v>
      </c>
      <c r="C1833" t="s">
        <v>2400</v>
      </c>
      <c r="D1833" t="s">
        <v>407</v>
      </c>
      <c r="E1833" t="s">
        <v>6330</v>
      </c>
      <c r="F1833" t="s">
        <v>6331</v>
      </c>
      <c r="G1833" t="s">
        <v>47</v>
      </c>
      <c r="H1833" t="s">
        <v>122</v>
      </c>
      <c r="I1833" t="s">
        <v>49</v>
      </c>
      <c r="J1833" t="s">
        <v>37</v>
      </c>
      <c r="K1833" t="s">
        <v>51</v>
      </c>
      <c r="L1833" t="s">
        <v>39</v>
      </c>
      <c r="M1833" t="s">
        <v>90</v>
      </c>
      <c r="N1833" t="s">
        <v>91</v>
      </c>
      <c r="O1833" s="3">
        <v>145000</v>
      </c>
      <c r="P1833" s="4">
        <v>50</v>
      </c>
      <c r="Q1833" s="2">
        <v>46017</v>
      </c>
      <c r="R1833" s="2">
        <v>46226</v>
      </c>
      <c r="S1833" s="2">
        <v>45998</v>
      </c>
      <c r="T1833" s="2"/>
      <c r="U1833" t="str">
        <f t="shared" si="196"/>
        <v>No</v>
      </c>
      <c r="W183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3" t="str">
        <f t="shared" ca="1" si="197"/>
        <v>Due/Open</v>
      </c>
      <c r="Y1833" t="str">
        <f t="shared" si="198"/>
        <v>Open</v>
      </c>
      <c r="Z1833" t="str">
        <f t="shared" si="199"/>
        <v>Nov-2025</v>
      </c>
      <c r="AA1833" t="str">
        <f t="shared" si="200"/>
        <v>Q4 2025</v>
      </c>
      <c r="AB1833" s="4">
        <f t="shared" ca="1" si="201"/>
        <v>218</v>
      </c>
      <c r="AC1833" t="str">
        <f t="shared" si="202"/>
        <v>Medium</v>
      </c>
    </row>
    <row r="1834" spans="1:29">
      <c r="A1834" t="s">
        <v>6332</v>
      </c>
      <c r="B1834" s="2">
        <v>45695</v>
      </c>
      <c r="C1834" t="s">
        <v>4070</v>
      </c>
      <c r="D1834" t="s">
        <v>1127</v>
      </c>
      <c r="E1834" t="s">
        <v>6333</v>
      </c>
      <c r="F1834" t="s">
        <v>6334</v>
      </c>
      <c r="G1834" t="s">
        <v>79</v>
      </c>
      <c r="H1834" t="s">
        <v>80</v>
      </c>
      <c r="I1834" t="s">
        <v>36</v>
      </c>
      <c r="J1834" t="s">
        <v>62</v>
      </c>
      <c r="K1834" t="s">
        <v>194</v>
      </c>
      <c r="L1834" t="s">
        <v>52</v>
      </c>
      <c r="M1834" t="s">
        <v>53</v>
      </c>
      <c r="N1834" t="s">
        <v>54</v>
      </c>
      <c r="O1834" s="3">
        <v>260000</v>
      </c>
      <c r="P1834" s="4">
        <v>25</v>
      </c>
      <c r="Q1834" s="2">
        <v>45715</v>
      </c>
      <c r="R1834" s="2">
        <v>46197</v>
      </c>
      <c r="S1834" s="2">
        <v>45725</v>
      </c>
      <c r="T1834" s="2"/>
      <c r="U1834" t="str">
        <f t="shared" si="196"/>
        <v>No</v>
      </c>
      <c r="W18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4" t="str">
        <f t="shared" ca="1" si="197"/>
        <v>Overdue</v>
      </c>
      <c r="Y1834" t="str">
        <f t="shared" si="198"/>
        <v>Open</v>
      </c>
      <c r="Z1834" t="str">
        <f t="shared" si="199"/>
        <v>Feb-2025</v>
      </c>
      <c r="AA1834" t="str">
        <f t="shared" si="200"/>
        <v>Q1 2025</v>
      </c>
      <c r="AB1834" s="4">
        <f t="shared" ca="1" si="201"/>
        <v>504</v>
      </c>
      <c r="AC1834" t="str">
        <f t="shared" si="202"/>
        <v>Medium</v>
      </c>
    </row>
    <row r="1835" spans="1:29">
      <c r="A1835" t="s">
        <v>6335</v>
      </c>
      <c r="B1835" s="2">
        <v>45660</v>
      </c>
      <c r="C1835" t="s">
        <v>1034</v>
      </c>
      <c r="D1835" t="s">
        <v>1560</v>
      </c>
      <c r="E1835" t="s">
        <v>6336</v>
      </c>
      <c r="F1835" t="s">
        <v>6337</v>
      </c>
      <c r="G1835" t="s">
        <v>179</v>
      </c>
      <c r="H1835" t="s">
        <v>296</v>
      </c>
      <c r="I1835" t="s">
        <v>123</v>
      </c>
      <c r="J1835" t="s">
        <v>50</v>
      </c>
      <c r="K1835" t="s">
        <v>71</v>
      </c>
      <c r="L1835" t="s">
        <v>132</v>
      </c>
      <c r="M1835" t="s">
        <v>90</v>
      </c>
      <c r="N1835" t="s">
        <v>91</v>
      </c>
      <c r="O1835" s="3">
        <v>120000</v>
      </c>
      <c r="P1835" s="4">
        <v>50</v>
      </c>
      <c r="Q1835" s="2">
        <v>45706</v>
      </c>
      <c r="R1835" s="2">
        <v>46199</v>
      </c>
      <c r="S1835" s="2">
        <v>45686</v>
      </c>
      <c r="T1835" s="2"/>
      <c r="U1835" t="str">
        <f t="shared" si="196"/>
        <v>No</v>
      </c>
      <c r="W18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5" t="str">
        <f t="shared" ca="1" si="197"/>
        <v>Due/Open</v>
      </c>
      <c r="Y1835" t="str">
        <f t="shared" si="198"/>
        <v>Open</v>
      </c>
      <c r="Z1835" t="str">
        <f t="shared" si="199"/>
        <v>Jan-2025</v>
      </c>
      <c r="AA1835" t="str">
        <f t="shared" si="200"/>
        <v>Q1 2025</v>
      </c>
      <c r="AB1835" s="4">
        <f t="shared" ca="1" si="201"/>
        <v>539</v>
      </c>
      <c r="AC1835" t="str">
        <f t="shared" si="202"/>
        <v>Medium</v>
      </c>
    </row>
    <row r="1836" spans="1:29">
      <c r="A1836" t="s">
        <v>6338</v>
      </c>
      <c r="B1836" s="2">
        <v>45681</v>
      </c>
      <c r="C1836" t="s">
        <v>6339</v>
      </c>
      <c r="D1836" t="s">
        <v>231</v>
      </c>
      <c r="E1836" t="s">
        <v>6340</v>
      </c>
      <c r="F1836" t="s">
        <v>6341</v>
      </c>
      <c r="G1836" t="s">
        <v>179</v>
      </c>
      <c r="H1836" t="s">
        <v>186</v>
      </c>
      <c r="I1836" t="s">
        <v>141</v>
      </c>
      <c r="J1836" t="s">
        <v>99</v>
      </c>
      <c r="K1836" t="s">
        <v>38</v>
      </c>
      <c r="L1836" t="s">
        <v>107</v>
      </c>
      <c r="M1836" t="s">
        <v>90</v>
      </c>
      <c r="N1836" t="s">
        <v>91</v>
      </c>
      <c r="O1836" s="3">
        <v>695000</v>
      </c>
      <c r="P1836" s="4">
        <v>40</v>
      </c>
      <c r="Q1836" s="2">
        <v>45735</v>
      </c>
      <c r="R1836" s="2">
        <v>46207</v>
      </c>
      <c r="S1836" s="2">
        <v>45710</v>
      </c>
      <c r="T1836" s="2"/>
      <c r="U1836" t="str">
        <f t="shared" si="196"/>
        <v>No</v>
      </c>
      <c r="W18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6" t="str">
        <f t="shared" ca="1" si="197"/>
        <v>Due/Open</v>
      </c>
      <c r="Y1836" t="str">
        <f t="shared" si="198"/>
        <v>Open</v>
      </c>
      <c r="Z1836" t="str">
        <f t="shared" si="199"/>
        <v>Jan-2025</v>
      </c>
      <c r="AA1836" t="str">
        <f t="shared" si="200"/>
        <v>Q1 2025</v>
      </c>
      <c r="AB1836" s="4">
        <f t="shared" ca="1" si="201"/>
        <v>518</v>
      </c>
      <c r="AC1836" t="str">
        <f t="shared" si="202"/>
        <v>High</v>
      </c>
    </row>
    <row r="1837" spans="1:29">
      <c r="A1837" t="s">
        <v>6342</v>
      </c>
      <c r="B1837" s="2">
        <v>45893</v>
      </c>
      <c r="C1837" t="s">
        <v>3674</v>
      </c>
      <c r="D1837" t="s">
        <v>1052</v>
      </c>
      <c r="E1837" t="s">
        <v>6343</v>
      </c>
      <c r="F1837" t="s">
        <v>6344</v>
      </c>
      <c r="G1837" t="s">
        <v>179</v>
      </c>
      <c r="H1837" t="s">
        <v>487</v>
      </c>
      <c r="I1837" t="s">
        <v>98</v>
      </c>
      <c r="J1837" t="s">
        <v>131</v>
      </c>
      <c r="K1837" t="s">
        <v>38</v>
      </c>
      <c r="L1837" t="s">
        <v>39</v>
      </c>
      <c r="M1837" t="s">
        <v>133</v>
      </c>
      <c r="N1837" t="s">
        <v>134</v>
      </c>
      <c r="O1837" s="3">
        <v>350000</v>
      </c>
      <c r="P1837" s="4">
        <v>0</v>
      </c>
      <c r="Q1837" s="2">
        <v>45925</v>
      </c>
      <c r="R1837" s="2"/>
      <c r="S1837" s="2">
        <v>45904</v>
      </c>
      <c r="T1837" s="2">
        <v>45925</v>
      </c>
      <c r="U1837" t="str">
        <f t="shared" si="196"/>
        <v>No</v>
      </c>
      <c r="V1837" t="s">
        <v>452</v>
      </c>
      <c r="W183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32</v>
      </c>
      <c r="X1837" t="str">
        <f t="shared" ca="1" si="197"/>
        <v>Closed</v>
      </c>
      <c r="Y1837" t="str">
        <f t="shared" si="198"/>
        <v>Closed</v>
      </c>
      <c r="Z1837" t="str">
        <f t="shared" si="199"/>
        <v>Aug-2025</v>
      </c>
      <c r="AA1837" t="str">
        <f t="shared" si="200"/>
        <v>Q3 2025</v>
      </c>
      <c r="AB1837" s="4">
        <f t="shared" ca="1" si="201"/>
        <v>306</v>
      </c>
      <c r="AC1837" t="str">
        <f t="shared" si="202"/>
        <v>High</v>
      </c>
    </row>
    <row r="1838" spans="1:29">
      <c r="A1838" t="s">
        <v>6345</v>
      </c>
      <c r="B1838" s="2">
        <v>46159</v>
      </c>
      <c r="C1838" t="s">
        <v>1839</v>
      </c>
      <c r="D1838" t="s">
        <v>517</v>
      </c>
      <c r="E1838" t="s">
        <v>6346</v>
      </c>
      <c r="F1838" t="s">
        <v>6347</v>
      </c>
      <c r="G1838" t="s">
        <v>34</v>
      </c>
      <c r="H1838" t="s">
        <v>35</v>
      </c>
      <c r="I1838" t="s">
        <v>187</v>
      </c>
      <c r="J1838" t="s">
        <v>124</v>
      </c>
      <c r="K1838" t="s">
        <v>100</v>
      </c>
      <c r="L1838" t="s">
        <v>72</v>
      </c>
      <c r="M1838" t="s">
        <v>133</v>
      </c>
      <c r="N1838" t="s">
        <v>134</v>
      </c>
      <c r="O1838" s="3">
        <v>235000</v>
      </c>
      <c r="P1838" s="4">
        <v>0</v>
      </c>
      <c r="Q1838" s="2">
        <v>46190</v>
      </c>
      <c r="R1838" s="2"/>
      <c r="S1838" s="2">
        <v>46187</v>
      </c>
      <c r="T1838" s="2">
        <v>46190</v>
      </c>
      <c r="U1838" t="str">
        <f t="shared" si="196"/>
        <v>No</v>
      </c>
      <c r="V1838" t="s">
        <v>452</v>
      </c>
      <c r="W183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31</v>
      </c>
      <c r="X1838" t="str">
        <f t="shared" ca="1" si="197"/>
        <v>Closed</v>
      </c>
      <c r="Y1838" t="str">
        <f t="shared" si="198"/>
        <v>Closed</v>
      </c>
      <c r="Z1838" t="str">
        <f t="shared" si="199"/>
        <v>May-2026</v>
      </c>
      <c r="AA1838" t="str">
        <f t="shared" si="200"/>
        <v>Q2 2026</v>
      </c>
      <c r="AB1838" s="4">
        <f t="shared" ca="1" si="201"/>
        <v>40</v>
      </c>
      <c r="AC1838" t="str">
        <f t="shared" si="202"/>
        <v>Medium</v>
      </c>
    </row>
    <row r="1839" spans="1:29">
      <c r="A1839" t="s">
        <v>6348</v>
      </c>
      <c r="B1839" s="2">
        <v>46174</v>
      </c>
      <c r="C1839" t="s">
        <v>3798</v>
      </c>
      <c r="D1839" t="s">
        <v>1017</v>
      </c>
      <c r="E1839" t="s">
        <v>6349</v>
      </c>
      <c r="F1839" t="s">
        <v>6350</v>
      </c>
      <c r="G1839" t="s">
        <v>179</v>
      </c>
      <c r="H1839" t="s">
        <v>186</v>
      </c>
      <c r="I1839" t="s">
        <v>36</v>
      </c>
      <c r="J1839" t="s">
        <v>62</v>
      </c>
      <c r="K1839" t="s">
        <v>100</v>
      </c>
      <c r="L1839" t="s">
        <v>115</v>
      </c>
      <c r="M1839" t="s">
        <v>116</v>
      </c>
      <c r="N1839" t="s">
        <v>54</v>
      </c>
      <c r="O1839" s="3">
        <v>260000</v>
      </c>
      <c r="P1839" s="4">
        <v>15</v>
      </c>
      <c r="Q1839" s="2">
        <v>46196</v>
      </c>
      <c r="R1839" s="2">
        <v>46222</v>
      </c>
      <c r="S1839" s="2">
        <v>46197</v>
      </c>
      <c r="T1839" s="2"/>
      <c r="U1839" t="str">
        <f t="shared" si="196"/>
        <v>No</v>
      </c>
      <c r="W18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39" t="str">
        <f t="shared" ca="1" si="197"/>
        <v>Due/Open</v>
      </c>
      <c r="Y1839" t="str">
        <f t="shared" si="198"/>
        <v>Open</v>
      </c>
      <c r="Z1839" t="str">
        <f t="shared" si="199"/>
        <v>Jun-2026</v>
      </c>
      <c r="AA1839" t="str">
        <f t="shared" si="200"/>
        <v>Q2 2026</v>
      </c>
      <c r="AB1839" s="4">
        <f t="shared" ca="1" si="201"/>
        <v>25</v>
      </c>
      <c r="AC1839" t="str">
        <f t="shared" si="202"/>
        <v>Medium</v>
      </c>
    </row>
    <row r="1840" spans="1:29">
      <c r="A1840" t="s">
        <v>6351</v>
      </c>
      <c r="B1840" s="2">
        <v>45810</v>
      </c>
      <c r="C1840" t="s">
        <v>292</v>
      </c>
      <c r="D1840" t="s">
        <v>934</v>
      </c>
      <c r="E1840" t="s">
        <v>6352</v>
      </c>
      <c r="F1840" t="s">
        <v>6353</v>
      </c>
      <c r="G1840" t="s">
        <v>47</v>
      </c>
      <c r="H1840" t="s">
        <v>122</v>
      </c>
      <c r="I1840" t="s">
        <v>36</v>
      </c>
      <c r="J1840" t="s">
        <v>50</v>
      </c>
      <c r="K1840" t="s">
        <v>100</v>
      </c>
      <c r="L1840" t="s">
        <v>132</v>
      </c>
      <c r="M1840" t="s">
        <v>40</v>
      </c>
      <c r="N1840" t="s">
        <v>41</v>
      </c>
      <c r="O1840" s="3">
        <v>120000</v>
      </c>
      <c r="P1840" s="4">
        <v>100</v>
      </c>
      <c r="Q1840" s="2">
        <v>45862</v>
      </c>
      <c r="R1840" s="2"/>
      <c r="S1840" s="2">
        <v>45840</v>
      </c>
      <c r="T1840" s="2">
        <v>45862</v>
      </c>
      <c r="U1840" t="str">
        <f t="shared" si="196"/>
        <v>Yes</v>
      </c>
      <c r="W184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1840" t="str">
        <f t="shared" ca="1" si="197"/>
        <v>Closed</v>
      </c>
      <c r="Y1840" t="str">
        <f t="shared" si="198"/>
        <v>Closed</v>
      </c>
      <c r="Z1840" t="str">
        <f t="shared" si="199"/>
        <v>Jun-2025</v>
      </c>
      <c r="AA1840" t="str">
        <f t="shared" si="200"/>
        <v>Q2 2025</v>
      </c>
      <c r="AB1840" s="4">
        <f t="shared" ca="1" si="201"/>
        <v>389</v>
      </c>
      <c r="AC1840" t="str">
        <f t="shared" si="202"/>
        <v>Medium</v>
      </c>
    </row>
    <row r="1841" spans="1:29">
      <c r="A1841" t="s">
        <v>6354</v>
      </c>
      <c r="B1841" s="2">
        <v>45711</v>
      </c>
      <c r="C1841" t="s">
        <v>729</v>
      </c>
      <c r="D1841" t="s">
        <v>2493</v>
      </c>
      <c r="E1841" t="s">
        <v>6355</v>
      </c>
      <c r="F1841" t="s">
        <v>6356</v>
      </c>
      <c r="G1841" t="s">
        <v>179</v>
      </c>
      <c r="H1841" t="s">
        <v>180</v>
      </c>
      <c r="I1841" t="s">
        <v>98</v>
      </c>
      <c r="J1841" t="s">
        <v>50</v>
      </c>
      <c r="K1841" t="s">
        <v>38</v>
      </c>
      <c r="L1841" t="s">
        <v>154</v>
      </c>
      <c r="M1841" t="s">
        <v>210</v>
      </c>
      <c r="N1841" t="s">
        <v>134</v>
      </c>
      <c r="O1841" s="3">
        <v>465000</v>
      </c>
      <c r="P1841" s="4">
        <v>0</v>
      </c>
      <c r="Q1841" s="2">
        <v>45784</v>
      </c>
      <c r="R1841" s="2"/>
      <c r="S1841" s="2">
        <v>45739</v>
      </c>
      <c r="T1841" s="2">
        <v>45784</v>
      </c>
      <c r="U1841" t="str">
        <f t="shared" si="196"/>
        <v>No</v>
      </c>
      <c r="V1841" t="s">
        <v>276</v>
      </c>
      <c r="W184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73</v>
      </c>
      <c r="X1841" t="str">
        <f t="shared" ca="1" si="197"/>
        <v>Closed</v>
      </c>
      <c r="Y1841" t="str">
        <f t="shared" si="198"/>
        <v>Closed</v>
      </c>
      <c r="Z1841" t="str">
        <f t="shared" si="199"/>
        <v>Feb-2025</v>
      </c>
      <c r="AA1841" t="str">
        <f t="shared" si="200"/>
        <v>Q1 2025</v>
      </c>
      <c r="AB1841" s="4">
        <f t="shared" ca="1" si="201"/>
        <v>488</v>
      </c>
      <c r="AC1841" t="str">
        <f t="shared" si="202"/>
        <v>High</v>
      </c>
    </row>
    <row r="1842" spans="1:29">
      <c r="A1842" t="s">
        <v>6357</v>
      </c>
      <c r="B1842" s="2">
        <v>45958</v>
      </c>
      <c r="C1842" t="s">
        <v>644</v>
      </c>
      <c r="D1842" t="s">
        <v>1052</v>
      </c>
      <c r="E1842" t="s">
        <v>6358</v>
      </c>
      <c r="F1842" t="s">
        <v>6359</v>
      </c>
      <c r="G1842" t="s">
        <v>34</v>
      </c>
      <c r="H1842" t="s">
        <v>160</v>
      </c>
      <c r="I1842" t="s">
        <v>98</v>
      </c>
      <c r="J1842" t="s">
        <v>131</v>
      </c>
      <c r="K1842" t="s">
        <v>51</v>
      </c>
      <c r="L1842" t="s">
        <v>63</v>
      </c>
      <c r="M1842" t="s">
        <v>53</v>
      </c>
      <c r="N1842" t="s">
        <v>54</v>
      </c>
      <c r="O1842" s="3">
        <v>310000</v>
      </c>
      <c r="P1842" s="4">
        <v>30</v>
      </c>
      <c r="Q1842" s="2">
        <v>45996</v>
      </c>
      <c r="R1842" s="2">
        <v>46168</v>
      </c>
      <c r="S1842" s="2">
        <v>45973</v>
      </c>
      <c r="T1842" s="2"/>
      <c r="U1842" t="str">
        <f t="shared" si="196"/>
        <v>No</v>
      </c>
      <c r="W18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2" t="str">
        <f t="shared" ca="1" si="197"/>
        <v>Overdue</v>
      </c>
      <c r="Y1842" t="str">
        <f t="shared" si="198"/>
        <v>Open</v>
      </c>
      <c r="Z1842" t="str">
        <f t="shared" si="199"/>
        <v>Oct-2025</v>
      </c>
      <c r="AA1842" t="str">
        <f t="shared" si="200"/>
        <v>Q4 2025</v>
      </c>
      <c r="AB1842" s="4">
        <f t="shared" ca="1" si="201"/>
        <v>241</v>
      </c>
      <c r="AC1842" t="str">
        <f t="shared" si="202"/>
        <v>High</v>
      </c>
    </row>
    <row r="1843" spans="1:29">
      <c r="A1843" t="s">
        <v>6360</v>
      </c>
      <c r="B1843" s="2">
        <v>45951</v>
      </c>
      <c r="C1843" t="s">
        <v>1297</v>
      </c>
      <c r="D1843" t="s">
        <v>2897</v>
      </c>
      <c r="E1843" t="s">
        <v>6361</v>
      </c>
      <c r="F1843" t="s">
        <v>6362</v>
      </c>
      <c r="G1843" t="s">
        <v>179</v>
      </c>
      <c r="H1843" t="s">
        <v>436</v>
      </c>
      <c r="I1843" t="s">
        <v>123</v>
      </c>
      <c r="J1843" t="s">
        <v>124</v>
      </c>
      <c r="K1843" t="s">
        <v>194</v>
      </c>
      <c r="L1843" t="s">
        <v>52</v>
      </c>
      <c r="M1843" t="s">
        <v>116</v>
      </c>
      <c r="N1843" t="s">
        <v>54</v>
      </c>
      <c r="O1843" s="3">
        <v>255000</v>
      </c>
      <c r="P1843" s="4">
        <v>15</v>
      </c>
      <c r="Q1843" s="2">
        <v>46012</v>
      </c>
      <c r="R1843" s="2">
        <v>46209</v>
      </c>
      <c r="S1843" s="2">
        <v>45965</v>
      </c>
      <c r="T1843" s="2"/>
      <c r="U1843" t="str">
        <f t="shared" si="196"/>
        <v>No</v>
      </c>
      <c r="W184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3" t="str">
        <f t="shared" ca="1" si="197"/>
        <v>Due/Open</v>
      </c>
      <c r="Y1843" t="str">
        <f t="shared" si="198"/>
        <v>Open</v>
      </c>
      <c r="Z1843" t="str">
        <f t="shared" si="199"/>
        <v>Oct-2025</v>
      </c>
      <c r="AA1843" t="str">
        <f t="shared" si="200"/>
        <v>Q4 2025</v>
      </c>
      <c r="AB1843" s="4">
        <f t="shared" ca="1" si="201"/>
        <v>248</v>
      </c>
      <c r="AC1843" t="str">
        <f t="shared" si="202"/>
        <v>Medium</v>
      </c>
    </row>
    <row r="1844" spans="1:29">
      <c r="A1844" t="s">
        <v>6363</v>
      </c>
      <c r="B1844" s="2">
        <v>45939</v>
      </c>
      <c r="C1844" t="s">
        <v>2165</v>
      </c>
      <c r="D1844" t="s">
        <v>1460</v>
      </c>
      <c r="E1844" t="s">
        <v>6364</v>
      </c>
      <c r="F1844" t="s">
        <v>6365</v>
      </c>
      <c r="G1844" t="s">
        <v>69</v>
      </c>
      <c r="H1844" t="s">
        <v>270</v>
      </c>
      <c r="I1844" t="s">
        <v>98</v>
      </c>
      <c r="J1844" t="s">
        <v>131</v>
      </c>
      <c r="K1844" t="s">
        <v>71</v>
      </c>
      <c r="L1844" t="s">
        <v>239</v>
      </c>
      <c r="M1844" t="s">
        <v>40</v>
      </c>
      <c r="N1844" t="s">
        <v>41</v>
      </c>
      <c r="O1844" s="3">
        <v>305000</v>
      </c>
      <c r="P1844" s="4">
        <v>100</v>
      </c>
      <c r="Q1844" s="2">
        <v>45950</v>
      </c>
      <c r="R1844" s="2"/>
      <c r="S1844" s="2">
        <v>45950</v>
      </c>
      <c r="T1844" s="2">
        <v>45950</v>
      </c>
      <c r="U1844" t="str">
        <f t="shared" si="196"/>
        <v>Yes</v>
      </c>
      <c r="W184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1844" t="str">
        <f t="shared" ca="1" si="197"/>
        <v>Closed</v>
      </c>
      <c r="Y1844" t="str">
        <f t="shared" si="198"/>
        <v>Closed</v>
      </c>
      <c r="Z1844" t="str">
        <f t="shared" si="199"/>
        <v>Oct-2025</v>
      </c>
      <c r="AA1844" t="str">
        <f t="shared" si="200"/>
        <v>Q4 2025</v>
      </c>
      <c r="AB1844" s="4">
        <f t="shared" ca="1" si="201"/>
        <v>260</v>
      </c>
      <c r="AC1844" t="str">
        <f t="shared" si="202"/>
        <v>High</v>
      </c>
    </row>
    <row r="1845" spans="1:29">
      <c r="A1845" t="s">
        <v>6366</v>
      </c>
      <c r="B1845" s="2">
        <v>45751</v>
      </c>
      <c r="C1845" t="s">
        <v>326</v>
      </c>
      <c r="D1845" t="s">
        <v>1366</v>
      </c>
      <c r="E1845" t="s">
        <v>6367</v>
      </c>
      <c r="F1845" t="s">
        <v>6368</v>
      </c>
      <c r="G1845" t="s">
        <v>179</v>
      </c>
      <c r="H1845" t="s">
        <v>318</v>
      </c>
      <c r="I1845" t="s">
        <v>98</v>
      </c>
      <c r="J1845" t="s">
        <v>37</v>
      </c>
      <c r="K1845" t="s">
        <v>194</v>
      </c>
      <c r="L1845" t="s">
        <v>107</v>
      </c>
      <c r="M1845" t="s">
        <v>90</v>
      </c>
      <c r="N1845" t="s">
        <v>91</v>
      </c>
      <c r="O1845" s="3">
        <v>175000</v>
      </c>
      <c r="P1845" s="4">
        <v>50</v>
      </c>
      <c r="Q1845" s="2">
        <v>45778</v>
      </c>
      <c r="R1845" s="2">
        <v>46166</v>
      </c>
      <c r="S1845" s="2">
        <v>45752</v>
      </c>
      <c r="T1845" s="2"/>
      <c r="U1845" t="str">
        <f t="shared" si="196"/>
        <v>No</v>
      </c>
      <c r="W18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5" t="str">
        <f t="shared" ca="1" si="197"/>
        <v>Overdue</v>
      </c>
      <c r="Y1845" t="str">
        <f t="shared" si="198"/>
        <v>Open</v>
      </c>
      <c r="Z1845" t="str">
        <f t="shared" si="199"/>
        <v>Apr-2025</v>
      </c>
      <c r="AA1845" t="str">
        <f t="shared" si="200"/>
        <v>Q2 2025</v>
      </c>
      <c r="AB1845" s="4">
        <f t="shared" ca="1" si="201"/>
        <v>448</v>
      </c>
      <c r="AC1845" t="str">
        <f t="shared" si="202"/>
        <v>Medium</v>
      </c>
    </row>
    <row r="1846" spans="1:29">
      <c r="A1846" t="s">
        <v>6369</v>
      </c>
      <c r="B1846" s="2">
        <v>46073</v>
      </c>
      <c r="C1846" t="s">
        <v>2165</v>
      </c>
      <c r="D1846" t="s">
        <v>327</v>
      </c>
      <c r="E1846" t="s">
        <v>6370</v>
      </c>
      <c r="F1846" t="s">
        <v>6371</v>
      </c>
      <c r="G1846" t="s">
        <v>179</v>
      </c>
      <c r="H1846" t="s">
        <v>318</v>
      </c>
      <c r="I1846" t="s">
        <v>141</v>
      </c>
      <c r="J1846" t="s">
        <v>50</v>
      </c>
      <c r="K1846" t="s">
        <v>51</v>
      </c>
      <c r="L1846" t="s">
        <v>125</v>
      </c>
      <c r="M1846" t="s">
        <v>40</v>
      </c>
      <c r="N1846" t="s">
        <v>41</v>
      </c>
      <c r="O1846" s="3">
        <v>165000</v>
      </c>
      <c r="P1846" s="4">
        <v>100</v>
      </c>
      <c r="Q1846" s="2">
        <v>46100</v>
      </c>
      <c r="R1846" s="2"/>
      <c r="S1846" s="2">
        <v>46081</v>
      </c>
      <c r="T1846" s="2">
        <v>46100</v>
      </c>
      <c r="U1846" t="str">
        <f t="shared" si="196"/>
        <v>Yes</v>
      </c>
      <c r="W18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27</v>
      </c>
      <c r="X1846" t="str">
        <f t="shared" ca="1" si="197"/>
        <v>Closed</v>
      </c>
      <c r="Y1846" t="str">
        <f t="shared" si="198"/>
        <v>Closed</v>
      </c>
      <c r="Z1846" t="str">
        <f t="shared" si="199"/>
        <v>Feb-2026</v>
      </c>
      <c r="AA1846" t="str">
        <f t="shared" si="200"/>
        <v>Q1 2026</v>
      </c>
      <c r="AB1846" s="4">
        <f t="shared" ca="1" si="201"/>
        <v>126</v>
      </c>
      <c r="AC1846" t="str">
        <f t="shared" si="202"/>
        <v>Medium</v>
      </c>
    </row>
    <row r="1847" spans="1:29">
      <c r="A1847" t="s">
        <v>6372</v>
      </c>
      <c r="B1847" s="2">
        <v>46062</v>
      </c>
      <c r="C1847" t="s">
        <v>2329</v>
      </c>
      <c r="D1847" t="s">
        <v>2211</v>
      </c>
      <c r="E1847" t="s">
        <v>6373</v>
      </c>
      <c r="F1847" t="s">
        <v>6374</v>
      </c>
      <c r="G1847" t="s">
        <v>179</v>
      </c>
      <c r="H1847" t="s">
        <v>487</v>
      </c>
      <c r="I1847" t="s">
        <v>36</v>
      </c>
      <c r="J1847" t="s">
        <v>99</v>
      </c>
      <c r="K1847" t="s">
        <v>51</v>
      </c>
      <c r="L1847" t="s">
        <v>81</v>
      </c>
      <c r="M1847" t="s">
        <v>40</v>
      </c>
      <c r="N1847" t="s">
        <v>41</v>
      </c>
      <c r="O1847" s="3">
        <v>315000</v>
      </c>
      <c r="P1847" s="4">
        <v>100</v>
      </c>
      <c r="Q1847" s="2">
        <v>46106</v>
      </c>
      <c r="R1847" s="2"/>
      <c r="S1847" s="2">
        <v>46092</v>
      </c>
      <c r="T1847" s="2">
        <v>46106</v>
      </c>
      <c r="U1847" t="str">
        <f t="shared" si="196"/>
        <v>Yes</v>
      </c>
      <c r="W184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44</v>
      </c>
      <c r="X1847" t="str">
        <f t="shared" ca="1" si="197"/>
        <v>Closed</v>
      </c>
      <c r="Y1847" t="str">
        <f t="shared" si="198"/>
        <v>Closed</v>
      </c>
      <c r="Z1847" t="str">
        <f t="shared" si="199"/>
        <v>Feb-2026</v>
      </c>
      <c r="AA1847" t="str">
        <f t="shared" si="200"/>
        <v>Q1 2026</v>
      </c>
      <c r="AB1847" s="4">
        <f t="shared" ca="1" si="201"/>
        <v>137</v>
      </c>
      <c r="AC1847" t="str">
        <f t="shared" si="202"/>
        <v>High</v>
      </c>
    </row>
    <row r="1848" spans="1:29">
      <c r="A1848" t="s">
        <v>6375</v>
      </c>
      <c r="B1848" s="2">
        <v>46091</v>
      </c>
      <c r="C1848" t="s">
        <v>1917</v>
      </c>
      <c r="D1848" t="s">
        <v>1717</v>
      </c>
      <c r="E1848" t="s">
        <v>6376</v>
      </c>
      <c r="F1848" t="s">
        <v>6377</v>
      </c>
      <c r="G1848" t="s">
        <v>69</v>
      </c>
      <c r="H1848" t="s">
        <v>193</v>
      </c>
      <c r="I1848" t="s">
        <v>36</v>
      </c>
      <c r="J1848" t="s">
        <v>124</v>
      </c>
      <c r="K1848" t="s">
        <v>100</v>
      </c>
      <c r="L1848" t="s">
        <v>154</v>
      </c>
      <c r="M1848" t="s">
        <v>166</v>
      </c>
      <c r="N1848" t="s">
        <v>167</v>
      </c>
      <c r="O1848" s="3">
        <v>305000</v>
      </c>
      <c r="P1848" s="4">
        <v>60</v>
      </c>
      <c r="Q1848" s="2">
        <v>46139</v>
      </c>
      <c r="R1848" s="2">
        <v>46224</v>
      </c>
      <c r="S1848" s="2">
        <v>46100</v>
      </c>
      <c r="T1848" s="2"/>
      <c r="U1848" t="str">
        <f t="shared" si="196"/>
        <v>No</v>
      </c>
      <c r="W184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8" t="str">
        <f t="shared" ca="1" si="197"/>
        <v>Due/Open</v>
      </c>
      <c r="Y1848" t="str">
        <f t="shared" si="198"/>
        <v>Open</v>
      </c>
      <c r="Z1848" t="str">
        <f t="shared" si="199"/>
        <v>Mar-2026</v>
      </c>
      <c r="AA1848" t="str">
        <f t="shared" si="200"/>
        <v>Q1 2026</v>
      </c>
      <c r="AB1848" s="4">
        <f t="shared" ca="1" si="201"/>
        <v>108</v>
      </c>
      <c r="AC1848" t="str">
        <f t="shared" si="202"/>
        <v>High</v>
      </c>
    </row>
    <row r="1849" spans="1:29">
      <c r="A1849" t="s">
        <v>6378</v>
      </c>
      <c r="B1849" s="2">
        <v>46027</v>
      </c>
      <c r="C1849" t="s">
        <v>4223</v>
      </c>
      <c r="D1849" t="s">
        <v>327</v>
      </c>
      <c r="E1849" t="s">
        <v>6379</v>
      </c>
      <c r="F1849" t="s">
        <v>6380</v>
      </c>
      <c r="G1849" t="s">
        <v>47</v>
      </c>
      <c r="H1849" t="s">
        <v>48</v>
      </c>
      <c r="I1849" t="s">
        <v>141</v>
      </c>
      <c r="J1849" t="s">
        <v>131</v>
      </c>
      <c r="K1849" t="s">
        <v>51</v>
      </c>
      <c r="L1849" t="s">
        <v>63</v>
      </c>
      <c r="M1849" t="s">
        <v>90</v>
      </c>
      <c r="N1849" t="s">
        <v>91</v>
      </c>
      <c r="O1849" s="3">
        <v>240000</v>
      </c>
      <c r="P1849" s="4">
        <v>55</v>
      </c>
      <c r="Q1849" s="2">
        <v>46055</v>
      </c>
      <c r="R1849" s="2">
        <v>46213</v>
      </c>
      <c r="S1849" s="2">
        <v>46042</v>
      </c>
      <c r="T1849" s="2"/>
      <c r="U1849" t="str">
        <f t="shared" si="196"/>
        <v>No</v>
      </c>
      <c r="W18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49" t="str">
        <f t="shared" ca="1" si="197"/>
        <v>Due/Open</v>
      </c>
      <c r="Y1849" t="str">
        <f t="shared" si="198"/>
        <v>Open</v>
      </c>
      <c r="Z1849" t="str">
        <f t="shared" si="199"/>
        <v>Jan-2026</v>
      </c>
      <c r="AA1849" t="str">
        <f t="shared" si="200"/>
        <v>Q1 2026</v>
      </c>
      <c r="AB1849" s="4">
        <f t="shared" ca="1" si="201"/>
        <v>172</v>
      </c>
      <c r="AC1849" t="str">
        <f t="shared" si="202"/>
        <v>Medium</v>
      </c>
    </row>
    <row r="1850" spans="1:29">
      <c r="A1850" t="s">
        <v>6381</v>
      </c>
      <c r="B1850" s="2">
        <v>46134</v>
      </c>
      <c r="C1850" t="s">
        <v>2789</v>
      </c>
      <c r="D1850" t="s">
        <v>1683</v>
      </c>
      <c r="E1850" t="s">
        <v>6382</v>
      </c>
      <c r="F1850" t="s">
        <v>6383</v>
      </c>
      <c r="G1850" t="s">
        <v>79</v>
      </c>
      <c r="H1850" t="s">
        <v>97</v>
      </c>
      <c r="I1850" t="s">
        <v>61</v>
      </c>
      <c r="J1850" t="s">
        <v>37</v>
      </c>
      <c r="K1850" t="s">
        <v>38</v>
      </c>
      <c r="L1850" t="s">
        <v>39</v>
      </c>
      <c r="M1850" t="s">
        <v>40</v>
      </c>
      <c r="N1850" t="s">
        <v>41</v>
      </c>
      <c r="O1850" s="3">
        <v>100000</v>
      </c>
      <c r="P1850" s="4">
        <v>100</v>
      </c>
      <c r="Q1850" s="2">
        <v>46155</v>
      </c>
      <c r="R1850" s="2"/>
      <c r="S1850" s="2">
        <v>46142</v>
      </c>
      <c r="T1850" s="2">
        <v>46155</v>
      </c>
      <c r="U1850" t="str">
        <f t="shared" si="196"/>
        <v>Yes</v>
      </c>
      <c r="W185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21</v>
      </c>
      <c r="X1850" t="str">
        <f t="shared" ca="1" si="197"/>
        <v>Closed</v>
      </c>
      <c r="Y1850" t="str">
        <f t="shared" si="198"/>
        <v>Closed</v>
      </c>
      <c r="Z1850" t="str">
        <f t="shared" si="199"/>
        <v>Apr-2026</v>
      </c>
      <c r="AA1850" t="str">
        <f t="shared" si="200"/>
        <v>Q2 2026</v>
      </c>
      <c r="AB1850" s="4">
        <f t="shared" ca="1" si="201"/>
        <v>65</v>
      </c>
      <c r="AC1850" t="str">
        <f t="shared" si="202"/>
        <v>Low</v>
      </c>
    </row>
    <row r="1851" spans="1:29">
      <c r="A1851" t="s">
        <v>6384</v>
      </c>
      <c r="B1851" s="2">
        <v>45783</v>
      </c>
      <c r="C1851" t="s">
        <v>1490</v>
      </c>
      <c r="D1851" t="s">
        <v>1081</v>
      </c>
      <c r="E1851" t="s">
        <v>6385</v>
      </c>
      <c r="F1851" t="s">
        <v>6386</v>
      </c>
      <c r="G1851" t="s">
        <v>79</v>
      </c>
      <c r="H1851" t="s">
        <v>80</v>
      </c>
      <c r="I1851" t="s">
        <v>141</v>
      </c>
      <c r="J1851" t="s">
        <v>99</v>
      </c>
      <c r="K1851" t="s">
        <v>114</v>
      </c>
      <c r="L1851" t="s">
        <v>107</v>
      </c>
      <c r="M1851" t="s">
        <v>53</v>
      </c>
      <c r="N1851" t="s">
        <v>54</v>
      </c>
      <c r="O1851" s="3">
        <v>285000</v>
      </c>
      <c r="P1851" s="4">
        <v>30</v>
      </c>
      <c r="Q1851" s="2">
        <v>45803</v>
      </c>
      <c r="R1851" s="2">
        <v>46212</v>
      </c>
      <c r="S1851" s="2">
        <v>45812</v>
      </c>
      <c r="T1851" s="2"/>
      <c r="U1851" t="str">
        <f t="shared" si="196"/>
        <v>No</v>
      </c>
      <c r="W18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1" t="str">
        <f t="shared" ca="1" si="197"/>
        <v>Due/Open</v>
      </c>
      <c r="Y1851" t="str">
        <f t="shared" si="198"/>
        <v>Open</v>
      </c>
      <c r="Z1851" t="str">
        <f t="shared" si="199"/>
        <v>May-2025</v>
      </c>
      <c r="AA1851" t="str">
        <f t="shared" si="200"/>
        <v>Q2 2025</v>
      </c>
      <c r="AB1851" s="4">
        <f t="shared" ca="1" si="201"/>
        <v>416</v>
      </c>
      <c r="AC1851" t="str">
        <f t="shared" si="202"/>
        <v>Medium</v>
      </c>
    </row>
    <row r="1852" spans="1:29">
      <c r="A1852" t="s">
        <v>6387</v>
      </c>
      <c r="B1852" s="2">
        <v>45955</v>
      </c>
      <c r="C1852" t="s">
        <v>475</v>
      </c>
      <c r="D1852" t="s">
        <v>590</v>
      </c>
      <c r="E1852" t="s">
        <v>6388</v>
      </c>
      <c r="F1852" t="s">
        <v>6389</v>
      </c>
      <c r="G1852" t="s">
        <v>47</v>
      </c>
      <c r="H1852" t="s">
        <v>48</v>
      </c>
      <c r="I1852" t="s">
        <v>141</v>
      </c>
      <c r="J1852" t="s">
        <v>37</v>
      </c>
      <c r="K1852" t="s">
        <v>71</v>
      </c>
      <c r="L1852" t="s">
        <v>132</v>
      </c>
      <c r="M1852" t="s">
        <v>82</v>
      </c>
      <c r="N1852" t="s">
        <v>83</v>
      </c>
      <c r="O1852" s="3">
        <v>70000</v>
      </c>
      <c r="P1852" s="4">
        <v>10</v>
      </c>
      <c r="Q1852" s="2">
        <v>45992</v>
      </c>
      <c r="R1852" s="2">
        <v>46217</v>
      </c>
      <c r="S1852" s="2">
        <v>45963</v>
      </c>
      <c r="T1852" s="2"/>
      <c r="U1852" t="str">
        <f t="shared" si="196"/>
        <v>No</v>
      </c>
      <c r="W185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2" t="str">
        <f t="shared" ca="1" si="197"/>
        <v>Due/Open</v>
      </c>
      <c r="Y1852" t="str">
        <f t="shared" si="198"/>
        <v>Open</v>
      </c>
      <c r="Z1852" t="str">
        <f t="shared" si="199"/>
        <v>Oct-2025</v>
      </c>
      <c r="AA1852" t="str">
        <f t="shared" si="200"/>
        <v>Q4 2025</v>
      </c>
      <c r="AB1852" s="4">
        <f t="shared" ca="1" si="201"/>
        <v>244</v>
      </c>
      <c r="AC1852" t="str">
        <f t="shared" si="202"/>
        <v>Low</v>
      </c>
    </row>
    <row r="1853" spans="1:29">
      <c r="A1853" t="s">
        <v>6390</v>
      </c>
      <c r="B1853" s="2">
        <v>46133</v>
      </c>
      <c r="C1853" t="s">
        <v>3678</v>
      </c>
      <c r="D1853" t="s">
        <v>1315</v>
      </c>
      <c r="E1853" t="s">
        <v>6391</v>
      </c>
      <c r="F1853" t="s">
        <v>6392</v>
      </c>
      <c r="G1853" t="s">
        <v>69</v>
      </c>
      <c r="H1853" t="s">
        <v>312</v>
      </c>
      <c r="I1853" t="s">
        <v>98</v>
      </c>
      <c r="J1853" t="s">
        <v>124</v>
      </c>
      <c r="K1853" t="s">
        <v>114</v>
      </c>
      <c r="L1853" t="s">
        <v>142</v>
      </c>
      <c r="M1853" t="s">
        <v>73</v>
      </c>
      <c r="N1853" t="s">
        <v>73</v>
      </c>
      <c r="O1853" s="3">
        <v>200000</v>
      </c>
      <c r="P1853" s="4">
        <v>80</v>
      </c>
      <c r="Q1853" s="2">
        <v>46217</v>
      </c>
      <c r="R1853" s="2">
        <v>46204</v>
      </c>
      <c r="S1853" s="2">
        <v>46136</v>
      </c>
      <c r="T1853" s="2"/>
      <c r="U1853" t="str">
        <f t="shared" si="196"/>
        <v>No</v>
      </c>
      <c r="W18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3" t="str">
        <f t="shared" ca="1" si="197"/>
        <v>Due/Open</v>
      </c>
      <c r="Y1853" t="str">
        <f t="shared" si="198"/>
        <v>Open</v>
      </c>
      <c r="Z1853" t="str">
        <f t="shared" si="199"/>
        <v>Apr-2026</v>
      </c>
      <c r="AA1853" t="str">
        <f t="shared" si="200"/>
        <v>Q2 2026</v>
      </c>
      <c r="AB1853" s="4">
        <f t="shared" ca="1" si="201"/>
        <v>66</v>
      </c>
      <c r="AC1853" t="str">
        <f t="shared" si="202"/>
        <v>Medium</v>
      </c>
    </row>
    <row r="1854" spans="1:29">
      <c r="A1854" t="s">
        <v>6393</v>
      </c>
      <c r="B1854" s="2">
        <v>45662</v>
      </c>
      <c r="C1854" t="s">
        <v>432</v>
      </c>
      <c r="D1854" t="s">
        <v>552</v>
      </c>
      <c r="E1854" t="s">
        <v>6394</v>
      </c>
      <c r="F1854" t="s">
        <v>6395</v>
      </c>
      <c r="G1854" t="s">
        <v>79</v>
      </c>
      <c r="H1854" t="s">
        <v>260</v>
      </c>
      <c r="I1854" t="s">
        <v>123</v>
      </c>
      <c r="J1854" t="s">
        <v>131</v>
      </c>
      <c r="K1854" t="s">
        <v>38</v>
      </c>
      <c r="L1854" t="s">
        <v>142</v>
      </c>
      <c r="M1854" t="s">
        <v>40</v>
      </c>
      <c r="N1854" t="s">
        <v>41</v>
      </c>
      <c r="O1854" s="3">
        <v>380000</v>
      </c>
      <c r="P1854" s="4">
        <v>100</v>
      </c>
      <c r="Q1854" s="2">
        <v>45716</v>
      </c>
      <c r="R1854" s="2"/>
      <c r="S1854" s="2">
        <v>45688</v>
      </c>
      <c r="T1854" s="2">
        <v>45716</v>
      </c>
      <c r="U1854" t="str">
        <f t="shared" si="196"/>
        <v>Yes</v>
      </c>
      <c r="W185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54</v>
      </c>
      <c r="X1854" t="str">
        <f t="shared" ca="1" si="197"/>
        <v>Closed</v>
      </c>
      <c r="Y1854" t="str">
        <f t="shared" si="198"/>
        <v>Closed</v>
      </c>
      <c r="Z1854" t="str">
        <f t="shared" si="199"/>
        <v>Jan-2025</v>
      </c>
      <c r="AA1854" t="str">
        <f t="shared" si="200"/>
        <v>Q1 2025</v>
      </c>
      <c r="AB1854" s="4">
        <f t="shared" ca="1" si="201"/>
        <v>537</v>
      </c>
      <c r="AC1854" t="str">
        <f t="shared" si="202"/>
        <v>High</v>
      </c>
    </row>
    <row r="1855" spans="1:29">
      <c r="A1855" t="s">
        <v>6396</v>
      </c>
      <c r="B1855" s="2">
        <v>46097</v>
      </c>
      <c r="C1855" t="s">
        <v>1226</v>
      </c>
      <c r="D1855" t="s">
        <v>526</v>
      </c>
      <c r="E1855" t="s">
        <v>3308</v>
      </c>
      <c r="F1855" t="s">
        <v>6397</v>
      </c>
      <c r="G1855" t="s">
        <v>34</v>
      </c>
      <c r="H1855" t="s">
        <v>35</v>
      </c>
      <c r="I1855" t="s">
        <v>98</v>
      </c>
      <c r="J1855" t="s">
        <v>99</v>
      </c>
      <c r="K1855" t="s">
        <v>194</v>
      </c>
      <c r="L1855" t="s">
        <v>142</v>
      </c>
      <c r="M1855" t="s">
        <v>210</v>
      </c>
      <c r="N1855" t="s">
        <v>134</v>
      </c>
      <c r="O1855" s="3">
        <v>390000</v>
      </c>
      <c r="P1855" s="4">
        <v>0</v>
      </c>
      <c r="Q1855" s="2">
        <v>46162</v>
      </c>
      <c r="R1855" s="2"/>
      <c r="S1855" s="2">
        <v>46106</v>
      </c>
      <c r="T1855" s="2">
        <v>46162</v>
      </c>
      <c r="U1855" t="str">
        <f t="shared" si="196"/>
        <v>No</v>
      </c>
      <c r="V1855" t="s">
        <v>319</v>
      </c>
      <c r="W185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65</v>
      </c>
      <c r="X1855" t="str">
        <f t="shared" ca="1" si="197"/>
        <v>Closed</v>
      </c>
      <c r="Y1855" t="str">
        <f t="shared" si="198"/>
        <v>Closed</v>
      </c>
      <c r="Z1855" t="str">
        <f t="shared" si="199"/>
        <v>Mar-2026</v>
      </c>
      <c r="AA1855" t="str">
        <f t="shared" si="200"/>
        <v>Q1 2026</v>
      </c>
      <c r="AB1855" s="4">
        <f t="shared" ca="1" si="201"/>
        <v>102</v>
      </c>
      <c r="AC1855" t="str">
        <f t="shared" si="202"/>
        <v>High</v>
      </c>
    </row>
    <row r="1856" spans="1:29">
      <c r="A1856" t="s">
        <v>6398</v>
      </c>
      <c r="B1856" s="2">
        <v>45906</v>
      </c>
      <c r="C1856" t="s">
        <v>903</v>
      </c>
      <c r="D1856" t="s">
        <v>31</v>
      </c>
      <c r="E1856" t="s">
        <v>6399</v>
      </c>
      <c r="F1856" t="s">
        <v>6400</v>
      </c>
      <c r="G1856" t="s">
        <v>34</v>
      </c>
      <c r="H1856" t="s">
        <v>160</v>
      </c>
      <c r="I1856" t="s">
        <v>98</v>
      </c>
      <c r="J1856" t="s">
        <v>131</v>
      </c>
      <c r="K1856" t="s">
        <v>194</v>
      </c>
      <c r="L1856" t="s">
        <v>154</v>
      </c>
      <c r="M1856" t="s">
        <v>53</v>
      </c>
      <c r="N1856" t="s">
        <v>54</v>
      </c>
      <c r="O1856" s="3">
        <v>110000</v>
      </c>
      <c r="P1856" s="4">
        <v>25</v>
      </c>
      <c r="Q1856" s="2">
        <v>45947</v>
      </c>
      <c r="R1856" s="2">
        <v>46157</v>
      </c>
      <c r="S1856" s="2">
        <v>45912</v>
      </c>
      <c r="T1856" s="2"/>
      <c r="U1856" t="str">
        <f t="shared" si="196"/>
        <v>No</v>
      </c>
      <c r="W18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6" t="str">
        <f t="shared" ca="1" si="197"/>
        <v>Overdue</v>
      </c>
      <c r="Y1856" t="str">
        <f t="shared" si="198"/>
        <v>Open</v>
      </c>
      <c r="Z1856" t="str">
        <f t="shared" si="199"/>
        <v>Sep-2025</v>
      </c>
      <c r="AA1856" t="str">
        <f t="shared" si="200"/>
        <v>Q3 2025</v>
      </c>
      <c r="AB1856" s="4">
        <f t="shared" ca="1" si="201"/>
        <v>293</v>
      </c>
      <c r="AC1856" t="str">
        <f t="shared" si="202"/>
        <v>Low</v>
      </c>
    </row>
    <row r="1857" spans="1:29">
      <c r="A1857" t="s">
        <v>6401</v>
      </c>
      <c r="B1857" s="2">
        <v>45844</v>
      </c>
      <c r="C1857" t="s">
        <v>856</v>
      </c>
      <c r="D1857" t="s">
        <v>443</v>
      </c>
      <c r="E1857" t="s">
        <v>6402</v>
      </c>
      <c r="F1857" t="s">
        <v>6403</v>
      </c>
      <c r="G1857" t="s">
        <v>47</v>
      </c>
      <c r="H1857" t="s">
        <v>48</v>
      </c>
      <c r="I1857" t="s">
        <v>61</v>
      </c>
      <c r="J1857" t="s">
        <v>99</v>
      </c>
      <c r="K1857" t="s">
        <v>38</v>
      </c>
      <c r="L1857" t="s">
        <v>115</v>
      </c>
      <c r="M1857" t="s">
        <v>116</v>
      </c>
      <c r="N1857" t="s">
        <v>54</v>
      </c>
      <c r="O1857" s="3">
        <v>325000</v>
      </c>
      <c r="P1857" s="4">
        <v>15</v>
      </c>
      <c r="Q1857" s="2">
        <v>45865</v>
      </c>
      <c r="R1857" s="2">
        <v>46229</v>
      </c>
      <c r="S1857" s="2">
        <v>45867</v>
      </c>
      <c r="T1857" s="2"/>
      <c r="U1857" t="str">
        <f t="shared" si="196"/>
        <v>No</v>
      </c>
      <c r="W185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7" t="str">
        <f t="shared" ca="1" si="197"/>
        <v>Due/Open</v>
      </c>
      <c r="Y1857" t="str">
        <f t="shared" si="198"/>
        <v>Open</v>
      </c>
      <c r="Z1857" t="str">
        <f t="shared" si="199"/>
        <v>Jul-2025</v>
      </c>
      <c r="AA1857" t="str">
        <f t="shared" si="200"/>
        <v>Q3 2025</v>
      </c>
      <c r="AB1857" s="4">
        <f t="shared" ca="1" si="201"/>
        <v>355</v>
      </c>
      <c r="AC1857" t="str">
        <f t="shared" si="202"/>
        <v>High</v>
      </c>
    </row>
    <row r="1858" spans="1:29">
      <c r="A1858" t="s">
        <v>6404</v>
      </c>
      <c r="B1858" s="2">
        <v>46177</v>
      </c>
      <c r="C1858" t="s">
        <v>2963</v>
      </c>
      <c r="D1858" t="s">
        <v>715</v>
      </c>
      <c r="E1858" t="s">
        <v>6405</v>
      </c>
      <c r="F1858" t="s">
        <v>6406</v>
      </c>
      <c r="G1858" t="s">
        <v>34</v>
      </c>
      <c r="H1858" t="s">
        <v>160</v>
      </c>
      <c r="I1858" t="s">
        <v>123</v>
      </c>
      <c r="J1858" t="s">
        <v>62</v>
      </c>
      <c r="K1858" t="s">
        <v>100</v>
      </c>
      <c r="L1858" t="s">
        <v>154</v>
      </c>
      <c r="M1858" t="s">
        <v>82</v>
      </c>
      <c r="N1858" t="s">
        <v>83</v>
      </c>
      <c r="O1858" s="3">
        <v>230000</v>
      </c>
      <c r="P1858" s="4">
        <v>10</v>
      </c>
      <c r="Q1858" s="2">
        <v>46244</v>
      </c>
      <c r="R1858" s="2">
        <v>46156</v>
      </c>
      <c r="S1858" s="2">
        <v>46196</v>
      </c>
      <c r="T1858" s="2"/>
      <c r="U1858" t="str">
        <f t="shared" ref="U1858:U1921" si="203">IF(M1858="Converted","Yes","No")</f>
        <v>No</v>
      </c>
      <c r="W18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8" t="str">
        <f t="shared" ref="X1858:X1921" ca="1" si="204">IF(OR(M1858="Converted",M1858="Lost",M1858="Not Interested"),"Closed",IF(R1858&lt;TODAY(),"Overdue","Due/Open"))</f>
        <v>Overdue</v>
      </c>
      <c r="Y1858" t="str">
        <f t="shared" ref="Y1858:Y1921" si="205">IF(OR(M1858="Converted",M1858="Lost",M1858="Not Interested"),"Closed","Open")</f>
        <v>Open</v>
      </c>
      <c r="Z1858" t="str">
        <f t="shared" ref="Z1858:Z1921" si="206">TEXT(B1858,"mmm-yyyy")</f>
        <v>Jun-2026</v>
      </c>
      <c r="AA1858" t="str">
        <f t="shared" ref="AA1858:AA1921" si="207">"Q"&amp;ROUNDUP(MONTH(B1858)/3,0)&amp;" "&amp;YEAR(B1858)</f>
        <v>Q2 2026</v>
      </c>
      <c r="AB1858" s="4">
        <f t="shared" ref="AB1858:AB1921" ca="1" si="208">TODAY()-B1858</f>
        <v>22</v>
      </c>
      <c r="AC1858" t="str">
        <f t="shared" ref="AC1858:AC1921" si="209">IF(O1858&gt;=300000,"High",IF(O1858&gt;=120000,"Medium","Low"))</f>
        <v>Medium</v>
      </c>
    </row>
    <row r="1859" spans="1:29">
      <c r="A1859" t="s">
        <v>6407</v>
      </c>
      <c r="B1859" s="2">
        <v>45795</v>
      </c>
      <c r="C1859" t="s">
        <v>1215</v>
      </c>
      <c r="D1859" t="s">
        <v>231</v>
      </c>
      <c r="E1859" t="s">
        <v>6408</v>
      </c>
      <c r="F1859" t="s">
        <v>6409</v>
      </c>
      <c r="G1859" t="s">
        <v>79</v>
      </c>
      <c r="H1859" t="s">
        <v>260</v>
      </c>
      <c r="I1859" t="s">
        <v>123</v>
      </c>
      <c r="J1859" t="s">
        <v>99</v>
      </c>
      <c r="K1859" t="s">
        <v>51</v>
      </c>
      <c r="L1859" t="s">
        <v>81</v>
      </c>
      <c r="M1859" t="s">
        <v>73</v>
      </c>
      <c r="N1859" t="s">
        <v>73</v>
      </c>
      <c r="O1859" s="3">
        <v>530000</v>
      </c>
      <c r="P1859" s="4">
        <v>75</v>
      </c>
      <c r="Q1859" s="2">
        <v>45821</v>
      </c>
      <c r="R1859" s="2">
        <v>46166</v>
      </c>
      <c r="S1859" s="2">
        <v>45810</v>
      </c>
      <c r="T1859" s="2"/>
      <c r="U1859" t="str">
        <f t="shared" si="203"/>
        <v>No</v>
      </c>
      <c r="W18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59" t="str">
        <f t="shared" ca="1" si="204"/>
        <v>Overdue</v>
      </c>
      <c r="Y1859" t="str">
        <f t="shared" si="205"/>
        <v>Open</v>
      </c>
      <c r="Z1859" t="str">
        <f t="shared" si="206"/>
        <v>May-2025</v>
      </c>
      <c r="AA1859" t="str">
        <f t="shared" si="207"/>
        <v>Q2 2025</v>
      </c>
      <c r="AB1859" s="4">
        <f t="shared" ca="1" si="208"/>
        <v>404</v>
      </c>
      <c r="AC1859" t="str">
        <f t="shared" si="209"/>
        <v>High</v>
      </c>
    </row>
    <row r="1860" spans="1:29">
      <c r="A1860" t="s">
        <v>6410</v>
      </c>
      <c r="B1860" s="2">
        <v>45853</v>
      </c>
      <c r="C1860" t="s">
        <v>1330</v>
      </c>
      <c r="D1860" t="s">
        <v>471</v>
      </c>
      <c r="E1860" t="s">
        <v>6411</v>
      </c>
      <c r="F1860" t="s">
        <v>6412</v>
      </c>
      <c r="G1860" t="s">
        <v>34</v>
      </c>
      <c r="H1860" t="s">
        <v>35</v>
      </c>
      <c r="I1860" t="s">
        <v>187</v>
      </c>
      <c r="J1860" t="s">
        <v>124</v>
      </c>
      <c r="K1860" t="s">
        <v>71</v>
      </c>
      <c r="L1860" t="s">
        <v>107</v>
      </c>
      <c r="M1860" t="s">
        <v>82</v>
      </c>
      <c r="N1860" t="s">
        <v>83</v>
      </c>
      <c r="O1860" s="3">
        <v>260000</v>
      </c>
      <c r="P1860" s="4">
        <v>5</v>
      </c>
      <c r="Q1860" s="2">
        <v>45911</v>
      </c>
      <c r="R1860" s="2">
        <v>46214</v>
      </c>
      <c r="S1860" s="2">
        <v>45863</v>
      </c>
      <c r="T1860" s="2"/>
      <c r="U1860" t="str">
        <f t="shared" si="203"/>
        <v>No</v>
      </c>
      <c r="W18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0" t="str">
        <f t="shared" ca="1" si="204"/>
        <v>Due/Open</v>
      </c>
      <c r="Y1860" t="str">
        <f t="shared" si="205"/>
        <v>Open</v>
      </c>
      <c r="Z1860" t="str">
        <f t="shared" si="206"/>
        <v>Jul-2025</v>
      </c>
      <c r="AA1860" t="str">
        <f t="shared" si="207"/>
        <v>Q3 2025</v>
      </c>
      <c r="AB1860" s="4">
        <f t="shared" ca="1" si="208"/>
        <v>346</v>
      </c>
      <c r="AC1860" t="str">
        <f t="shared" si="209"/>
        <v>Medium</v>
      </c>
    </row>
    <row r="1861" spans="1:29">
      <c r="A1861" t="s">
        <v>6413</v>
      </c>
      <c r="B1861" s="2">
        <v>45740</v>
      </c>
      <c r="C1861" t="s">
        <v>1370</v>
      </c>
      <c r="D1861" t="s">
        <v>1086</v>
      </c>
      <c r="E1861" t="s">
        <v>6414</v>
      </c>
      <c r="F1861" t="s">
        <v>6415</v>
      </c>
      <c r="G1861" t="s">
        <v>34</v>
      </c>
      <c r="H1861" t="s">
        <v>238</v>
      </c>
      <c r="I1861" t="s">
        <v>98</v>
      </c>
      <c r="J1861" t="s">
        <v>131</v>
      </c>
      <c r="K1861" t="s">
        <v>194</v>
      </c>
      <c r="L1861" t="s">
        <v>239</v>
      </c>
      <c r="M1861" t="s">
        <v>82</v>
      </c>
      <c r="N1861" t="s">
        <v>83</v>
      </c>
      <c r="O1861" s="3">
        <v>215000</v>
      </c>
      <c r="P1861" s="4">
        <v>5</v>
      </c>
      <c r="Q1861" s="2">
        <v>45775</v>
      </c>
      <c r="R1861" s="2">
        <v>46187</v>
      </c>
      <c r="S1861" s="2">
        <v>45743</v>
      </c>
      <c r="T1861" s="2"/>
      <c r="U1861" t="str">
        <f t="shared" si="203"/>
        <v>No</v>
      </c>
      <c r="W186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1" t="str">
        <f t="shared" ca="1" si="204"/>
        <v>Overdue</v>
      </c>
      <c r="Y1861" t="str">
        <f t="shared" si="205"/>
        <v>Open</v>
      </c>
      <c r="Z1861" t="str">
        <f t="shared" si="206"/>
        <v>Mar-2025</v>
      </c>
      <c r="AA1861" t="str">
        <f t="shared" si="207"/>
        <v>Q1 2025</v>
      </c>
      <c r="AB1861" s="4">
        <f t="shared" ca="1" si="208"/>
        <v>459</v>
      </c>
      <c r="AC1861" t="str">
        <f t="shared" si="209"/>
        <v>Medium</v>
      </c>
    </row>
    <row r="1862" spans="1:29">
      <c r="A1862" t="s">
        <v>6416</v>
      </c>
      <c r="B1862" s="2">
        <v>45929</v>
      </c>
      <c r="C1862" t="s">
        <v>1107</v>
      </c>
      <c r="D1862" t="s">
        <v>1183</v>
      </c>
      <c r="E1862" t="s">
        <v>6417</v>
      </c>
      <c r="F1862" t="s">
        <v>6418</v>
      </c>
      <c r="G1862" t="s">
        <v>69</v>
      </c>
      <c r="H1862" t="s">
        <v>70</v>
      </c>
      <c r="I1862" t="s">
        <v>141</v>
      </c>
      <c r="J1862" t="s">
        <v>99</v>
      </c>
      <c r="K1862" t="s">
        <v>51</v>
      </c>
      <c r="L1862" t="s">
        <v>125</v>
      </c>
      <c r="M1862" t="s">
        <v>40</v>
      </c>
      <c r="N1862" t="s">
        <v>41</v>
      </c>
      <c r="O1862" s="3">
        <v>180000</v>
      </c>
      <c r="P1862" s="4">
        <v>100</v>
      </c>
      <c r="Q1862" s="2">
        <v>45971</v>
      </c>
      <c r="R1862" s="2"/>
      <c r="S1862" s="2">
        <v>45948</v>
      </c>
      <c r="T1862" s="2">
        <v>45971</v>
      </c>
      <c r="U1862" t="str">
        <f t="shared" si="203"/>
        <v>Yes</v>
      </c>
      <c r="W18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42</v>
      </c>
      <c r="X1862" t="str">
        <f t="shared" ca="1" si="204"/>
        <v>Closed</v>
      </c>
      <c r="Y1862" t="str">
        <f t="shared" si="205"/>
        <v>Closed</v>
      </c>
      <c r="Z1862" t="str">
        <f t="shared" si="206"/>
        <v>Sep-2025</v>
      </c>
      <c r="AA1862" t="str">
        <f t="shared" si="207"/>
        <v>Q3 2025</v>
      </c>
      <c r="AB1862" s="4">
        <f t="shared" ca="1" si="208"/>
        <v>270</v>
      </c>
      <c r="AC1862" t="str">
        <f t="shared" si="209"/>
        <v>Medium</v>
      </c>
    </row>
    <row r="1863" spans="1:29">
      <c r="A1863" t="s">
        <v>6419</v>
      </c>
      <c r="B1863" s="2">
        <v>46117</v>
      </c>
      <c r="C1863" t="s">
        <v>402</v>
      </c>
      <c r="D1863" t="s">
        <v>1662</v>
      </c>
      <c r="E1863" t="s">
        <v>6420</v>
      </c>
      <c r="F1863" t="s">
        <v>6421</v>
      </c>
      <c r="G1863" t="s">
        <v>179</v>
      </c>
      <c r="H1863" t="s">
        <v>318</v>
      </c>
      <c r="I1863" t="s">
        <v>141</v>
      </c>
      <c r="J1863" t="s">
        <v>99</v>
      </c>
      <c r="K1863" t="s">
        <v>71</v>
      </c>
      <c r="L1863" t="s">
        <v>72</v>
      </c>
      <c r="M1863" t="s">
        <v>40</v>
      </c>
      <c r="N1863" t="s">
        <v>41</v>
      </c>
      <c r="O1863" s="3">
        <v>350000</v>
      </c>
      <c r="P1863" s="4">
        <v>100</v>
      </c>
      <c r="Q1863" s="2">
        <v>46152</v>
      </c>
      <c r="R1863" s="2"/>
      <c r="S1863" s="2">
        <v>46141</v>
      </c>
      <c r="T1863" s="2">
        <v>46152</v>
      </c>
      <c r="U1863" t="str">
        <f t="shared" si="203"/>
        <v>Yes</v>
      </c>
      <c r="W186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1863" t="str">
        <f t="shared" ca="1" si="204"/>
        <v>Closed</v>
      </c>
      <c r="Y1863" t="str">
        <f t="shared" si="205"/>
        <v>Closed</v>
      </c>
      <c r="Z1863" t="str">
        <f t="shared" si="206"/>
        <v>Apr-2026</v>
      </c>
      <c r="AA1863" t="str">
        <f t="shared" si="207"/>
        <v>Q2 2026</v>
      </c>
      <c r="AB1863" s="4">
        <f t="shared" ca="1" si="208"/>
        <v>82</v>
      </c>
      <c r="AC1863" t="str">
        <f t="shared" si="209"/>
        <v>High</v>
      </c>
    </row>
    <row r="1864" spans="1:29">
      <c r="A1864" t="s">
        <v>6422</v>
      </c>
      <c r="B1864" s="2">
        <v>46019</v>
      </c>
      <c r="C1864" t="s">
        <v>3410</v>
      </c>
      <c r="D1864" t="s">
        <v>2704</v>
      </c>
      <c r="E1864" t="s">
        <v>6423</v>
      </c>
      <c r="F1864" t="s">
        <v>6424</v>
      </c>
      <c r="G1864" t="s">
        <v>34</v>
      </c>
      <c r="H1864" t="s">
        <v>60</v>
      </c>
      <c r="I1864" t="s">
        <v>98</v>
      </c>
      <c r="J1864" t="s">
        <v>124</v>
      </c>
      <c r="K1864" t="s">
        <v>194</v>
      </c>
      <c r="L1864" t="s">
        <v>154</v>
      </c>
      <c r="M1864" t="s">
        <v>116</v>
      </c>
      <c r="N1864" t="s">
        <v>54</v>
      </c>
      <c r="O1864" s="3">
        <v>330000</v>
      </c>
      <c r="P1864" s="4">
        <v>15</v>
      </c>
      <c r="Q1864" s="2">
        <v>46074</v>
      </c>
      <c r="R1864" s="2">
        <v>46160</v>
      </c>
      <c r="S1864" s="2">
        <v>46020</v>
      </c>
      <c r="T1864" s="2"/>
      <c r="U1864" t="str">
        <f t="shared" si="203"/>
        <v>No</v>
      </c>
      <c r="W18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4" t="str">
        <f t="shared" ca="1" si="204"/>
        <v>Overdue</v>
      </c>
      <c r="Y1864" t="str">
        <f t="shared" si="205"/>
        <v>Open</v>
      </c>
      <c r="Z1864" t="str">
        <f t="shared" si="206"/>
        <v>Dec-2025</v>
      </c>
      <c r="AA1864" t="str">
        <f t="shared" si="207"/>
        <v>Q4 2025</v>
      </c>
      <c r="AB1864" s="4">
        <f t="shared" ca="1" si="208"/>
        <v>180</v>
      </c>
      <c r="AC1864" t="str">
        <f t="shared" si="209"/>
        <v>High</v>
      </c>
    </row>
    <row r="1865" spans="1:29">
      <c r="A1865" t="s">
        <v>6425</v>
      </c>
      <c r="B1865" s="2">
        <v>45880</v>
      </c>
      <c r="C1865" t="s">
        <v>1555</v>
      </c>
      <c r="D1865" t="s">
        <v>676</v>
      </c>
      <c r="E1865" t="s">
        <v>6426</v>
      </c>
      <c r="F1865" t="s">
        <v>6427</v>
      </c>
      <c r="G1865" t="s">
        <v>47</v>
      </c>
      <c r="H1865" t="s">
        <v>89</v>
      </c>
      <c r="I1865" t="s">
        <v>123</v>
      </c>
      <c r="J1865" t="s">
        <v>131</v>
      </c>
      <c r="K1865" t="s">
        <v>100</v>
      </c>
      <c r="L1865" t="s">
        <v>132</v>
      </c>
      <c r="M1865" t="s">
        <v>133</v>
      </c>
      <c r="N1865" t="s">
        <v>134</v>
      </c>
      <c r="O1865" s="3">
        <v>375000</v>
      </c>
      <c r="P1865" s="4">
        <v>0</v>
      </c>
      <c r="Q1865" s="2">
        <v>45938</v>
      </c>
      <c r="R1865" s="2"/>
      <c r="S1865" s="2">
        <v>45893</v>
      </c>
      <c r="T1865" s="2">
        <v>45938</v>
      </c>
      <c r="U1865" t="str">
        <f t="shared" si="203"/>
        <v>No</v>
      </c>
      <c r="V1865" t="s">
        <v>1105</v>
      </c>
      <c r="W186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865" t="str">
        <f t="shared" ca="1" si="204"/>
        <v>Closed</v>
      </c>
      <c r="Y1865" t="str">
        <f t="shared" si="205"/>
        <v>Closed</v>
      </c>
      <c r="Z1865" t="str">
        <f t="shared" si="206"/>
        <v>Aug-2025</v>
      </c>
      <c r="AA1865" t="str">
        <f t="shared" si="207"/>
        <v>Q3 2025</v>
      </c>
      <c r="AB1865" s="4">
        <f t="shared" ca="1" si="208"/>
        <v>319</v>
      </c>
      <c r="AC1865" t="str">
        <f t="shared" si="209"/>
        <v>High</v>
      </c>
    </row>
    <row r="1866" spans="1:29">
      <c r="A1866" t="s">
        <v>6428</v>
      </c>
      <c r="B1866" s="2">
        <v>46006</v>
      </c>
      <c r="C1866" t="s">
        <v>671</v>
      </c>
      <c r="D1866" t="s">
        <v>332</v>
      </c>
      <c r="E1866" t="s">
        <v>6429</v>
      </c>
      <c r="F1866" t="s">
        <v>6430</v>
      </c>
      <c r="G1866" t="s">
        <v>34</v>
      </c>
      <c r="H1866" t="s">
        <v>160</v>
      </c>
      <c r="I1866" t="s">
        <v>98</v>
      </c>
      <c r="J1866" t="s">
        <v>50</v>
      </c>
      <c r="K1866" t="s">
        <v>71</v>
      </c>
      <c r="L1866" t="s">
        <v>142</v>
      </c>
      <c r="M1866" t="s">
        <v>90</v>
      </c>
      <c r="N1866" t="s">
        <v>91</v>
      </c>
      <c r="O1866" s="3">
        <v>540000</v>
      </c>
      <c r="P1866" s="4">
        <v>50</v>
      </c>
      <c r="Q1866" s="2">
        <v>46028</v>
      </c>
      <c r="R1866" s="2">
        <v>46191</v>
      </c>
      <c r="S1866" s="2">
        <v>46035</v>
      </c>
      <c r="T1866" s="2"/>
      <c r="U1866" t="str">
        <f t="shared" si="203"/>
        <v>No</v>
      </c>
      <c r="W18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6" t="str">
        <f t="shared" ca="1" si="204"/>
        <v>Overdue</v>
      </c>
      <c r="Y1866" t="str">
        <f t="shared" si="205"/>
        <v>Open</v>
      </c>
      <c r="Z1866" t="str">
        <f t="shared" si="206"/>
        <v>Dec-2025</v>
      </c>
      <c r="AA1866" t="str">
        <f t="shared" si="207"/>
        <v>Q4 2025</v>
      </c>
      <c r="AB1866" s="4">
        <f t="shared" ca="1" si="208"/>
        <v>193</v>
      </c>
      <c r="AC1866" t="str">
        <f t="shared" si="209"/>
        <v>High</v>
      </c>
    </row>
    <row r="1867" spans="1:29">
      <c r="A1867" t="s">
        <v>6431</v>
      </c>
      <c r="B1867" s="2">
        <v>45864</v>
      </c>
      <c r="C1867" t="s">
        <v>336</v>
      </c>
      <c r="D1867" t="s">
        <v>471</v>
      </c>
      <c r="E1867" t="s">
        <v>6432</v>
      </c>
      <c r="F1867" t="s">
        <v>6433</v>
      </c>
      <c r="G1867" t="s">
        <v>47</v>
      </c>
      <c r="H1867" t="s">
        <v>418</v>
      </c>
      <c r="I1867" t="s">
        <v>98</v>
      </c>
      <c r="J1867" t="s">
        <v>62</v>
      </c>
      <c r="K1867" t="s">
        <v>38</v>
      </c>
      <c r="L1867" t="s">
        <v>239</v>
      </c>
      <c r="M1867" t="s">
        <v>73</v>
      </c>
      <c r="N1867" t="s">
        <v>73</v>
      </c>
      <c r="O1867" s="3">
        <v>105000</v>
      </c>
      <c r="P1867" s="4">
        <v>75</v>
      </c>
      <c r="Q1867" s="2">
        <v>45911</v>
      </c>
      <c r="R1867" s="2">
        <v>46165</v>
      </c>
      <c r="S1867" s="2">
        <v>45878</v>
      </c>
      <c r="T1867" s="2"/>
      <c r="U1867" t="str">
        <f t="shared" si="203"/>
        <v>No</v>
      </c>
      <c r="W18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7" t="str">
        <f t="shared" ca="1" si="204"/>
        <v>Overdue</v>
      </c>
      <c r="Y1867" t="str">
        <f t="shared" si="205"/>
        <v>Open</v>
      </c>
      <c r="Z1867" t="str">
        <f t="shared" si="206"/>
        <v>Jul-2025</v>
      </c>
      <c r="AA1867" t="str">
        <f t="shared" si="207"/>
        <v>Q3 2025</v>
      </c>
      <c r="AB1867" s="4">
        <f t="shared" ca="1" si="208"/>
        <v>335</v>
      </c>
      <c r="AC1867" t="str">
        <f t="shared" si="209"/>
        <v>Low</v>
      </c>
    </row>
    <row r="1868" spans="1:29">
      <c r="A1868" t="s">
        <v>6434</v>
      </c>
      <c r="B1868" s="2">
        <v>45982</v>
      </c>
      <c r="C1868" t="s">
        <v>4070</v>
      </c>
      <c r="D1868" t="s">
        <v>327</v>
      </c>
      <c r="E1868" t="s">
        <v>6435</v>
      </c>
      <c r="F1868" t="s">
        <v>6436</v>
      </c>
      <c r="G1868" t="s">
        <v>34</v>
      </c>
      <c r="H1868" t="s">
        <v>238</v>
      </c>
      <c r="I1868" t="s">
        <v>98</v>
      </c>
      <c r="J1868" t="s">
        <v>131</v>
      </c>
      <c r="K1868" t="s">
        <v>114</v>
      </c>
      <c r="L1868" t="s">
        <v>107</v>
      </c>
      <c r="M1868" t="s">
        <v>40</v>
      </c>
      <c r="N1868" t="s">
        <v>41</v>
      </c>
      <c r="O1868" s="3">
        <v>90000</v>
      </c>
      <c r="P1868" s="4">
        <v>100</v>
      </c>
      <c r="Q1868" s="2">
        <v>45996</v>
      </c>
      <c r="R1868" s="2"/>
      <c r="S1868" s="2">
        <v>45992</v>
      </c>
      <c r="T1868" s="2">
        <v>45996</v>
      </c>
      <c r="U1868" t="str">
        <f t="shared" si="203"/>
        <v>Yes</v>
      </c>
      <c r="W186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1868" t="str">
        <f t="shared" ca="1" si="204"/>
        <v>Closed</v>
      </c>
      <c r="Y1868" t="str">
        <f t="shared" si="205"/>
        <v>Closed</v>
      </c>
      <c r="Z1868" t="str">
        <f t="shared" si="206"/>
        <v>Nov-2025</v>
      </c>
      <c r="AA1868" t="str">
        <f t="shared" si="207"/>
        <v>Q4 2025</v>
      </c>
      <c r="AB1868" s="4">
        <f t="shared" ca="1" si="208"/>
        <v>217</v>
      </c>
      <c r="AC1868" t="str">
        <f t="shared" si="209"/>
        <v>Low</v>
      </c>
    </row>
    <row r="1869" spans="1:29">
      <c r="A1869" t="s">
        <v>6437</v>
      </c>
      <c r="B1869" s="2">
        <v>46099</v>
      </c>
      <c r="C1869" t="s">
        <v>1403</v>
      </c>
      <c r="D1869" t="s">
        <v>1366</v>
      </c>
      <c r="E1869" t="s">
        <v>6438</v>
      </c>
      <c r="F1869" t="s">
        <v>6439</v>
      </c>
      <c r="G1869" t="s">
        <v>79</v>
      </c>
      <c r="H1869" t="s">
        <v>260</v>
      </c>
      <c r="I1869" t="s">
        <v>141</v>
      </c>
      <c r="J1869" t="s">
        <v>131</v>
      </c>
      <c r="K1869" t="s">
        <v>100</v>
      </c>
      <c r="L1869" t="s">
        <v>142</v>
      </c>
      <c r="M1869" t="s">
        <v>116</v>
      </c>
      <c r="N1869" t="s">
        <v>54</v>
      </c>
      <c r="O1869" s="3">
        <v>340000</v>
      </c>
      <c r="P1869" s="4">
        <v>15</v>
      </c>
      <c r="Q1869" s="2">
        <v>46135</v>
      </c>
      <c r="R1869" s="2">
        <v>46222</v>
      </c>
      <c r="S1869" s="2">
        <v>46119</v>
      </c>
      <c r="T1869" s="2"/>
      <c r="U1869" t="str">
        <f t="shared" si="203"/>
        <v>No</v>
      </c>
      <c r="W186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69" t="str">
        <f t="shared" ca="1" si="204"/>
        <v>Due/Open</v>
      </c>
      <c r="Y1869" t="str">
        <f t="shared" si="205"/>
        <v>Open</v>
      </c>
      <c r="Z1869" t="str">
        <f t="shared" si="206"/>
        <v>Mar-2026</v>
      </c>
      <c r="AA1869" t="str">
        <f t="shared" si="207"/>
        <v>Q1 2026</v>
      </c>
      <c r="AB1869" s="4">
        <f t="shared" ca="1" si="208"/>
        <v>100</v>
      </c>
      <c r="AC1869" t="str">
        <f t="shared" si="209"/>
        <v>High</v>
      </c>
    </row>
    <row r="1870" spans="1:29">
      <c r="A1870" t="s">
        <v>6440</v>
      </c>
      <c r="B1870" s="2">
        <v>45750</v>
      </c>
      <c r="C1870" t="s">
        <v>839</v>
      </c>
      <c r="D1870" t="s">
        <v>517</v>
      </c>
      <c r="E1870" t="s">
        <v>6441</v>
      </c>
      <c r="F1870" t="s">
        <v>6442</v>
      </c>
      <c r="G1870" t="s">
        <v>69</v>
      </c>
      <c r="H1870" t="s">
        <v>312</v>
      </c>
      <c r="I1870" t="s">
        <v>49</v>
      </c>
      <c r="J1870" t="s">
        <v>37</v>
      </c>
      <c r="K1870" t="s">
        <v>71</v>
      </c>
      <c r="L1870" t="s">
        <v>72</v>
      </c>
      <c r="M1870" t="s">
        <v>90</v>
      </c>
      <c r="N1870" t="s">
        <v>91</v>
      </c>
      <c r="O1870" s="3">
        <v>105000</v>
      </c>
      <c r="P1870" s="4">
        <v>50</v>
      </c>
      <c r="Q1870" s="2">
        <v>45820</v>
      </c>
      <c r="R1870" s="2">
        <v>46232</v>
      </c>
      <c r="S1870" s="2">
        <v>45778</v>
      </c>
      <c r="T1870" s="2"/>
      <c r="U1870" t="str">
        <f t="shared" si="203"/>
        <v>No</v>
      </c>
      <c r="W187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0" t="str">
        <f t="shared" ca="1" si="204"/>
        <v>Due/Open</v>
      </c>
      <c r="Y1870" t="str">
        <f t="shared" si="205"/>
        <v>Open</v>
      </c>
      <c r="Z1870" t="str">
        <f t="shared" si="206"/>
        <v>Apr-2025</v>
      </c>
      <c r="AA1870" t="str">
        <f t="shared" si="207"/>
        <v>Q2 2025</v>
      </c>
      <c r="AB1870" s="4">
        <f t="shared" ca="1" si="208"/>
        <v>449</v>
      </c>
      <c r="AC1870" t="str">
        <f t="shared" si="209"/>
        <v>Low</v>
      </c>
    </row>
    <row r="1871" spans="1:29">
      <c r="A1871" t="s">
        <v>6443</v>
      </c>
      <c r="B1871" s="2">
        <v>45663</v>
      </c>
      <c r="C1871" t="s">
        <v>2344</v>
      </c>
      <c r="D1871" t="s">
        <v>1416</v>
      </c>
      <c r="E1871" t="s">
        <v>6444</v>
      </c>
      <c r="F1871" t="s">
        <v>6445</v>
      </c>
      <c r="G1871" t="s">
        <v>69</v>
      </c>
      <c r="H1871" t="s">
        <v>270</v>
      </c>
      <c r="I1871" t="s">
        <v>61</v>
      </c>
      <c r="J1871" t="s">
        <v>62</v>
      </c>
      <c r="K1871" t="s">
        <v>51</v>
      </c>
      <c r="L1871" t="s">
        <v>63</v>
      </c>
      <c r="M1871" t="s">
        <v>116</v>
      </c>
      <c r="N1871" t="s">
        <v>54</v>
      </c>
      <c r="O1871" s="3">
        <v>200000</v>
      </c>
      <c r="P1871" s="4">
        <v>25</v>
      </c>
      <c r="Q1871" s="2">
        <v>45736</v>
      </c>
      <c r="R1871" s="2">
        <v>46174</v>
      </c>
      <c r="S1871" s="2">
        <v>45693</v>
      </c>
      <c r="T1871" s="2"/>
      <c r="U1871" t="str">
        <f t="shared" si="203"/>
        <v>No</v>
      </c>
      <c r="W18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1" t="str">
        <f t="shared" ca="1" si="204"/>
        <v>Overdue</v>
      </c>
      <c r="Y1871" t="str">
        <f t="shared" si="205"/>
        <v>Open</v>
      </c>
      <c r="Z1871" t="str">
        <f t="shared" si="206"/>
        <v>Jan-2025</v>
      </c>
      <c r="AA1871" t="str">
        <f t="shared" si="207"/>
        <v>Q1 2025</v>
      </c>
      <c r="AB1871" s="4">
        <f t="shared" ca="1" si="208"/>
        <v>536</v>
      </c>
      <c r="AC1871" t="str">
        <f t="shared" si="209"/>
        <v>Medium</v>
      </c>
    </row>
    <row r="1872" spans="1:29">
      <c r="A1872" t="s">
        <v>6446</v>
      </c>
      <c r="B1872" s="2">
        <v>45939</v>
      </c>
      <c r="C1872" t="s">
        <v>206</v>
      </c>
      <c r="D1872" t="s">
        <v>522</v>
      </c>
      <c r="E1872" t="s">
        <v>6447</v>
      </c>
      <c r="F1872" t="s">
        <v>6448</v>
      </c>
      <c r="G1872" t="s">
        <v>34</v>
      </c>
      <c r="H1872" t="s">
        <v>238</v>
      </c>
      <c r="I1872" t="s">
        <v>49</v>
      </c>
      <c r="J1872" t="s">
        <v>124</v>
      </c>
      <c r="K1872" t="s">
        <v>194</v>
      </c>
      <c r="L1872" t="s">
        <v>239</v>
      </c>
      <c r="M1872" t="s">
        <v>90</v>
      </c>
      <c r="N1872" t="s">
        <v>91</v>
      </c>
      <c r="O1872" s="3">
        <v>315000</v>
      </c>
      <c r="P1872" s="4">
        <v>40</v>
      </c>
      <c r="Q1872" s="2">
        <v>46030</v>
      </c>
      <c r="R1872" s="2">
        <v>46187</v>
      </c>
      <c r="S1872" s="2">
        <v>45966</v>
      </c>
      <c r="T1872" s="2"/>
      <c r="U1872" t="str">
        <f t="shared" si="203"/>
        <v>No</v>
      </c>
      <c r="W18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2" t="str">
        <f t="shared" ca="1" si="204"/>
        <v>Overdue</v>
      </c>
      <c r="Y1872" t="str">
        <f t="shared" si="205"/>
        <v>Open</v>
      </c>
      <c r="Z1872" t="str">
        <f t="shared" si="206"/>
        <v>Oct-2025</v>
      </c>
      <c r="AA1872" t="str">
        <f t="shared" si="207"/>
        <v>Q4 2025</v>
      </c>
      <c r="AB1872" s="4">
        <f t="shared" ca="1" si="208"/>
        <v>260</v>
      </c>
      <c r="AC1872" t="str">
        <f t="shared" si="209"/>
        <v>High</v>
      </c>
    </row>
    <row r="1873" spans="1:29">
      <c r="A1873" t="s">
        <v>6449</v>
      </c>
      <c r="B1873" s="2">
        <v>45798</v>
      </c>
      <c r="C1873" t="s">
        <v>4884</v>
      </c>
      <c r="D1873" t="s">
        <v>1315</v>
      </c>
      <c r="E1873" t="s">
        <v>6450</v>
      </c>
      <c r="F1873" t="s">
        <v>6451</v>
      </c>
      <c r="G1873" t="s">
        <v>47</v>
      </c>
      <c r="H1873" t="s">
        <v>48</v>
      </c>
      <c r="I1873" t="s">
        <v>148</v>
      </c>
      <c r="J1873" t="s">
        <v>37</v>
      </c>
      <c r="K1873" t="s">
        <v>194</v>
      </c>
      <c r="L1873" t="s">
        <v>72</v>
      </c>
      <c r="M1873" t="s">
        <v>40</v>
      </c>
      <c r="N1873" t="s">
        <v>41</v>
      </c>
      <c r="O1873" s="3">
        <v>75000</v>
      </c>
      <c r="P1873" s="4">
        <v>100</v>
      </c>
      <c r="Q1873" s="2">
        <v>45850</v>
      </c>
      <c r="R1873" s="2"/>
      <c r="S1873" s="2">
        <v>45801</v>
      </c>
      <c r="T1873" s="2">
        <v>45850</v>
      </c>
      <c r="U1873" t="str">
        <f t="shared" si="203"/>
        <v>Yes</v>
      </c>
      <c r="W187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52</v>
      </c>
      <c r="X1873" t="str">
        <f t="shared" ca="1" si="204"/>
        <v>Closed</v>
      </c>
      <c r="Y1873" t="str">
        <f t="shared" si="205"/>
        <v>Closed</v>
      </c>
      <c r="Z1873" t="str">
        <f t="shared" si="206"/>
        <v>May-2025</v>
      </c>
      <c r="AA1873" t="str">
        <f t="shared" si="207"/>
        <v>Q2 2025</v>
      </c>
      <c r="AB1873" s="4">
        <f t="shared" ca="1" si="208"/>
        <v>401</v>
      </c>
      <c r="AC1873" t="str">
        <f t="shared" si="209"/>
        <v>Low</v>
      </c>
    </row>
    <row r="1874" spans="1:29">
      <c r="A1874" t="s">
        <v>6452</v>
      </c>
      <c r="B1874" s="2">
        <v>45929</v>
      </c>
      <c r="C1874" t="s">
        <v>2420</v>
      </c>
      <c r="D1874" t="s">
        <v>464</v>
      </c>
      <c r="E1874" t="s">
        <v>6453</v>
      </c>
      <c r="F1874" t="s">
        <v>6454</v>
      </c>
      <c r="G1874" t="s">
        <v>69</v>
      </c>
      <c r="H1874" t="s">
        <v>70</v>
      </c>
      <c r="I1874" t="s">
        <v>148</v>
      </c>
      <c r="J1874" t="s">
        <v>37</v>
      </c>
      <c r="K1874" t="s">
        <v>71</v>
      </c>
      <c r="L1874" t="s">
        <v>239</v>
      </c>
      <c r="M1874" t="s">
        <v>166</v>
      </c>
      <c r="N1874" t="s">
        <v>167</v>
      </c>
      <c r="O1874" s="3">
        <v>35000</v>
      </c>
      <c r="P1874" s="4">
        <v>70</v>
      </c>
      <c r="Q1874" s="2">
        <v>46018</v>
      </c>
      <c r="R1874" s="2">
        <v>46195</v>
      </c>
      <c r="S1874" s="2">
        <v>45931</v>
      </c>
      <c r="T1874" s="2"/>
      <c r="U1874" t="str">
        <f t="shared" si="203"/>
        <v>No</v>
      </c>
      <c r="W18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4" t="str">
        <f t="shared" ca="1" si="204"/>
        <v>Overdue</v>
      </c>
      <c r="Y1874" t="str">
        <f t="shared" si="205"/>
        <v>Open</v>
      </c>
      <c r="Z1874" t="str">
        <f t="shared" si="206"/>
        <v>Sep-2025</v>
      </c>
      <c r="AA1874" t="str">
        <f t="shared" si="207"/>
        <v>Q3 2025</v>
      </c>
      <c r="AB1874" s="4">
        <f t="shared" ca="1" si="208"/>
        <v>270</v>
      </c>
      <c r="AC1874" t="str">
        <f t="shared" si="209"/>
        <v>Low</v>
      </c>
    </row>
    <row r="1875" spans="1:29">
      <c r="A1875" t="s">
        <v>6455</v>
      </c>
      <c r="B1875" s="2">
        <v>45808</v>
      </c>
      <c r="C1875" t="s">
        <v>2060</v>
      </c>
      <c r="D1875" t="s">
        <v>1343</v>
      </c>
      <c r="E1875" t="s">
        <v>6456</v>
      </c>
      <c r="F1875" t="s">
        <v>6457</v>
      </c>
      <c r="G1875" t="s">
        <v>69</v>
      </c>
      <c r="H1875" t="s">
        <v>270</v>
      </c>
      <c r="I1875" t="s">
        <v>148</v>
      </c>
      <c r="J1875" t="s">
        <v>99</v>
      </c>
      <c r="K1875" t="s">
        <v>38</v>
      </c>
      <c r="L1875" t="s">
        <v>125</v>
      </c>
      <c r="M1875" t="s">
        <v>53</v>
      </c>
      <c r="N1875" t="s">
        <v>54</v>
      </c>
      <c r="O1875" s="3">
        <v>600000</v>
      </c>
      <c r="P1875" s="4">
        <v>35</v>
      </c>
      <c r="Q1875" s="2">
        <v>45854</v>
      </c>
      <c r="R1875" s="2">
        <v>46165</v>
      </c>
      <c r="S1875" s="2">
        <v>45813</v>
      </c>
      <c r="T1875" s="2"/>
      <c r="U1875" t="str">
        <f t="shared" si="203"/>
        <v>No</v>
      </c>
      <c r="W18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5" t="str">
        <f t="shared" ca="1" si="204"/>
        <v>Overdue</v>
      </c>
      <c r="Y1875" t="str">
        <f t="shared" si="205"/>
        <v>Open</v>
      </c>
      <c r="Z1875" t="str">
        <f t="shared" si="206"/>
        <v>May-2025</v>
      </c>
      <c r="AA1875" t="str">
        <f t="shared" si="207"/>
        <v>Q2 2025</v>
      </c>
      <c r="AB1875" s="4">
        <f t="shared" ca="1" si="208"/>
        <v>391</v>
      </c>
      <c r="AC1875" t="str">
        <f t="shared" si="209"/>
        <v>High</v>
      </c>
    </row>
    <row r="1876" spans="1:29">
      <c r="A1876" t="s">
        <v>6458</v>
      </c>
      <c r="B1876" s="2">
        <v>45932</v>
      </c>
      <c r="C1876" t="s">
        <v>610</v>
      </c>
      <c r="D1876" t="s">
        <v>1662</v>
      </c>
      <c r="E1876" t="s">
        <v>6459</v>
      </c>
      <c r="F1876" t="s">
        <v>6460</v>
      </c>
      <c r="G1876" t="s">
        <v>179</v>
      </c>
      <c r="H1876" t="s">
        <v>296</v>
      </c>
      <c r="I1876" t="s">
        <v>98</v>
      </c>
      <c r="J1876" t="s">
        <v>62</v>
      </c>
      <c r="K1876" t="s">
        <v>114</v>
      </c>
      <c r="L1876" t="s">
        <v>72</v>
      </c>
      <c r="M1876" t="s">
        <v>116</v>
      </c>
      <c r="N1876" t="s">
        <v>54</v>
      </c>
      <c r="O1876" s="3">
        <v>220000</v>
      </c>
      <c r="P1876" s="4">
        <v>25</v>
      </c>
      <c r="Q1876" s="2">
        <v>46004</v>
      </c>
      <c r="R1876" s="2">
        <v>46162</v>
      </c>
      <c r="S1876" s="2">
        <v>45937</v>
      </c>
      <c r="T1876" s="2"/>
      <c r="U1876" t="str">
        <f t="shared" si="203"/>
        <v>No</v>
      </c>
      <c r="W18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6" t="str">
        <f t="shared" ca="1" si="204"/>
        <v>Overdue</v>
      </c>
      <c r="Y1876" t="str">
        <f t="shared" si="205"/>
        <v>Open</v>
      </c>
      <c r="Z1876" t="str">
        <f t="shared" si="206"/>
        <v>Oct-2025</v>
      </c>
      <c r="AA1876" t="str">
        <f t="shared" si="207"/>
        <v>Q4 2025</v>
      </c>
      <c r="AB1876" s="4">
        <f t="shared" ca="1" si="208"/>
        <v>267</v>
      </c>
      <c r="AC1876" t="str">
        <f t="shared" si="209"/>
        <v>Medium</v>
      </c>
    </row>
    <row r="1877" spans="1:29">
      <c r="A1877" t="s">
        <v>6461</v>
      </c>
      <c r="B1877" s="2">
        <v>46185</v>
      </c>
      <c r="C1877" t="s">
        <v>1928</v>
      </c>
      <c r="D1877" t="s">
        <v>1178</v>
      </c>
      <c r="E1877" t="s">
        <v>6462</v>
      </c>
      <c r="F1877" t="s">
        <v>6463</v>
      </c>
      <c r="G1877" t="s">
        <v>69</v>
      </c>
      <c r="H1877" t="s">
        <v>193</v>
      </c>
      <c r="I1877" t="s">
        <v>98</v>
      </c>
      <c r="J1877" t="s">
        <v>50</v>
      </c>
      <c r="K1877" t="s">
        <v>51</v>
      </c>
      <c r="L1877" t="s">
        <v>52</v>
      </c>
      <c r="M1877" t="s">
        <v>40</v>
      </c>
      <c r="N1877" t="s">
        <v>41</v>
      </c>
      <c r="O1877" s="3">
        <v>160000</v>
      </c>
      <c r="P1877" s="4">
        <v>100</v>
      </c>
      <c r="Q1877" s="2">
        <v>46195</v>
      </c>
      <c r="R1877" s="2"/>
      <c r="S1877" s="2">
        <v>46191</v>
      </c>
      <c r="T1877" s="2">
        <v>46195</v>
      </c>
      <c r="U1877" t="str">
        <f t="shared" si="203"/>
        <v>Yes</v>
      </c>
      <c r="W187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877" t="str">
        <f t="shared" ca="1" si="204"/>
        <v>Closed</v>
      </c>
      <c r="Y1877" t="str">
        <f t="shared" si="205"/>
        <v>Closed</v>
      </c>
      <c r="Z1877" t="str">
        <f t="shared" si="206"/>
        <v>Jun-2026</v>
      </c>
      <c r="AA1877" t="str">
        <f t="shared" si="207"/>
        <v>Q2 2026</v>
      </c>
      <c r="AB1877" s="4">
        <f t="shared" ca="1" si="208"/>
        <v>14</v>
      </c>
      <c r="AC1877" t="str">
        <f t="shared" si="209"/>
        <v>Medium</v>
      </c>
    </row>
    <row r="1878" spans="1:29">
      <c r="A1878" t="s">
        <v>6464</v>
      </c>
      <c r="B1878" s="2">
        <v>46115</v>
      </c>
      <c r="C1878" t="s">
        <v>2987</v>
      </c>
      <c r="D1878" t="s">
        <v>145</v>
      </c>
      <c r="E1878" t="s">
        <v>6465</v>
      </c>
      <c r="F1878" t="s">
        <v>6466</v>
      </c>
      <c r="G1878" t="s">
        <v>47</v>
      </c>
      <c r="H1878" t="s">
        <v>122</v>
      </c>
      <c r="I1878" t="s">
        <v>36</v>
      </c>
      <c r="J1878" t="s">
        <v>50</v>
      </c>
      <c r="K1878" t="s">
        <v>194</v>
      </c>
      <c r="L1878" t="s">
        <v>63</v>
      </c>
      <c r="M1878" t="s">
        <v>53</v>
      </c>
      <c r="N1878" t="s">
        <v>54</v>
      </c>
      <c r="O1878" s="3">
        <v>520000</v>
      </c>
      <c r="P1878" s="4">
        <v>35</v>
      </c>
      <c r="Q1878" s="2">
        <v>46161</v>
      </c>
      <c r="R1878" s="2">
        <v>46209</v>
      </c>
      <c r="S1878" s="2">
        <v>46134</v>
      </c>
      <c r="T1878" s="2"/>
      <c r="U1878" t="str">
        <f t="shared" si="203"/>
        <v>No</v>
      </c>
      <c r="W18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8" t="str">
        <f t="shared" ca="1" si="204"/>
        <v>Due/Open</v>
      </c>
      <c r="Y1878" t="str">
        <f t="shared" si="205"/>
        <v>Open</v>
      </c>
      <c r="Z1878" t="str">
        <f t="shared" si="206"/>
        <v>Apr-2026</v>
      </c>
      <c r="AA1878" t="str">
        <f t="shared" si="207"/>
        <v>Q2 2026</v>
      </c>
      <c r="AB1878" s="4">
        <f t="shared" ca="1" si="208"/>
        <v>84</v>
      </c>
      <c r="AC1878" t="str">
        <f t="shared" si="209"/>
        <v>High</v>
      </c>
    </row>
    <row r="1879" spans="1:29">
      <c r="A1879" t="s">
        <v>6467</v>
      </c>
      <c r="B1879" s="2">
        <v>45978</v>
      </c>
      <c r="C1879" t="s">
        <v>1310</v>
      </c>
      <c r="D1879" t="s">
        <v>459</v>
      </c>
      <c r="E1879" t="s">
        <v>6468</v>
      </c>
      <c r="F1879" t="s">
        <v>6469</v>
      </c>
      <c r="G1879" t="s">
        <v>34</v>
      </c>
      <c r="H1879" t="s">
        <v>160</v>
      </c>
      <c r="I1879" t="s">
        <v>36</v>
      </c>
      <c r="J1879" t="s">
        <v>37</v>
      </c>
      <c r="K1879" t="s">
        <v>114</v>
      </c>
      <c r="L1879" t="s">
        <v>39</v>
      </c>
      <c r="M1879" t="s">
        <v>116</v>
      </c>
      <c r="N1879" t="s">
        <v>54</v>
      </c>
      <c r="O1879" s="3">
        <v>75000</v>
      </c>
      <c r="P1879" s="4">
        <v>25</v>
      </c>
      <c r="Q1879" s="2">
        <v>46046</v>
      </c>
      <c r="R1879" s="2">
        <v>46236</v>
      </c>
      <c r="S1879" s="2">
        <v>46008</v>
      </c>
      <c r="T1879" s="2"/>
      <c r="U1879" t="str">
        <f t="shared" si="203"/>
        <v>No</v>
      </c>
      <c r="W18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79" t="str">
        <f t="shared" ca="1" si="204"/>
        <v>Due/Open</v>
      </c>
      <c r="Y1879" t="str">
        <f t="shared" si="205"/>
        <v>Open</v>
      </c>
      <c r="Z1879" t="str">
        <f t="shared" si="206"/>
        <v>Nov-2025</v>
      </c>
      <c r="AA1879" t="str">
        <f t="shared" si="207"/>
        <v>Q4 2025</v>
      </c>
      <c r="AB1879" s="4">
        <f t="shared" ca="1" si="208"/>
        <v>221</v>
      </c>
      <c r="AC1879" t="str">
        <f t="shared" si="209"/>
        <v>Low</v>
      </c>
    </row>
    <row r="1880" spans="1:29">
      <c r="A1880" t="s">
        <v>6470</v>
      </c>
      <c r="B1880" s="2">
        <v>45865</v>
      </c>
      <c r="C1880" t="s">
        <v>4691</v>
      </c>
      <c r="D1880" t="s">
        <v>557</v>
      </c>
      <c r="E1880" t="s">
        <v>6471</v>
      </c>
      <c r="F1880" t="s">
        <v>6472</v>
      </c>
      <c r="G1880" t="s">
        <v>34</v>
      </c>
      <c r="H1880" t="s">
        <v>238</v>
      </c>
      <c r="I1880" t="s">
        <v>36</v>
      </c>
      <c r="J1880" t="s">
        <v>124</v>
      </c>
      <c r="K1880" t="s">
        <v>194</v>
      </c>
      <c r="L1880" t="s">
        <v>154</v>
      </c>
      <c r="M1880" t="s">
        <v>90</v>
      </c>
      <c r="N1880" t="s">
        <v>91</v>
      </c>
      <c r="O1880" s="3">
        <v>200000</v>
      </c>
      <c r="P1880" s="4">
        <v>55</v>
      </c>
      <c r="Q1880" s="2">
        <v>45908</v>
      </c>
      <c r="R1880" s="2">
        <v>46199</v>
      </c>
      <c r="S1880" s="2">
        <v>45866</v>
      </c>
      <c r="T1880" s="2"/>
      <c r="U1880" t="str">
        <f t="shared" si="203"/>
        <v>No</v>
      </c>
      <c r="W18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0" t="str">
        <f t="shared" ca="1" si="204"/>
        <v>Due/Open</v>
      </c>
      <c r="Y1880" t="str">
        <f t="shared" si="205"/>
        <v>Open</v>
      </c>
      <c r="Z1880" t="str">
        <f t="shared" si="206"/>
        <v>Jul-2025</v>
      </c>
      <c r="AA1880" t="str">
        <f t="shared" si="207"/>
        <v>Q3 2025</v>
      </c>
      <c r="AB1880" s="4">
        <f t="shared" ca="1" si="208"/>
        <v>334</v>
      </c>
      <c r="AC1880" t="str">
        <f t="shared" si="209"/>
        <v>Medium</v>
      </c>
    </row>
    <row r="1881" spans="1:29">
      <c r="A1881" t="s">
        <v>6473</v>
      </c>
      <c r="B1881" s="2">
        <v>45804</v>
      </c>
      <c r="C1881" t="s">
        <v>3275</v>
      </c>
      <c r="D1881" t="s">
        <v>103</v>
      </c>
      <c r="E1881" t="s">
        <v>6474</v>
      </c>
      <c r="F1881" t="s">
        <v>6475</v>
      </c>
      <c r="G1881" t="s">
        <v>179</v>
      </c>
      <c r="H1881" t="s">
        <v>436</v>
      </c>
      <c r="I1881" t="s">
        <v>49</v>
      </c>
      <c r="J1881" t="s">
        <v>99</v>
      </c>
      <c r="K1881" t="s">
        <v>100</v>
      </c>
      <c r="L1881" t="s">
        <v>115</v>
      </c>
      <c r="M1881" t="s">
        <v>166</v>
      </c>
      <c r="N1881" t="s">
        <v>167</v>
      </c>
      <c r="O1881" s="3">
        <v>575000</v>
      </c>
      <c r="P1881" s="4">
        <v>60</v>
      </c>
      <c r="Q1881" s="2">
        <v>45831</v>
      </c>
      <c r="R1881" s="2">
        <v>46196</v>
      </c>
      <c r="S1881" s="2">
        <v>45811</v>
      </c>
      <c r="T1881" s="2"/>
      <c r="U1881" t="str">
        <f t="shared" si="203"/>
        <v>No</v>
      </c>
      <c r="W18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1" t="str">
        <f t="shared" ca="1" si="204"/>
        <v>Overdue</v>
      </c>
      <c r="Y1881" t="str">
        <f t="shared" si="205"/>
        <v>Open</v>
      </c>
      <c r="Z1881" t="str">
        <f t="shared" si="206"/>
        <v>May-2025</v>
      </c>
      <c r="AA1881" t="str">
        <f t="shared" si="207"/>
        <v>Q2 2025</v>
      </c>
      <c r="AB1881" s="4">
        <f t="shared" ca="1" si="208"/>
        <v>395</v>
      </c>
      <c r="AC1881" t="str">
        <f t="shared" si="209"/>
        <v>High</v>
      </c>
    </row>
    <row r="1882" spans="1:29">
      <c r="A1882" t="s">
        <v>6476</v>
      </c>
      <c r="B1882" s="2">
        <v>45917</v>
      </c>
      <c r="C1882" t="s">
        <v>880</v>
      </c>
      <c r="D1882" t="s">
        <v>263</v>
      </c>
      <c r="E1882" t="s">
        <v>6477</v>
      </c>
      <c r="F1882" t="s">
        <v>6478</v>
      </c>
      <c r="G1882" t="s">
        <v>47</v>
      </c>
      <c r="H1882" t="s">
        <v>493</v>
      </c>
      <c r="I1882" t="s">
        <v>187</v>
      </c>
      <c r="J1882" t="s">
        <v>124</v>
      </c>
      <c r="K1882" t="s">
        <v>194</v>
      </c>
      <c r="L1882" t="s">
        <v>132</v>
      </c>
      <c r="M1882" t="s">
        <v>73</v>
      </c>
      <c r="N1882" t="s">
        <v>73</v>
      </c>
      <c r="O1882" s="3">
        <v>305000</v>
      </c>
      <c r="P1882" s="4">
        <v>85</v>
      </c>
      <c r="Q1882" s="2">
        <v>45969</v>
      </c>
      <c r="R1882" s="2">
        <v>46233</v>
      </c>
      <c r="S1882" s="2">
        <v>45921</v>
      </c>
      <c r="T1882" s="2"/>
      <c r="U1882" t="str">
        <f t="shared" si="203"/>
        <v>No</v>
      </c>
      <c r="W18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2" t="str">
        <f t="shared" ca="1" si="204"/>
        <v>Due/Open</v>
      </c>
      <c r="Y1882" t="str">
        <f t="shared" si="205"/>
        <v>Open</v>
      </c>
      <c r="Z1882" t="str">
        <f t="shared" si="206"/>
        <v>Sep-2025</v>
      </c>
      <c r="AA1882" t="str">
        <f t="shared" si="207"/>
        <v>Q3 2025</v>
      </c>
      <c r="AB1882" s="4">
        <f t="shared" ca="1" si="208"/>
        <v>282</v>
      </c>
      <c r="AC1882" t="str">
        <f t="shared" si="209"/>
        <v>High</v>
      </c>
    </row>
    <row r="1883" spans="1:29">
      <c r="A1883" t="s">
        <v>6479</v>
      </c>
      <c r="B1883" s="2">
        <v>45701</v>
      </c>
      <c r="C1883" t="s">
        <v>1342</v>
      </c>
      <c r="D1883" t="s">
        <v>66</v>
      </c>
      <c r="E1883" t="s">
        <v>6480</v>
      </c>
      <c r="F1883" t="s">
        <v>6481</v>
      </c>
      <c r="G1883" t="s">
        <v>179</v>
      </c>
      <c r="H1883" t="s">
        <v>487</v>
      </c>
      <c r="I1883" t="s">
        <v>141</v>
      </c>
      <c r="J1883" t="s">
        <v>62</v>
      </c>
      <c r="K1883" t="s">
        <v>51</v>
      </c>
      <c r="L1883" t="s">
        <v>107</v>
      </c>
      <c r="M1883" t="s">
        <v>116</v>
      </c>
      <c r="N1883" t="s">
        <v>54</v>
      </c>
      <c r="O1883" s="3">
        <v>125000</v>
      </c>
      <c r="P1883" s="4">
        <v>15</v>
      </c>
      <c r="Q1883" s="2">
        <v>45722</v>
      </c>
      <c r="R1883" s="2">
        <v>46221</v>
      </c>
      <c r="S1883" s="2">
        <v>45715</v>
      </c>
      <c r="T1883" s="2"/>
      <c r="U1883" t="str">
        <f t="shared" si="203"/>
        <v>No</v>
      </c>
      <c r="W18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3" t="str">
        <f t="shared" ca="1" si="204"/>
        <v>Due/Open</v>
      </c>
      <c r="Y1883" t="str">
        <f t="shared" si="205"/>
        <v>Open</v>
      </c>
      <c r="Z1883" t="str">
        <f t="shared" si="206"/>
        <v>Feb-2025</v>
      </c>
      <c r="AA1883" t="str">
        <f t="shared" si="207"/>
        <v>Q1 2025</v>
      </c>
      <c r="AB1883" s="4">
        <f t="shared" ca="1" si="208"/>
        <v>498</v>
      </c>
      <c r="AC1883" t="str">
        <f t="shared" si="209"/>
        <v>Medium</v>
      </c>
    </row>
    <row r="1884" spans="1:29">
      <c r="A1884" t="s">
        <v>6482</v>
      </c>
      <c r="B1884" s="2">
        <v>45661</v>
      </c>
      <c r="C1884" t="s">
        <v>6483</v>
      </c>
      <c r="D1884" t="s">
        <v>459</v>
      </c>
      <c r="E1884" t="s">
        <v>6484</v>
      </c>
      <c r="F1884" t="s">
        <v>6485</v>
      </c>
      <c r="G1884" t="s">
        <v>79</v>
      </c>
      <c r="H1884" t="s">
        <v>97</v>
      </c>
      <c r="I1884" t="s">
        <v>148</v>
      </c>
      <c r="J1884" t="s">
        <v>124</v>
      </c>
      <c r="K1884" t="s">
        <v>194</v>
      </c>
      <c r="L1884" t="s">
        <v>63</v>
      </c>
      <c r="M1884" t="s">
        <v>116</v>
      </c>
      <c r="N1884" t="s">
        <v>54</v>
      </c>
      <c r="O1884" s="3">
        <v>310000</v>
      </c>
      <c r="P1884" s="4">
        <v>15</v>
      </c>
      <c r="Q1884" s="2">
        <v>45710</v>
      </c>
      <c r="R1884" s="2">
        <v>46220</v>
      </c>
      <c r="S1884" s="2">
        <v>45691</v>
      </c>
      <c r="T1884" s="2"/>
      <c r="U1884" t="str">
        <f t="shared" si="203"/>
        <v>No</v>
      </c>
      <c r="W18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4" t="str">
        <f t="shared" ca="1" si="204"/>
        <v>Due/Open</v>
      </c>
      <c r="Y1884" t="str">
        <f t="shared" si="205"/>
        <v>Open</v>
      </c>
      <c r="Z1884" t="str">
        <f t="shared" si="206"/>
        <v>Jan-2025</v>
      </c>
      <c r="AA1884" t="str">
        <f t="shared" si="207"/>
        <v>Q1 2025</v>
      </c>
      <c r="AB1884" s="4">
        <f t="shared" ca="1" si="208"/>
        <v>538</v>
      </c>
      <c r="AC1884" t="str">
        <f t="shared" si="209"/>
        <v>High</v>
      </c>
    </row>
    <row r="1885" spans="1:29">
      <c r="A1885" t="s">
        <v>6486</v>
      </c>
      <c r="B1885" s="2">
        <v>45754</v>
      </c>
      <c r="C1885" t="s">
        <v>1306</v>
      </c>
      <c r="D1885" t="s">
        <v>309</v>
      </c>
      <c r="E1885" t="s">
        <v>6487</v>
      </c>
      <c r="F1885" t="s">
        <v>6488</v>
      </c>
      <c r="G1885" t="s">
        <v>179</v>
      </c>
      <c r="H1885" t="s">
        <v>180</v>
      </c>
      <c r="I1885" t="s">
        <v>141</v>
      </c>
      <c r="J1885" t="s">
        <v>124</v>
      </c>
      <c r="K1885" t="s">
        <v>100</v>
      </c>
      <c r="L1885" t="s">
        <v>125</v>
      </c>
      <c r="M1885" t="s">
        <v>53</v>
      </c>
      <c r="N1885" t="s">
        <v>54</v>
      </c>
      <c r="O1885" s="3">
        <v>285000</v>
      </c>
      <c r="P1885" s="4">
        <v>25</v>
      </c>
      <c r="Q1885" s="2">
        <v>45814</v>
      </c>
      <c r="R1885" s="2">
        <v>46195</v>
      </c>
      <c r="S1885" s="2">
        <v>45769</v>
      </c>
      <c r="T1885" s="2"/>
      <c r="U1885" t="str">
        <f t="shared" si="203"/>
        <v>No</v>
      </c>
      <c r="W18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5" t="str">
        <f t="shared" ca="1" si="204"/>
        <v>Overdue</v>
      </c>
      <c r="Y1885" t="str">
        <f t="shared" si="205"/>
        <v>Open</v>
      </c>
      <c r="Z1885" t="str">
        <f t="shared" si="206"/>
        <v>Apr-2025</v>
      </c>
      <c r="AA1885" t="str">
        <f t="shared" si="207"/>
        <v>Q2 2025</v>
      </c>
      <c r="AB1885" s="4">
        <f t="shared" ca="1" si="208"/>
        <v>445</v>
      </c>
      <c r="AC1885" t="str">
        <f t="shared" si="209"/>
        <v>Medium</v>
      </c>
    </row>
    <row r="1886" spans="1:29">
      <c r="A1886" t="s">
        <v>6489</v>
      </c>
      <c r="B1886" s="2">
        <v>45918</v>
      </c>
      <c r="C1886" t="s">
        <v>622</v>
      </c>
      <c r="D1886" t="s">
        <v>190</v>
      </c>
      <c r="E1886" t="s">
        <v>6490</v>
      </c>
      <c r="F1886" t="s">
        <v>6491</v>
      </c>
      <c r="G1886" t="s">
        <v>79</v>
      </c>
      <c r="H1886" t="s">
        <v>228</v>
      </c>
      <c r="I1886" t="s">
        <v>36</v>
      </c>
      <c r="J1886" t="s">
        <v>50</v>
      </c>
      <c r="K1886" t="s">
        <v>100</v>
      </c>
      <c r="L1886" t="s">
        <v>107</v>
      </c>
      <c r="M1886" t="s">
        <v>53</v>
      </c>
      <c r="N1886" t="s">
        <v>54</v>
      </c>
      <c r="O1886" s="3">
        <v>155000</v>
      </c>
      <c r="P1886" s="4">
        <v>25</v>
      </c>
      <c r="Q1886" s="2">
        <v>45980</v>
      </c>
      <c r="R1886" s="2">
        <v>46183</v>
      </c>
      <c r="S1886" s="2">
        <v>45927</v>
      </c>
      <c r="T1886" s="2"/>
      <c r="U1886" t="str">
        <f t="shared" si="203"/>
        <v>No</v>
      </c>
      <c r="W188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6" t="str">
        <f t="shared" ca="1" si="204"/>
        <v>Overdue</v>
      </c>
      <c r="Y1886" t="str">
        <f t="shared" si="205"/>
        <v>Open</v>
      </c>
      <c r="Z1886" t="str">
        <f t="shared" si="206"/>
        <v>Sep-2025</v>
      </c>
      <c r="AA1886" t="str">
        <f t="shared" si="207"/>
        <v>Q3 2025</v>
      </c>
      <c r="AB1886" s="4">
        <f t="shared" ca="1" si="208"/>
        <v>281</v>
      </c>
      <c r="AC1886" t="str">
        <f t="shared" si="209"/>
        <v>Medium</v>
      </c>
    </row>
    <row r="1887" spans="1:29">
      <c r="A1887" t="s">
        <v>6492</v>
      </c>
      <c r="B1887" s="2">
        <v>45954</v>
      </c>
      <c r="C1887" t="s">
        <v>351</v>
      </c>
      <c r="D1887" t="s">
        <v>636</v>
      </c>
      <c r="E1887" t="s">
        <v>6493</v>
      </c>
      <c r="F1887" t="s">
        <v>6494</v>
      </c>
      <c r="G1887" t="s">
        <v>69</v>
      </c>
      <c r="H1887" t="s">
        <v>193</v>
      </c>
      <c r="I1887" t="s">
        <v>36</v>
      </c>
      <c r="J1887" t="s">
        <v>37</v>
      </c>
      <c r="K1887" t="s">
        <v>194</v>
      </c>
      <c r="L1887" t="s">
        <v>132</v>
      </c>
      <c r="M1887" t="s">
        <v>116</v>
      </c>
      <c r="N1887" t="s">
        <v>54</v>
      </c>
      <c r="O1887" s="3">
        <v>165000</v>
      </c>
      <c r="P1887" s="4">
        <v>20</v>
      </c>
      <c r="Q1887" s="2">
        <v>46024</v>
      </c>
      <c r="R1887" s="2">
        <v>46158</v>
      </c>
      <c r="S1887" s="2">
        <v>45970</v>
      </c>
      <c r="T1887" s="2"/>
      <c r="U1887" t="str">
        <f t="shared" si="203"/>
        <v>No</v>
      </c>
      <c r="W18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7" t="str">
        <f t="shared" ca="1" si="204"/>
        <v>Overdue</v>
      </c>
      <c r="Y1887" t="str">
        <f t="shared" si="205"/>
        <v>Open</v>
      </c>
      <c r="Z1887" t="str">
        <f t="shared" si="206"/>
        <v>Oct-2025</v>
      </c>
      <c r="AA1887" t="str">
        <f t="shared" si="207"/>
        <v>Q4 2025</v>
      </c>
      <c r="AB1887" s="4">
        <f t="shared" ca="1" si="208"/>
        <v>245</v>
      </c>
      <c r="AC1887" t="str">
        <f t="shared" si="209"/>
        <v>Medium</v>
      </c>
    </row>
    <row r="1888" spans="1:29">
      <c r="A1888" t="s">
        <v>6495</v>
      </c>
      <c r="B1888" s="2">
        <v>46114</v>
      </c>
      <c r="C1888" t="s">
        <v>856</v>
      </c>
      <c r="D1888" t="s">
        <v>1017</v>
      </c>
      <c r="E1888" t="s">
        <v>6496</v>
      </c>
      <c r="F1888" t="s">
        <v>6497</v>
      </c>
      <c r="G1888" t="s">
        <v>179</v>
      </c>
      <c r="H1888" t="s">
        <v>318</v>
      </c>
      <c r="I1888" t="s">
        <v>98</v>
      </c>
      <c r="J1888" t="s">
        <v>99</v>
      </c>
      <c r="K1888" t="s">
        <v>71</v>
      </c>
      <c r="L1888" t="s">
        <v>81</v>
      </c>
      <c r="M1888" t="s">
        <v>73</v>
      </c>
      <c r="N1888" t="s">
        <v>73</v>
      </c>
      <c r="O1888" s="3">
        <v>280000</v>
      </c>
      <c r="P1888" s="4">
        <v>80</v>
      </c>
      <c r="Q1888" s="2">
        <v>46186</v>
      </c>
      <c r="R1888" s="2">
        <v>46160</v>
      </c>
      <c r="S1888" s="2">
        <v>46117</v>
      </c>
      <c r="T1888" s="2"/>
      <c r="U1888" t="str">
        <f t="shared" si="203"/>
        <v>No</v>
      </c>
      <c r="W188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88" t="str">
        <f t="shared" ca="1" si="204"/>
        <v>Overdue</v>
      </c>
      <c r="Y1888" t="str">
        <f t="shared" si="205"/>
        <v>Open</v>
      </c>
      <c r="Z1888" t="str">
        <f t="shared" si="206"/>
        <v>Apr-2026</v>
      </c>
      <c r="AA1888" t="str">
        <f t="shared" si="207"/>
        <v>Q2 2026</v>
      </c>
      <c r="AB1888" s="4">
        <f t="shared" ca="1" si="208"/>
        <v>85</v>
      </c>
      <c r="AC1888" t="str">
        <f t="shared" si="209"/>
        <v>Medium</v>
      </c>
    </row>
    <row r="1889" spans="1:29">
      <c r="A1889" t="s">
        <v>6498</v>
      </c>
      <c r="B1889" s="2">
        <v>45800</v>
      </c>
      <c r="C1889" t="s">
        <v>1490</v>
      </c>
      <c r="D1889" t="s">
        <v>157</v>
      </c>
      <c r="E1889" t="s">
        <v>6499</v>
      </c>
      <c r="F1889" t="s">
        <v>6500</v>
      </c>
      <c r="G1889" t="s">
        <v>47</v>
      </c>
      <c r="H1889" t="s">
        <v>418</v>
      </c>
      <c r="I1889" t="s">
        <v>123</v>
      </c>
      <c r="J1889" t="s">
        <v>99</v>
      </c>
      <c r="K1889" t="s">
        <v>38</v>
      </c>
      <c r="L1889" t="s">
        <v>81</v>
      </c>
      <c r="M1889" t="s">
        <v>40</v>
      </c>
      <c r="N1889" t="s">
        <v>41</v>
      </c>
      <c r="O1889" s="3">
        <v>620000</v>
      </c>
      <c r="P1889" s="4">
        <v>100</v>
      </c>
      <c r="Q1889" s="2">
        <v>45883</v>
      </c>
      <c r="R1889" s="2"/>
      <c r="S1889" s="2">
        <v>45819</v>
      </c>
      <c r="T1889" s="2">
        <v>45883</v>
      </c>
      <c r="U1889" t="str">
        <f t="shared" si="203"/>
        <v>Yes</v>
      </c>
      <c r="W188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83</v>
      </c>
      <c r="X1889" t="str">
        <f t="shared" ca="1" si="204"/>
        <v>Closed</v>
      </c>
      <c r="Y1889" t="str">
        <f t="shared" si="205"/>
        <v>Closed</v>
      </c>
      <c r="Z1889" t="str">
        <f t="shared" si="206"/>
        <v>May-2025</v>
      </c>
      <c r="AA1889" t="str">
        <f t="shared" si="207"/>
        <v>Q2 2025</v>
      </c>
      <c r="AB1889" s="4">
        <f t="shared" ca="1" si="208"/>
        <v>399</v>
      </c>
      <c r="AC1889" t="str">
        <f t="shared" si="209"/>
        <v>High</v>
      </c>
    </row>
    <row r="1890" spans="1:29">
      <c r="A1890" t="s">
        <v>6501</v>
      </c>
      <c r="B1890" s="2">
        <v>45989</v>
      </c>
      <c r="C1890" t="s">
        <v>2435</v>
      </c>
      <c r="D1890" t="s">
        <v>552</v>
      </c>
      <c r="E1890" t="s">
        <v>6502</v>
      </c>
      <c r="F1890" t="s">
        <v>6503</v>
      </c>
      <c r="G1890" t="s">
        <v>69</v>
      </c>
      <c r="H1890" t="s">
        <v>312</v>
      </c>
      <c r="I1890" t="s">
        <v>123</v>
      </c>
      <c r="J1890" t="s">
        <v>50</v>
      </c>
      <c r="K1890" t="s">
        <v>71</v>
      </c>
      <c r="L1890" t="s">
        <v>125</v>
      </c>
      <c r="M1890" t="s">
        <v>166</v>
      </c>
      <c r="N1890" t="s">
        <v>167</v>
      </c>
      <c r="O1890" s="3">
        <v>410000</v>
      </c>
      <c r="P1890" s="4">
        <v>60</v>
      </c>
      <c r="Q1890" s="2">
        <v>46084</v>
      </c>
      <c r="R1890" s="2">
        <v>46223</v>
      </c>
      <c r="S1890" s="2">
        <v>46004</v>
      </c>
      <c r="T1890" s="2"/>
      <c r="U1890" t="str">
        <f t="shared" si="203"/>
        <v>No</v>
      </c>
      <c r="W189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0" t="str">
        <f t="shared" ca="1" si="204"/>
        <v>Due/Open</v>
      </c>
      <c r="Y1890" t="str">
        <f t="shared" si="205"/>
        <v>Open</v>
      </c>
      <c r="Z1890" t="str">
        <f t="shared" si="206"/>
        <v>Nov-2025</v>
      </c>
      <c r="AA1890" t="str">
        <f t="shared" si="207"/>
        <v>Q4 2025</v>
      </c>
      <c r="AB1890" s="4">
        <f t="shared" ca="1" si="208"/>
        <v>210</v>
      </c>
      <c r="AC1890" t="str">
        <f t="shared" si="209"/>
        <v>High</v>
      </c>
    </row>
    <row r="1891" spans="1:29">
      <c r="A1891" t="s">
        <v>6504</v>
      </c>
      <c r="B1891" s="2">
        <v>46052</v>
      </c>
      <c r="C1891" t="s">
        <v>4414</v>
      </c>
      <c r="D1891" t="s">
        <v>214</v>
      </c>
      <c r="E1891" t="s">
        <v>4415</v>
      </c>
      <c r="F1891" t="s">
        <v>6505</v>
      </c>
      <c r="G1891" t="s">
        <v>179</v>
      </c>
      <c r="H1891" t="s">
        <v>180</v>
      </c>
      <c r="I1891" t="s">
        <v>98</v>
      </c>
      <c r="J1891" t="s">
        <v>62</v>
      </c>
      <c r="K1891" t="s">
        <v>194</v>
      </c>
      <c r="L1891" t="s">
        <v>81</v>
      </c>
      <c r="M1891" t="s">
        <v>40</v>
      </c>
      <c r="N1891" t="s">
        <v>41</v>
      </c>
      <c r="O1891" s="3">
        <v>250000</v>
      </c>
      <c r="P1891" s="4">
        <v>100</v>
      </c>
      <c r="Q1891" s="2">
        <v>46123</v>
      </c>
      <c r="R1891" s="2"/>
      <c r="S1891" s="2">
        <v>46079</v>
      </c>
      <c r="T1891" s="2">
        <v>46123</v>
      </c>
      <c r="U1891" t="str">
        <f t="shared" si="203"/>
        <v>Yes</v>
      </c>
      <c r="W189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71</v>
      </c>
      <c r="X1891" t="str">
        <f t="shared" ca="1" si="204"/>
        <v>Closed</v>
      </c>
      <c r="Y1891" t="str">
        <f t="shared" si="205"/>
        <v>Closed</v>
      </c>
      <c r="Z1891" t="str">
        <f t="shared" si="206"/>
        <v>Jan-2026</v>
      </c>
      <c r="AA1891" t="str">
        <f t="shared" si="207"/>
        <v>Q1 2026</v>
      </c>
      <c r="AB1891" s="4">
        <f t="shared" ca="1" si="208"/>
        <v>147</v>
      </c>
      <c r="AC1891" t="str">
        <f t="shared" si="209"/>
        <v>Medium</v>
      </c>
    </row>
    <row r="1892" spans="1:29">
      <c r="A1892" t="s">
        <v>6506</v>
      </c>
      <c r="B1892" s="2">
        <v>45717</v>
      </c>
      <c r="C1892" t="s">
        <v>303</v>
      </c>
      <c r="D1892" t="s">
        <v>1815</v>
      </c>
      <c r="E1892" t="s">
        <v>6507</v>
      </c>
      <c r="F1892" t="s">
        <v>6508</v>
      </c>
      <c r="G1892" t="s">
        <v>79</v>
      </c>
      <c r="H1892" t="s">
        <v>260</v>
      </c>
      <c r="I1892" t="s">
        <v>98</v>
      </c>
      <c r="J1892" t="s">
        <v>50</v>
      </c>
      <c r="K1892" t="s">
        <v>194</v>
      </c>
      <c r="L1892" t="s">
        <v>132</v>
      </c>
      <c r="M1892" t="s">
        <v>166</v>
      </c>
      <c r="N1892" t="s">
        <v>167</v>
      </c>
      <c r="O1892" s="3">
        <v>415000</v>
      </c>
      <c r="P1892" s="4">
        <v>65</v>
      </c>
      <c r="Q1892" s="2">
        <v>45749</v>
      </c>
      <c r="R1892" s="2">
        <v>46182</v>
      </c>
      <c r="S1892" s="2">
        <v>45742</v>
      </c>
      <c r="T1892" s="2"/>
      <c r="U1892" t="str">
        <f t="shared" si="203"/>
        <v>No</v>
      </c>
      <c r="W18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2" t="str">
        <f t="shared" ca="1" si="204"/>
        <v>Overdue</v>
      </c>
      <c r="Y1892" t="str">
        <f t="shared" si="205"/>
        <v>Open</v>
      </c>
      <c r="Z1892" t="str">
        <f t="shared" si="206"/>
        <v>Mar-2025</v>
      </c>
      <c r="AA1892" t="str">
        <f t="shared" si="207"/>
        <v>Q1 2025</v>
      </c>
      <c r="AB1892" s="4">
        <f t="shared" ca="1" si="208"/>
        <v>482</v>
      </c>
      <c r="AC1892" t="str">
        <f t="shared" si="209"/>
        <v>High</v>
      </c>
    </row>
    <row r="1893" spans="1:29">
      <c r="A1893" t="s">
        <v>6509</v>
      </c>
      <c r="B1893" s="2">
        <v>45852</v>
      </c>
      <c r="C1893" t="s">
        <v>3158</v>
      </c>
      <c r="D1893" t="s">
        <v>282</v>
      </c>
      <c r="E1893" t="s">
        <v>6510</v>
      </c>
      <c r="F1893" t="s">
        <v>6511</v>
      </c>
      <c r="G1893" t="s">
        <v>34</v>
      </c>
      <c r="H1893" t="s">
        <v>173</v>
      </c>
      <c r="I1893" t="s">
        <v>187</v>
      </c>
      <c r="J1893" t="s">
        <v>37</v>
      </c>
      <c r="K1893" t="s">
        <v>100</v>
      </c>
      <c r="L1893" t="s">
        <v>132</v>
      </c>
      <c r="M1893" t="s">
        <v>116</v>
      </c>
      <c r="N1893" t="s">
        <v>54</v>
      </c>
      <c r="O1893" s="3">
        <v>45000</v>
      </c>
      <c r="P1893" s="4">
        <v>20</v>
      </c>
      <c r="Q1893" s="2">
        <v>45924</v>
      </c>
      <c r="R1893" s="2">
        <v>46211</v>
      </c>
      <c r="S1893" s="2">
        <v>45862</v>
      </c>
      <c r="T1893" s="2"/>
      <c r="U1893" t="str">
        <f t="shared" si="203"/>
        <v>No</v>
      </c>
      <c r="W18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3" t="str">
        <f t="shared" ca="1" si="204"/>
        <v>Due/Open</v>
      </c>
      <c r="Y1893" t="str">
        <f t="shared" si="205"/>
        <v>Open</v>
      </c>
      <c r="Z1893" t="str">
        <f t="shared" si="206"/>
        <v>Jul-2025</v>
      </c>
      <c r="AA1893" t="str">
        <f t="shared" si="207"/>
        <v>Q3 2025</v>
      </c>
      <c r="AB1893" s="4">
        <f t="shared" ca="1" si="208"/>
        <v>347</v>
      </c>
      <c r="AC1893" t="str">
        <f t="shared" si="209"/>
        <v>Low</v>
      </c>
    </row>
    <row r="1894" spans="1:29">
      <c r="A1894" t="s">
        <v>6512</v>
      </c>
      <c r="B1894" s="2">
        <v>45698</v>
      </c>
      <c r="C1894" t="s">
        <v>370</v>
      </c>
      <c r="D1894" t="s">
        <v>443</v>
      </c>
      <c r="E1894" t="s">
        <v>6513</v>
      </c>
      <c r="F1894" t="s">
        <v>6514</v>
      </c>
      <c r="G1894" t="s">
        <v>179</v>
      </c>
      <c r="H1894" t="s">
        <v>318</v>
      </c>
      <c r="I1894" t="s">
        <v>98</v>
      </c>
      <c r="J1894" t="s">
        <v>50</v>
      </c>
      <c r="K1894" t="s">
        <v>194</v>
      </c>
      <c r="L1894" t="s">
        <v>154</v>
      </c>
      <c r="M1894" t="s">
        <v>90</v>
      </c>
      <c r="N1894" t="s">
        <v>91</v>
      </c>
      <c r="O1894" s="3">
        <v>195000</v>
      </c>
      <c r="P1894" s="4">
        <v>50</v>
      </c>
      <c r="Q1894" s="2">
        <v>45765</v>
      </c>
      <c r="R1894" s="2">
        <v>46161</v>
      </c>
      <c r="S1894" s="2">
        <v>45700</v>
      </c>
      <c r="T1894" s="2"/>
      <c r="U1894" t="str">
        <f t="shared" si="203"/>
        <v>No</v>
      </c>
      <c r="W18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4" t="str">
        <f t="shared" ca="1" si="204"/>
        <v>Overdue</v>
      </c>
      <c r="Y1894" t="str">
        <f t="shared" si="205"/>
        <v>Open</v>
      </c>
      <c r="Z1894" t="str">
        <f t="shared" si="206"/>
        <v>Feb-2025</v>
      </c>
      <c r="AA1894" t="str">
        <f t="shared" si="207"/>
        <v>Q1 2025</v>
      </c>
      <c r="AB1894" s="4">
        <f t="shared" ca="1" si="208"/>
        <v>501</v>
      </c>
      <c r="AC1894" t="str">
        <f t="shared" si="209"/>
        <v>Medium</v>
      </c>
    </row>
    <row r="1895" spans="1:29">
      <c r="A1895" t="s">
        <v>6515</v>
      </c>
      <c r="B1895" s="2">
        <v>45936</v>
      </c>
      <c r="C1895" t="s">
        <v>156</v>
      </c>
      <c r="D1895" t="s">
        <v>2179</v>
      </c>
      <c r="E1895" t="s">
        <v>6516</v>
      </c>
      <c r="F1895" t="s">
        <v>6517</v>
      </c>
      <c r="G1895" t="s">
        <v>179</v>
      </c>
      <c r="H1895" t="s">
        <v>436</v>
      </c>
      <c r="I1895" t="s">
        <v>141</v>
      </c>
      <c r="J1895" t="s">
        <v>37</v>
      </c>
      <c r="K1895" t="s">
        <v>194</v>
      </c>
      <c r="L1895" t="s">
        <v>52</v>
      </c>
      <c r="M1895" t="s">
        <v>53</v>
      </c>
      <c r="N1895" t="s">
        <v>54</v>
      </c>
      <c r="O1895" s="3">
        <v>60000</v>
      </c>
      <c r="P1895" s="4">
        <v>25</v>
      </c>
      <c r="Q1895" s="2">
        <v>45975</v>
      </c>
      <c r="R1895" s="2">
        <v>46232</v>
      </c>
      <c r="S1895" s="2">
        <v>45952</v>
      </c>
      <c r="T1895" s="2"/>
      <c r="U1895" t="str">
        <f t="shared" si="203"/>
        <v>No</v>
      </c>
      <c r="W18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5" t="str">
        <f t="shared" ca="1" si="204"/>
        <v>Due/Open</v>
      </c>
      <c r="Y1895" t="str">
        <f t="shared" si="205"/>
        <v>Open</v>
      </c>
      <c r="Z1895" t="str">
        <f t="shared" si="206"/>
        <v>Oct-2025</v>
      </c>
      <c r="AA1895" t="str">
        <f t="shared" si="207"/>
        <v>Q4 2025</v>
      </c>
      <c r="AB1895" s="4">
        <f t="shared" ca="1" si="208"/>
        <v>263</v>
      </c>
      <c r="AC1895" t="str">
        <f t="shared" si="209"/>
        <v>Low</v>
      </c>
    </row>
    <row r="1896" spans="1:29">
      <c r="A1896" t="s">
        <v>6518</v>
      </c>
      <c r="B1896" s="2">
        <v>45766</v>
      </c>
      <c r="C1896" t="s">
        <v>6519</v>
      </c>
      <c r="D1896" t="s">
        <v>76</v>
      </c>
      <c r="E1896" t="s">
        <v>6520</v>
      </c>
      <c r="F1896" t="s">
        <v>6521</v>
      </c>
      <c r="G1896" t="s">
        <v>79</v>
      </c>
      <c r="H1896" t="s">
        <v>97</v>
      </c>
      <c r="I1896" t="s">
        <v>36</v>
      </c>
      <c r="J1896" t="s">
        <v>37</v>
      </c>
      <c r="K1896" t="s">
        <v>38</v>
      </c>
      <c r="L1896" t="s">
        <v>115</v>
      </c>
      <c r="M1896" t="s">
        <v>166</v>
      </c>
      <c r="N1896" t="s">
        <v>167</v>
      </c>
      <c r="O1896" s="3">
        <v>90000</v>
      </c>
      <c r="P1896" s="4">
        <v>70</v>
      </c>
      <c r="Q1896" s="2">
        <v>45804</v>
      </c>
      <c r="R1896" s="2">
        <v>46176</v>
      </c>
      <c r="S1896" s="2">
        <v>45793</v>
      </c>
      <c r="T1896" s="2"/>
      <c r="U1896" t="str">
        <f t="shared" si="203"/>
        <v>No</v>
      </c>
      <c r="W18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6" t="str">
        <f t="shared" ca="1" si="204"/>
        <v>Overdue</v>
      </c>
      <c r="Y1896" t="str">
        <f t="shared" si="205"/>
        <v>Open</v>
      </c>
      <c r="Z1896" t="str">
        <f t="shared" si="206"/>
        <v>Apr-2025</v>
      </c>
      <c r="AA1896" t="str">
        <f t="shared" si="207"/>
        <v>Q2 2025</v>
      </c>
      <c r="AB1896" s="4">
        <f t="shared" ca="1" si="208"/>
        <v>433</v>
      </c>
      <c r="AC1896" t="str">
        <f t="shared" si="209"/>
        <v>Low</v>
      </c>
    </row>
    <row r="1897" spans="1:29">
      <c r="A1897" t="s">
        <v>6522</v>
      </c>
      <c r="B1897" s="2">
        <v>45899</v>
      </c>
      <c r="C1897" t="s">
        <v>6138</v>
      </c>
      <c r="D1897" t="s">
        <v>263</v>
      </c>
      <c r="E1897" t="s">
        <v>6523</v>
      </c>
      <c r="F1897" t="s">
        <v>6524</v>
      </c>
      <c r="G1897" t="s">
        <v>34</v>
      </c>
      <c r="H1897" t="s">
        <v>446</v>
      </c>
      <c r="I1897" t="s">
        <v>123</v>
      </c>
      <c r="J1897" t="s">
        <v>131</v>
      </c>
      <c r="K1897" t="s">
        <v>71</v>
      </c>
      <c r="L1897" t="s">
        <v>115</v>
      </c>
      <c r="M1897" t="s">
        <v>116</v>
      </c>
      <c r="N1897" t="s">
        <v>54</v>
      </c>
      <c r="O1897" s="3">
        <v>220000</v>
      </c>
      <c r="P1897" s="4">
        <v>15</v>
      </c>
      <c r="Q1897" s="2">
        <v>45947</v>
      </c>
      <c r="R1897" s="2">
        <v>46217</v>
      </c>
      <c r="S1897" s="2">
        <v>45904</v>
      </c>
      <c r="T1897" s="2"/>
      <c r="U1897" t="str">
        <f t="shared" si="203"/>
        <v>No</v>
      </c>
      <c r="W18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7" t="str">
        <f t="shared" ca="1" si="204"/>
        <v>Due/Open</v>
      </c>
      <c r="Y1897" t="str">
        <f t="shared" si="205"/>
        <v>Open</v>
      </c>
      <c r="Z1897" t="str">
        <f t="shared" si="206"/>
        <v>Aug-2025</v>
      </c>
      <c r="AA1897" t="str">
        <f t="shared" si="207"/>
        <v>Q3 2025</v>
      </c>
      <c r="AB1897" s="4">
        <f t="shared" ca="1" si="208"/>
        <v>300</v>
      </c>
      <c r="AC1897" t="str">
        <f t="shared" si="209"/>
        <v>Medium</v>
      </c>
    </row>
    <row r="1898" spans="1:29">
      <c r="A1898" t="s">
        <v>6525</v>
      </c>
      <c r="B1898" s="2">
        <v>46193</v>
      </c>
      <c r="C1898" t="s">
        <v>1071</v>
      </c>
      <c r="D1898" t="s">
        <v>1319</v>
      </c>
      <c r="E1898" t="s">
        <v>6526</v>
      </c>
      <c r="F1898" t="s">
        <v>6527</v>
      </c>
      <c r="G1898" t="s">
        <v>47</v>
      </c>
      <c r="H1898" t="s">
        <v>113</v>
      </c>
      <c r="I1898" t="s">
        <v>187</v>
      </c>
      <c r="J1898" t="s">
        <v>124</v>
      </c>
      <c r="K1898" t="s">
        <v>38</v>
      </c>
      <c r="L1898" t="s">
        <v>125</v>
      </c>
      <c r="M1898" t="s">
        <v>116</v>
      </c>
      <c r="N1898" t="s">
        <v>54</v>
      </c>
      <c r="O1898" s="3">
        <v>340000</v>
      </c>
      <c r="P1898" s="4">
        <v>25</v>
      </c>
      <c r="Q1898" s="2">
        <v>46240</v>
      </c>
      <c r="R1898" s="2">
        <v>46203</v>
      </c>
      <c r="S1898" s="2">
        <v>46198</v>
      </c>
      <c r="T1898" s="2"/>
      <c r="U1898" t="str">
        <f t="shared" si="203"/>
        <v>No</v>
      </c>
      <c r="W18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8" t="str">
        <f t="shared" ca="1" si="204"/>
        <v>Due/Open</v>
      </c>
      <c r="Y1898" t="str">
        <f t="shared" si="205"/>
        <v>Open</v>
      </c>
      <c r="Z1898" t="str">
        <f t="shared" si="206"/>
        <v>Jun-2026</v>
      </c>
      <c r="AA1898" t="str">
        <f t="shared" si="207"/>
        <v>Q2 2026</v>
      </c>
      <c r="AB1898" s="4">
        <f t="shared" ca="1" si="208"/>
        <v>6</v>
      </c>
      <c r="AC1898" t="str">
        <f t="shared" si="209"/>
        <v>High</v>
      </c>
    </row>
    <row r="1899" spans="1:29">
      <c r="A1899" t="s">
        <v>6528</v>
      </c>
      <c r="B1899" s="2">
        <v>45876</v>
      </c>
      <c r="C1899" t="s">
        <v>2697</v>
      </c>
      <c r="D1899" t="s">
        <v>1717</v>
      </c>
      <c r="E1899" t="s">
        <v>6529</v>
      </c>
      <c r="F1899" t="s">
        <v>6530</v>
      </c>
      <c r="G1899" t="s">
        <v>69</v>
      </c>
      <c r="H1899" t="s">
        <v>312</v>
      </c>
      <c r="I1899" t="s">
        <v>36</v>
      </c>
      <c r="J1899" t="s">
        <v>131</v>
      </c>
      <c r="K1899" t="s">
        <v>51</v>
      </c>
      <c r="L1899" t="s">
        <v>52</v>
      </c>
      <c r="M1899" t="s">
        <v>90</v>
      </c>
      <c r="N1899" t="s">
        <v>91</v>
      </c>
      <c r="O1899" s="3">
        <v>245000</v>
      </c>
      <c r="P1899" s="4">
        <v>50</v>
      </c>
      <c r="Q1899" s="2">
        <v>45930</v>
      </c>
      <c r="R1899" s="2">
        <v>46167</v>
      </c>
      <c r="S1899" s="2">
        <v>45890</v>
      </c>
      <c r="T1899" s="2"/>
      <c r="U1899" t="str">
        <f t="shared" si="203"/>
        <v>No</v>
      </c>
      <c r="W18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899" t="str">
        <f t="shared" ca="1" si="204"/>
        <v>Overdue</v>
      </c>
      <c r="Y1899" t="str">
        <f t="shared" si="205"/>
        <v>Open</v>
      </c>
      <c r="Z1899" t="str">
        <f t="shared" si="206"/>
        <v>Aug-2025</v>
      </c>
      <c r="AA1899" t="str">
        <f t="shared" si="207"/>
        <v>Q3 2025</v>
      </c>
      <c r="AB1899" s="4">
        <f t="shared" ca="1" si="208"/>
        <v>323</v>
      </c>
      <c r="AC1899" t="str">
        <f t="shared" si="209"/>
        <v>Medium</v>
      </c>
    </row>
    <row r="1900" spans="1:29">
      <c r="A1900" t="s">
        <v>6531</v>
      </c>
      <c r="B1900" s="2">
        <v>45892</v>
      </c>
      <c r="C1900" t="s">
        <v>1436</v>
      </c>
      <c r="D1900" t="s">
        <v>1127</v>
      </c>
      <c r="E1900" t="s">
        <v>6532</v>
      </c>
      <c r="F1900" t="s">
        <v>6533</v>
      </c>
      <c r="G1900" t="s">
        <v>69</v>
      </c>
      <c r="H1900" t="s">
        <v>193</v>
      </c>
      <c r="I1900" t="s">
        <v>49</v>
      </c>
      <c r="J1900" t="s">
        <v>50</v>
      </c>
      <c r="K1900" t="s">
        <v>194</v>
      </c>
      <c r="L1900" t="s">
        <v>115</v>
      </c>
      <c r="M1900" t="s">
        <v>90</v>
      </c>
      <c r="N1900" t="s">
        <v>91</v>
      </c>
      <c r="O1900" s="3">
        <v>450000</v>
      </c>
      <c r="P1900" s="4">
        <v>50</v>
      </c>
      <c r="Q1900" s="2">
        <v>45954</v>
      </c>
      <c r="R1900" s="2">
        <v>46201</v>
      </c>
      <c r="S1900" s="2">
        <v>45922</v>
      </c>
      <c r="T1900" s="2"/>
      <c r="U1900" t="str">
        <f t="shared" si="203"/>
        <v>No</v>
      </c>
      <c r="W19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0" t="str">
        <f t="shared" ca="1" si="204"/>
        <v>Due/Open</v>
      </c>
      <c r="Y1900" t="str">
        <f t="shared" si="205"/>
        <v>Open</v>
      </c>
      <c r="Z1900" t="str">
        <f t="shared" si="206"/>
        <v>Aug-2025</v>
      </c>
      <c r="AA1900" t="str">
        <f t="shared" si="207"/>
        <v>Q3 2025</v>
      </c>
      <c r="AB1900" s="4">
        <f t="shared" ca="1" si="208"/>
        <v>307</v>
      </c>
      <c r="AC1900" t="str">
        <f t="shared" si="209"/>
        <v>High</v>
      </c>
    </row>
    <row r="1901" spans="1:29">
      <c r="A1901" t="s">
        <v>6534</v>
      </c>
      <c r="B1901" s="2">
        <v>45928</v>
      </c>
      <c r="C1901" t="s">
        <v>1156</v>
      </c>
      <c r="D1901" t="s">
        <v>322</v>
      </c>
      <c r="E1901" t="s">
        <v>6535</v>
      </c>
      <c r="F1901" t="s">
        <v>6536</v>
      </c>
      <c r="G1901" t="s">
        <v>69</v>
      </c>
      <c r="H1901" t="s">
        <v>200</v>
      </c>
      <c r="I1901" t="s">
        <v>36</v>
      </c>
      <c r="J1901" t="s">
        <v>99</v>
      </c>
      <c r="K1901" t="s">
        <v>194</v>
      </c>
      <c r="L1901" t="s">
        <v>142</v>
      </c>
      <c r="M1901" t="s">
        <v>82</v>
      </c>
      <c r="N1901" t="s">
        <v>83</v>
      </c>
      <c r="O1901" s="3">
        <v>625000</v>
      </c>
      <c r="P1901" s="4">
        <v>10</v>
      </c>
      <c r="Q1901" s="2">
        <v>45948</v>
      </c>
      <c r="R1901" s="2">
        <v>46215</v>
      </c>
      <c r="S1901" s="2">
        <v>45943</v>
      </c>
      <c r="T1901" s="2"/>
      <c r="U1901" t="str">
        <f t="shared" si="203"/>
        <v>No</v>
      </c>
      <c r="W19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1" t="str">
        <f t="shared" ca="1" si="204"/>
        <v>Due/Open</v>
      </c>
      <c r="Y1901" t="str">
        <f t="shared" si="205"/>
        <v>Open</v>
      </c>
      <c r="Z1901" t="str">
        <f t="shared" si="206"/>
        <v>Sep-2025</v>
      </c>
      <c r="AA1901" t="str">
        <f t="shared" si="207"/>
        <v>Q3 2025</v>
      </c>
      <c r="AB1901" s="4">
        <f t="shared" ca="1" si="208"/>
        <v>271</v>
      </c>
      <c r="AC1901" t="str">
        <f t="shared" si="209"/>
        <v>High</v>
      </c>
    </row>
    <row r="1902" spans="1:29">
      <c r="A1902" t="s">
        <v>6537</v>
      </c>
      <c r="B1902" s="2">
        <v>45998</v>
      </c>
      <c r="C1902" t="s">
        <v>3507</v>
      </c>
      <c r="D1902" t="s">
        <v>464</v>
      </c>
      <c r="E1902" t="s">
        <v>6538</v>
      </c>
      <c r="F1902" t="s">
        <v>6539</v>
      </c>
      <c r="G1902" t="s">
        <v>79</v>
      </c>
      <c r="H1902" t="s">
        <v>106</v>
      </c>
      <c r="I1902" t="s">
        <v>123</v>
      </c>
      <c r="J1902" t="s">
        <v>99</v>
      </c>
      <c r="K1902" t="s">
        <v>51</v>
      </c>
      <c r="L1902" t="s">
        <v>107</v>
      </c>
      <c r="M1902" t="s">
        <v>133</v>
      </c>
      <c r="N1902" t="s">
        <v>134</v>
      </c>
      <c r="O1902" s="3">
        <v>560000</v>
      </c>
      <c r="P1902" s="4">
        <v>0</v>
      </c>
      <c r="Q1902" s="2">
        <v>46063</v>
      </c>
      <c r="R1902" s="2"/>
      <c r="S1902" s="2">
        <v>46028</v>
      </c>
      <c r="T1902" s="2">
        <v>46063</v>
      </c>
      <c r="U1902" t="str">
        <f t="shared" si="203"/>
        <v>No</v>
      </c>
      <c r="V1902" t="s">
        <v>276</v>
      </c>
      <c r="W190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65</v>
      </c>
      <c r="X1902" t="str">
        <f t="shared" ca="1" si="204"/>
        <v>Closed</v>
      </c>
      <c r="Y1902" t="str">
        <f t="shared" si="205"/>
        <v>Closed</v>
      </c>
      <c r="Z1902" t="str">
        <f t="shared" si="206"/>
        <v>Dec-2025</v>
      </c>
      <c r="AA1902" t="str">
        <f t="shared" si="207"/>
        <v>Q4 2025</v>
      </c>
      <c r="AB1902" s="4">
        <f t="shared" ca="1" si="208"/>
        <v>201</v>
      </c>
      <c r="AC1902" t="str">
        <f t="shared" si="209"/>
        <v>High</v>
      </c>
    </row>
    <row r="1903" spans="1:29">
      <c r="A1903" t="s">
        <v>6540</v>
      </c>
      <c r="B1903" s="2">
        <v>46014</v>
      </c>
      <c r="C1903" t="s">
        <v>839</v>
      </c>
      <c r="D1903" t="s">
        <v>86</v>
      </c>
      <c r="E1903" t="s">
        <v>6541</v>
      </c>
      <c r="F1903" t="s">
        <v>6542</v>
      </c>
      <c r="G1903" t="s">
        <v>47</v>
      </c>
      <c r="H1903" t="s">
        <v>48</v>
      </c>
      <c r="I1903" t="s">
        <v>148</v>
      </c>
      <c r="J1903" t="s">
        <v>124</v>
      </c>
      <c r="K1903" t="s">
        <v>71</v>
      </c>
      <c r="L1903" t="s">
        <v>239</v>
      </c>
      <c r="M1903" t="s">
        <v>73</v>
      </c>
      <c r="N1903" t="s">
        <v>73</v>
      </c>
      <c r="O1903" s="3">
        <v>160000</v>
      </c>
      <c r="P1903" s="4">
        <v>85</v>
      </c>
      <c r="Q1903" s="2">
        <v>46037</v>
      </c>
      <c r="R1903" s="2">
        <v>46242</v>
      </c>
      <c r="S1903" s="2">
        <v>46038</v>
      </c>
      <c r="T1903" s="2"/>
      <c r="U1903" t="str">
        <f t="shared" si="203"/>
        <v>No</v>
      </c>
      <c r="W190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3" t="str">
        <f t="shared" ca="1" si="204"/>
        <v>Due/Open</v>
      </c>
      <c r="Y1903" t="str">
        <f t="shared" si="205"/>
        <v>Open</v>
      </c>
      <c r="Z1903" t="str">
        <f t="shared" si="206"/>
        <v>Dec-2025</v>
      </c>
      <c r="AA1903" t="str">
        <f t="shared" si="207"/>
        <v>Q4 2025</v>
      </c>
      <c r="AB1903" s="4">
        <f t="shared" ca="1" si="208"/>
        <v>185</v>
      </c>
      <c r="AC1903" t="str">
        <f t="shared" si="209"/>
        <v>Medium</v>
      </c>
    </row>
    <row r="1904" spans="1:29">
      <c r="A1904" t="s">
        <v>6543</v>
      </c>
      <c r="B1904" s="2">
        <v>46063</v>
      </c>
      <c r="C1904" t="s">
        <v>495</v>
      </c>
      <c r="D1904" t="s">
        <v>361</v>
      </c>
      <c r="E1904" t="s">
        <v>6544</v>
      </c>
      <c r="F1904" t="s">
        <v>6545</v>
      </c>
      <c r="G1904" t="s">
        <v>47</v>
      </c>
      <c r="H1904" t="s">
        <v>493</v>
      </c>
      <c r="I1904" t="s">
        <v>36</v>
      </c>
      <c r="J1904" t="s">
        <v>124</v>
      </c>
      <c r="K1904" t="s">
        <v>194</v>
      </c>
      <c r="L1904" t="s">
        <v>39</v>
      </c>
      <c r="M1904" t="s">
        <v>90</v>
      </c>
      <c r="N1904" t="s">
        <v>91</v>
      </c>
      <c r="O1904" s="3">
        <v>145000</v>
      </c>
      <c r="P1904" s="4">
        <v>40</v>
      </c>
      <c r="Q1904" s="2">
        <v>46151</v>
      </c>
      <c r="R1904" s="2">
        <v>46187</v>
      </c>
      <c r="S1904" s="2">
        <v>46081</v>
      </c>
      <c r="T1904" s="2"/>
      <c r="U1904" t="str">
        <f t="shared" si="203"/>
        <v>No</v>
      </c>
      <c r="W190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4" t="str">
        <f t="shared" ca="1" si="204"/>
        <v>Overdue</v>
      </c>
      <c r="Y1904" t="str">
        <f t="shared" si="205"/>
        <v>Open</v>
      </c>
      <c r="Z1904" t="str">
        <f t="shared" si="206"/>
        <v>Feb-2026</v>
      </c>
      <c r="AA1904" t="str">
        <f t="shared" si="207"/>
        <v>Q1 2026</v>
      </c>
      <c r="AB1904" s="4">
        <f t="shared" ca="1" si="208"/>
        <v>136</v>
      </c>
      <c r="AC1904" t="str">
        <f t="shared" si="209"/>
        <v>Medium</v>
      </c>
    </row>
    <row r="1905" spans="1:29">
      <c r="A1905" t="s">
        <v>6546</v>
      </c>
      <c r="B1905" s="2">
        <v>46019</v>
      </c>
      <c r="C1905" t="s">
        <v>1436</v>
      </c>
      <c r="D1905" t="s">
        <v>1012</v>
      </c>
      <c r="E1905" t="s">
        <v>6547</v>
      </c>
      <c r="F1905" t="s">
        <v>6548</v>
      </c>
      <c r="G1905" t="s">
        <v>34</v>
      </c>
      <c r="H1905" t="s">
        <v>238</v>
      </c>
      <c r="I1905" t="s">
        <v>141</v>
      </c>
      <c r="J1905" t="s">
        <v>99</v>
      </c>
      <c r="K1905" t="s">
        <v>100</v>
      </c>
      <c r="L1905" t="s">
        <v>63</v>
      </c>
      <c r="M1905" t="s">
        <v>90</v>
      </c>
      <c r="N1905" t="s">
        <v>91</v>
      </c>
      <c r="O1905" s="3">
        <v>470000</v>
      </c>
      <c r="P1905" s="4">
        <v>50</v>
      </c>
      <c r="Q1905" s="2">
        <v>46062</v>
      </c>
      <c r="R1905" s="2">
        <v>46223</v>
      </c>
      <c r="S1905" s="2">
        <v>46043</v>
      </c>
      <c r="T1905" s="2"/>
      <c r="U1905" t="str">
        <f t="shared" si="203"/>
        <v>No</v>
      </c>
      <c r="W190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5" t="str">
        <f t="shared" ca="1" si="204"/>
        <v>Due/Open</v>
      </c>
      <c r="Y1905" t="str">
        <f t="shared" si="205"/>
        <v>Open</v>
      </c>
      <c r="Z1905" t="str">
        <f t="shared" si="206"/>
        <v>Dec-2025</v>
      </c>
      <c r="AA1905" t="str">
        <f t="shared" si="207"/>
        <v>Q4 2025</v>
      </c>
      <c r="AB1905" s="4">
        <f t="shared" ca="1" si="208"/>
        <v>180</v>
      </c>
      <c r="AC1905" t="str">
        <f t="shared" si="209"/>
        <v>High</v>
      </c>
    </row>
    <row r="1906" spans="1:29">
      <c r="A1906" t="s">
        <v>6549</v>
      </c>
      <c r="B1906" s="2">
        <v>45724</v>
      </c>
      <c r="C1906" t="s">
        <v>356</v>
      </c>
      <c r="D1906" t="s">
        <v>138</v>
      </c>
      <c r="E1906" t="s">
        <v>6550</v>
      </c>
      <c r="F1906" t="s">
        <v>6551</v>
      </c>
      <c r="G1906" t="s">
        <v>34</v>
      </c>
      <c r="H1906" t="s">
        <v>173</v>
      </c>
      <c r="I1906" t="s">
        <v>187</v>
      </c>
      <c r="J1906" t="s">
        <v>124</v>
      </c>
      <c r="K1906" t="s">
        <v>38</v>
      </c>
      <c r="L1906" t="s">
        <v>39</v>
      </c>
      <c r="M1906" t="s">
        <v>53</v>
      </c>
      <c r="N1906" t="s">
        <v>54</v>
      </c>
      <c r="O1906" s="3">
        <v>185000</v>
      </c>
      <c r="P1906" s="4">
        <v>30</v>
      </c>
      <c r="Q1906" s="2">
        <v>45815</v>
      </c>
      <c r="R1906" s="2">
        <v>46190</v>
      </c>
      <c r="S1906" s="2">
        <v>45736</v>
      </c>
      <c r="T1906" s="2"/>
      <c r="U1906" t="str">
        <f t="shared" si="203"/>
        <v>No</v>
      </c>
      <c r="W190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6" t="str">
        <f t="shared" ca="1" si="204"/>
        <v>Overdue</v>
      </c>
      <c r="Y1906" t="str">
        <f t="shared" si="205"/>
        <v>Open</v>
      </c>
      <c r="Z1906" t="str">
        <f t="shared" si="206"/>
        <v>Mar-2025</v>
      </c>
      <c r="AA1906" t="str">
        <f t="shared" si="207"/>
        <v>Q1 2025</v>
      </c>
      <c r="AB1906" s="4">
        <f t="shared" ca="1" si="208"/>
        <v>475</v>
      </c>
      <c r="AC1906" t="str">
        <f t="shared" si="209"/>
        <v>Medium</v>
      </c>
    </row>
    <row r="1907" spans="1:29">
      <c r="A1907" t="s">
        <v>6552</v>
      </c>
      <c r="B1907" s="2">
        <v>45992</v>
      </c>
      <c r="C1907" t="s">
        <v>2956</v>
      </c>
      <c r="D1907" t="s">
        <v>389</v>
      </c>
      <c r="E1907" t="s">
        <v>6553</v>
      </c>
      <c r="F1907" t="s">
        <v>6554</v>
      </c>
      <c r="G1907" t="s">
        <v>179</v>
      </c>
      <c r="H1907" t="s">
        <v>180</v>
      </c>
      <c r="I1907" t="s">
        <v>98</v>
      </c>
      <c r="J1907" t="s">
        <v>62</v>
      </c>
      <c r="K1907" t="s">
        <v>38</v>
      </c>
      <c r="L1907" t="s">
        <v>239</v>
      </c>
      <c r="M1907" t="s">
        <v>82</v>
      </c>
      <c r="N1907" t="s">
        <v>83</v>
      </c>
      <c r="O1907" s="3">
        <v>160000</v>
      </c>
      <c r="P1907" s="4">
        <v>10</v>
      </c>
      <c r="Q1907" s="2">
        <v>46061</v>
      </c>
      <c r="R1907" s="2">
        <v>46200</v>
      </c>
      <c r="S1907" s="2">
        <v>46003</v>
      </c>
      <c r="T1907" s="2"/>
      <c r="U1907" t="str">
        <f t="shared" si="203"/>
        <v>No</v>
      </c>
      <c r="W190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7" t="str">
        <f t="shared" ca="1" si="204"/>
        <v>Due/Open</v>
      </c>
      <c r="Y1907" t="str">
        <f t="shared" si="205"/>
        <v>Open</v>
      </c>
      <c r="Z1907" t="str">
        <f t="shared" si="206"/>
        <v>Dec-2025</v>
      </c>
      <c r="AA1907" t="str">
        <f t="shared" si="207"/>
        <v>Q4 2025</v>
      </c>
      <c r="AB1907" s="4">
        <f t="shared" ca="1" si="208"/>
        <v>207</v>
      </c>
      <c r="AC1907" t="str">
        <f t="shared" si="209"/>
        <v>Medium</v>
      </c>
    </row>
    <row r="1908" spans="1:29">
      <c r="A1908" t="s">
        <v>6555</v>
      </c>
      <c r="B1908" s="2">
        <v>45993</v>
      </c>
      <c r="C1908" t="s">
        <v>3311</v>
      </c>
      <c r="D1908" t="s">
        <v>1701</v>
      </c>
      <c r="E1908" t="s">
        <v>6556</v>
      </c>
      <c r="F1908" t="s">
        <v>6557</v>
      </c>
      <c r="G1908" t="s">
        <v>47</v>
      </c>
      <c r="H1908" t="s">
        <v>493</v>
      </c>
      <c r="I1908" t="s">
        <v>98</v>
      </c>
      <c r="J1908" t="s">
        <v>37</v>
      </c>
      <c r="K1908" t="s">
        <v>51</v>
      </c>
      <c r="L1908" t="s">
        <v>63</v>
      </c>
      <c r="M1908" t="s">
        <v>166</v>
      </c>
      <c r="N1908" t="s">
        <v>167</v>
      </c>
      <c r="O1908" s="3">
        <v>50000</v>
      </c>
      <c r="P1908" s="4">
        <v>70</v>
      </c>
      <c r="Q1908" s="2">
        <v>46046</v>
      </c>
      <c r="R1908" s="2">
        <v>46241</v>
      </c>
      <c r="S1908" s="2">
        <v>45999</v>
      </c>
      <c r="T1908" s="2"/>
      <c r="U1908" t="str">
        <f t="shared" si="203"/>
        <v>No</v>
      </c>
      <c r="W190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8" t="str">
        <f t="shared" ca="1" si="204"/>
        <v>Due/Open</v>
      </c>
      <c r="Y1908" t="str">
        <f t="shared" si="205"/>
        <v>Open</v>
      </c>
      <c r="Z1908" t="str">
        <f t="shared" si="206"/>
        <v>Dec-2025</v>
      </c>
      <c r="AA1908" t="str">
        <f t="shared" si="207"/>
        <v>Q4 2025</v>
      </c>
      <c r="AB1908" s="4">
        <f t="shared" ca="1" si="208"/>
        <v>206</v>
      </c>
      <c r="AC1908" t="str">
        <f t="shared" si="209"/>
        <v>Low</v>
      </c>
    </row>
    <row r="1909" spans="1:29">
      <c r="A1909" t="s">
        <v>6558</v>
      </c>
      <c r="B1909" s="2">
        <v>45987</v>
      </c>
      <c r="C1909" t="s">
        <v>614</v>
      </c>
      <c r="D1909" t="s">
        <v>1868</v>
      </c>
      <c r="E1909" t="s">
        <v>6559</v>
      </c>
      <c r="F1909" t="s">
        <v>6560</v>
      </c>
      <c r="G1909" t="s">
        <v>179</v>
      </c>
      <c r="H1909" t="s">
        <v>436</v>
      </c>
      <c r="I1909" t="s">
        <v>61</v>
      </c>
      <c r="J1909" t="s">
        <v>131</v>
      </c>
      <c r="K1909" t="s">
        <v>100</v>
      </c>
      <c r="L1909" t="s">
        <v>81</v>
      </c>
      <c r="M1909" t="s">
        <v>166</v>
      </c>
      <c r="N1909" t="s">
        <v>167</v>
      </c>
      <c r="O1909" s="3">
        <v>95000</v>
      </c>
      <c r="P1909" s="4">
        <v>60</v>
      </c>
      <c r="Q1909" s="2">
        <v>46008</v>
      </c>
      <c r="R1909" s="2">
        <v>46158</v>
      </c>
      <c r="S1909" s="2">
        <v>45991</v>
      </c>
      <c r="T1909" s="2"/>
      <c r="U1909" t="str">
        <f t="shared" si="203"/>
        <v>No</v>
      </c>
      <c r="W190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09" t="str">
        <f t="shared" ca="1" si="204"/>
        <v>Overdue</v>
      </c>
      <c r="Y1909" t="str">
        <f t="shared" si="205"/>
        <v>Open</v>
      </c>
      <c r="Z1909" t="str">
        <f t="shared" si="206"/>
        <v>Nov-2025</v>
      </c>
      <c r="AA1909" t="str">
        <f t="shared" si="207"/>
        <v>Q4 2025</v>
      </c>
      <c r="AB1909" s="4">
        <f t="shared" ca="1" si="208"/>
        <v>212</v>
      </c>
      <c r="AC1909" t="str">
        <f t="shared" si="209"/>
        <v>Low</v>
      </c>
    </row>
    <row r="1910" spans="1:29">
      <c r="A1910" t="s">
        <v>6561</v>
      </c>
      <c r="B1910" s="2">
        <v>46006</v>
      </c>
      <c r="C1910" t="s">
        <v>442</v>
      </c>
      <c r="D1910" t="s">
        <v>2211</v>
      </c>
      <c r="E1910" t="s">
        <v>6562</v>
      </c>
      <c r="F1910" t="s">
        <v>6563</v>
      </c>
      <c r="G1910" t="s">
        <v>79</v>
      </c>
      <c r="H1910" t="s">
        <v>260</v>
      </c>
      <c r="I1910" t="s">
        <v>187</v>
      </c>
      <c r="J1910" t="s">
        <v>62</v>
      </c>
      <c r="K1910" t="s">
        <v>100</v>
      </c>
      <c r="L1910" t="s">
        <v>132</v>
      </c>
      <c r="M1910" t="s">
        <v>53</v>
      </c>
      <c r="N1910" t="s">
        <v>54</v>
      </c>
      <c r="O1910" s="3">
        <v>425000</v>
      </c>
      <c r="P1910" s="4">
        <v>35</v>
      </c>
      <c r="Q1910" s="2">
        <v>46029</v>
      </c>
      <c r="R1910" s="2">
        <v>46190</v>
      </c>
      <c r="S1910" s="2">
        <v>46007</v>
      </c>
      <c r="T1910" s="2"/>
      <c r="U1910" t="str">
        <f t="shared" si="203"/>
        <v>No</v>
      </c>
      <c r="W191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0" t="str">
        <f t="shared" ca="1" si="204"/>
        <v>Overdue</v>
      </c>
      <c r="Y1910" t="str">
        <f t="shared" si="205"/>
        <v>Open</v>
      </c>
      <c r="Z1910" t="str">
        <f t="shared" si="206"/>
        <v>Dec-2025</v>
      </c>
      <c r="AA1910" t="str">
        <f t="shared" si="207"/>
        <v>Q4 2025</v>
      </c>
      <c r="AB1910" s="4">
        <f t="shared" ca="1" si="208"/>
        <v>193</v>
      </c>
      <c r="AC1910" t="str">
        <f t="shared" si="209"/>
        <v>High</v>
      </c>
    </row>
    <row r="1911" spans="1:29">
      <c r="A1911" t="s">
        <v>6564</v>
      </c>
      <c r="B1911" s="2">
        <v>46008</v>
      </c>
      <c r="C1911" t="s">
        <v>771</v>
      </c>
      <c r="D1911" t="s">
        <v>2704</v>
      </c>
      <c r="E1911" t="s">
        <v>6565</v>
      </c>
      <c r="F1911" t="s">
        <v>6566</v>
      </c>
      <c r="G1911" t="s">
        <v>79</v>
      </c>
      <c r="H1911" t="s">
        <v>217</v>
      </c>
      <c r="I1911" t="s">
        <v>123</v>
      </c>
      <c r="J1911" t="s">
        <v>37</v>
      </c>
      <c r="K1911" t="s">
        <v>51</v>
      </c>
      <c r="L1911" t="s">
        <v>154</v>
      </c>
      <c r="M1911" t="s">
        <v>53</v>
      </c>
      <c r="N1911" t="s">
        <v>54</v>
      </c>
      <c r="O1911" s="3">
        <v>40000</v>
      </c>
      <c r="P1911" s="4">
        <v>35</v>
      </c>
      <c r="Q1911" s="2">
        <v>46077</v>
      </c>
      <c r="R1911" s="2">
        <v>46235</v>
      </c>
      <c r="S1911" s="2">
        <v>46016</v>
      </c>
      <c r="T1911" s="2"/>
      <c r="U1911" t="str">
        <f t="shared" si="203"/>
        <v>No</v>
      </c>
      <c r="W191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1" t="str">
        <f t="shared" ca="1" si="204"/>
        <v>Due/Open</v>
      </c>
      <c r="Y1911" t="str">
        <f t="shared" si="205"/>
        <v>Open</v>
      </c>
      <c r="Z1911" t="str">
        <f t="shared" si="206"/>
        <v>Dec-2025</v>
      </c>
      <c r="AA1911" t="str">
        <f t="shared" si="207"/>
        <v>Q4 2025</v>
      </c>
      <c r="AB1911" s="4">
        <f t="shared" ca="1" si="208"/>
        <v>191</v>
      </c>
      <c r="AC1911" t="str">
        <f t="shared" si="209"/>
        <v>Low</v>
      </c>
    </row>
    <row r="1912" spans="1:29">
      <c r="A1912" t="s">
        <v>6567</v>
      </c>
      <c r="B1912" s="2">
        <v>45936</v>
      </c>
      <c r="C1912" t="s">
        <v>458</v>
      </c>
      <c r="D1912" t="s">
        <v>1404</v>
      </c>
      <c r="E1912" t="s">
        <v>6568</v>
      </c>
      <c r="F1912" t="s">
        <v>6569</v>
      </c>
      <c r="G1912" t="s">
        <v>69</v>
      </c>
      <c r="H1912" t="s">
        <v>200</v>
      </c>
      <c r="I1912" t="s">
        <v>148</v>
      </c>
      <c r="J1912" t="s">
        <v>50</v>
      </c>
      <c r="K1912" t="s">
        <v>194</v>
      </c>
      <c r="L1912" t="s">
        <v>154</v>
      </c>
      <c r="M1912" t="s">
        <v>40</v>
      </c>
      <c r="N1912" t="s">
        <v>41</v>
      </c>
      <c r="O1912" s="3">
        <v>485000</v>
      </c>
      <c r="P1912" s="4">
        <v>100</v>
      </c>
      <c r="Q1912" s="2">
        <v>45981</v>
      </c>
      <c r="R1912" s="2"/>
      <c r="S1912" s="2">
        <v>45962</v>
      </c>
      <c r="T1912" s="2">
        <v>45981</v>
      </c>
      <c r="U1912" t="str">
        <f t="shared" si="203"/>
        <v>Yes</v>
      </c>
      <c r="W191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45</v>
      </c>
      <c r="X1912" t="str">
        <f t="shared" ca="1" si="204"/>
        <v>Closed</v>
      </c>
      <c r="Y1912" t="str">
        <f t="shared" si="205"/>
        <v>Closed</v>
      </c>
      <c r="Z1912" t="str">
        <f t="shared" si="206"/>
        <v>Oct-2025</v>
      </c>
      <c r="AA1912" t="str">
        <f t="shared" si="207"/>
        <v>Q4 2025</v>
      </c>
      <c r="AB1912" s="4">
        <f t="shared" ca="1" si="208"/>
        <v>263</v>
      </c>
      <c r="AC1912" t="str">
        <f t="shared" si="209"/>
        <v>High</v>
      </c>
    </row>
    <row r="1913" spans="1:29">
      <c r="A1913" t="s">
        <v>6570</v>
      </c>
      <c r="B1913" s="2">
        <v>45747</v>
      </c>
      <c r="C1913" t="s">
        <v>2939</v>
      </c>
      <c r="D1913" t="s">
        <v>557</v>
      </c>
      <c r="E1913" t="s">
        <v>6571</v>
      </c>
      <c r="F1913" t="s">
        <v>6572</v>
      </c>
      <c r="G1913" t="s">
        <v>34</v>
      </c>
      <c r="H1913" t="s">
        <v>35</v>
      </c>
      <c r="I1913" t="s">
        <v>187</v>
      </c>
      <c r="J1913" t="s">
        <v>37</v>
      </c>
      <c r="K1913" t="s">
        <v>114</v>
      </c>
      <c r="L1913" t="s">
        <v>115</v>
      </c>
      <c r="M1913" t="s">
        <v>40</v>
      </c>
      <c r="N1913" t="s">
        <v>41</v>
      </c>
      <c r="O1913" s="3">
        <v>150000</v>
      </c>
      <c r="P1913" s="4">
        <v>100</v>
      </c>
      <c r="Q1913" s="2">
        <v>45758</v>
      </c>
      <c r="R1913" s="2"/>
      <c r="S1913" s="2">
        <v>45775</v>
      </c>
      <c r="T1913" s="2">
        <v>45758</v>
      </c>
      <c r="U1913" t="str">
        <f t="shared" si="203"/>
        <v>Yes</v>
      </c>
      <c r="W191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11</v>
      </c>
      <c r="X1913" t="str">
        <f t="shared" ca="1" si="204"/>
        <v>Closed</v>
      </c>
      <c r="Y1913" t="str">
        <f t="shared" si="205"/>
        <v>Closed</v>
      </c>
      <c r="Z1913" t="str">
        <f t="shared" si="206"/>
        <v>Mar-2025</v>
      </c>
      <c r="AA1913" t="str">
        <f t="shared" si="207"/>
        <v>Q1 2025</v>
      </c>
      <c r="AB1913" s="4">
        <f t="shared" ca="1" si="208"/>
        <v>452</v>
      </c>
      <c r="AC1913" t="str">
        <f t="shared" si="209"/>
        <v>Medium</v>
      </c>
    </row>
    <row r="1914" spans="1:29">
      <c r="A1914" t="s">
        <v>6573</v>
      </c>
      <c r="B1914" s="2">
        <v>45746</v>
      </c>
      <c r="C1914" t="s">
        <v>5390</v>
      </c>
      <c r="D1914" t="s">
        <v>1183</v>
      </c>
      <c r="E1914" t="s">
        <v>6574</v>
      </c>
      <c r="F1914" t="s">
        <v>6575</v>
      </c>
      <c r="G1914" t="s">
        <v>69</v>
      </c>
      <c r="H1914" t="s">
        <v>270</v>
      </c>
      <c r="I1914" t="s">
        <v>148</v>
      </c>
      <c r="J1914" t="s">
        <v>37</v>
      </c>
      <c r="K1914" t="s">
        <v>100</v>
      </c>
      <c r="L1914" t="s">
        <v>154</v>
      </c>
      <c r="M1914" t="s">
        <v>53</v>
      </c>
      <c r="N1914" t="s">
        <v>54</v>
      </c>
      <c r="O1914" s="3">
        <v>150000</v>
      </c>
      <c r="P1914" s="4">
        <v>25</v>
      </c>
      <c r="Q1914" s="2">
        <v>45788</v>
      </c>
      <c r="R1914" s="2">
        <v>46239</v>
      </c>
      <c r="S1914" s="2">
        <v>45771</v>
      </c>
      <c r="T1914" s="2"/>
      <c r="U1914" t="str">
        <f t="shared" si="203"/>
        <v>No</v>
      </c>
      <c r="W191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4" t="str">
        <f t="shared" ca="1" si="204"/>
        <v>Due/Open</v>
      </c>
      <c r="Y1914" t="str">
        <f t="shared" si="205"/>
        <v>Open</v>
      </c>
      <c r="Z1914" t="str">
        <f t="shared" si="206"/>
        <v>Mar-2025</v>
      </c>
      <c r="AA1914" t="str">
        <f t="shared" si="207"/>
        <v>Q1 2025</v>
      </c>
      <c r="AB1914" s="4">
        <f t="shared" ca="1" si="208"/>
        <v>453</v>
      </c>
      <c r="AC1914" t="str">
        <f t="shared" si="209"/>
        <v>Medium</v>
      </c>
    </row>
    <row r="1915" spans="1:29">
      <c r="A1915" t="s">
        <v>6576</v>
      </c>
      <c r="B1915" s="2">
        <v>45964</v>
      </c>
      <c r="C1915" t="s">
        <v>6577</v>
      </c>
      <c r="D1915" t="s">
        <v>645</v>
      </c>
      <c r="E1915" t="s">
        <v>6578</v>
      </c>
      <c r="F1915" t="s">
        <v>6579</v>
      </c>
      <c r="G1915" t="s">
        <v>34</v>
      </c>
      <c r="H1915" t="s">
        <v>35</v>
      </c>
      <c r="I1915" t="s">
        <v>123</v>
      </c>
      <c r="J1915" t="s">
        <v>37</v>
      </c>
      <c r="K1915" t="s">
        <v>71</v>
      </c>
      <c r="L1915" t="s">
        <v>52</v>
      </c>
      <c r="M1915" t="s">
        <v>82</v>
      </c>
      <c r="N1915" t="s">
        <v>83</v>
      </c>
      <c r="O1915" s="3">
        <v>35000</v>
      </c>
      <c r="P1915" s="4">
        <v>5</v>
      </c>
      <c r="Q1915" s="2">
        <v>46038</v>
      </c>
      <c r="R1915" s="2">
        <v>46201</v>
      </c>
      <c r="S1915" s="2">
        <v>45987</v>
      </c>
      <c r="T1915" s="2"/>
      <c r="U1915" t="str">
        <f t="shared" si="203"/>
        <v>No</v>
      </c>
      <c r="W191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5" t="str">
        <f t="shared" ca="1" si="204"/>
        <v>Due/Open</v>
      </c>
      <c r="Y1915" t="str">
        <f t="shared" si="205"/>
        <v>Open</v>
      </c>
      <c r="Z1915" t="str">
        <f t="shared" si="206"/>
        <v>Nov-2025</v>
      </c>
      <c r="AA1915" t="str">
        <f t="shared" si="207"/>
        <v>Q4 2025</v>
      </c>
      <c r="AB1915" s="4">
        <f t="shared" ca="1" si="208"/>
        <v>235</v>
      </c>
      <c r="AC1915" t="str">
        <f t="shared" si="209"/>
        <v>Low</v>
      </c>
    </row>
    <row r="1916" spans="1:29">
      <c r="A1916" t="s">
        <v>6580</v>
      </c>
      <c r="B1916" s="2">
        <v>45766</v>
      </c>
      <c r="C1916" t="s">
        <v>2518</v>
      </c>
      <c r="D1916" t="s">
        <v>1052</v>
      </c>
      <c r="E1916" t="s">
        <v>6581</v>
      </c>
      <c r="F1916" t="s">
        <v>6582</v>
      </c>
      <c r="G1916" t="s">
        <v>47</v>
      </c>
      <c r="H1916" t="s">
        <v>113</v>
      </c>
      <c r="I1916" t="s">
        <v>36</v>
      </c>
      <c r="J1916" t="s">
        <v>124</v>
      </c>
      <c r="K1916" t="s">
        <v>38</v>
      </c>
      <c r="L1916" t="s">
        <v>154</v>
      </c>
      <c r="M1916" t="s">
        <v>116</v>
      </c>
      <c r="N1916" t="s">
        <v>54</v>
      </c>
      <c r="O1916" s="3">
        <v>105000</v>
      </c>
      <c r="P1916" s="4">
        <v>25</v>
      </c>
      <c r="Q1916" s="2">
        <v>45851</v>
      </c>
      <c r="R1916" s="2">
        <v>46191</v>
      </c>
      <c r="S1916" s="2">
        <v>45795</v>
      </c>
      <c r="T1916" s="2"/>
      <c r="U1916" t="str">
        <f t="shared" si="203"/>
        <v>No</v>
      </c>
      <c r="W191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6" t="str">
        <f t="shared" ca="1" si="204"/>
        <v>Overdue</v>
      </c>
      <c r="Y1916" t="str">
        <f t="shared" si="205"/>
        <v>Open</v>
      </c>
      <c r="Z1916" t="str">
        <f t="shared" si="206"/>
        <v>Apr-2025</v>
      </c>
      <c r="AA1916" t="str">
        <f t="shared" si="207"/>
        <v>Q2 2025</v>
      </c>
      <c r="AB1916" s="4">
        <f t="shared" ca="1" si="208"/>
        <v>433</v>
      </c>
      <c r="AC1916" t="str">
        <f t="shared" si="209"/>
        <v>Low</v>
      </c>
    </row>
    <row r="1917" spans="1:29">
      <c r="A1917" t="s">
        <v>6583</v>
      </c>
      <c r="B1917" s="2">
        <v>45892</v>
      </c>
      <c r="C1917" t="s">
        <v>538</v>
      </c>
      <c r="D1917" t="s">
        <v>522</v>
      </c>
      <c r="E1917" t="s">
        <v>6584</v>
      </c>
      <c r="F1917" t="s">
        <v>6585</v>
      </c>
      <c r="G1917" t="s">
        <v>179</v>
      </c>
      <c r="H1917" t="s">
        <v>436</v>
      </c>
      <c r="I1917" t="s">
        <v>36</v>
      </c>
      <c r="J1917" t="s">
        <v>50</v>
      </c>
      <c r="K1917" t="s">
        <v>114</v>
      </c>
      <c r="L1917" t="s">
        <v>81</v>
      </c>
      <c r="M1917" t="s">
        <v>53</v>
      </c>
      <c r="N1917" t="s">
        <v>54</v>
      </c>
      <c r="O1917" s="3">
        <v>445000</v>
      </c>
      <c r="P1917" s="4">
        <v>25</v>
      </c>
      <c r="Q1917" s="2">
        <v>45959</v>
      </c>
      <c r="R1917" s="2">
        <v>46218</v>
      </c>
      <c r="S1917" s="2">
        <v>45920</v>
      </c>
      <c r="T1917" s="2"/>
      <c r="U1917" t="str">
        <f t="shared" si="203"/>
        <v>No</v>
      </c>
      <c r="W191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7" t="str">
        <f t="shared" ca="1" si="204"/>
        <v>Due/Open</v>
      </c>
      <c r="Y1917" t="str">
        <f t="shared" si="205"/>
        <v>Open</v>
      </c>
      <c r="Z1917" t="str">
        <f t="shared" si="206"/>
        <v>Aug-2025</v>
      </c>
      <c r="AA1917" t="str">
        <f t="shared" si="207"/>
        <v>Q3 2025</v>
      </c>
      <c r="AB1917" s="4">
        <f t="shared" ca="1" si="208"/>
        <v>307</v>
      </c>
      <c r="AC1917" t="str">
        <f t="shared" si="209"/>
        <v>High</v>
      </c>
    </row>
    <row r="1918" spans="1:29">
      <c r="A1918" t="s">
        <v>6586</v>
      </c>
      <c r="B1918" s="2">
        <v>45800</v>
      </c>
      <c r="C1918" t="s">
        <v>546</v>
      </c>
      <c r="D1918" t="s">
        <v>1933</v>
      </c>
      <c r="E1918" t="s">
        <v>6587</v>
      </c>
      <c r="F1918" t="s">
        <v>6588</v>
      </c>
      <c r="G1918" t="s">
        <v>69</v>
      </c>
      <c r="H1918" t="s">
        <v>193</v>
      </c>
      <c r="I1918" t="s">
        <v>123</v>
      </c>
      <c r="J1918" t="s">
        <v>62</v>
      </c>
      <c r="K1918" t="s">
        <v>194</v>
      </c>
      <c r="L1918" t="s">
        <v>39</v>
      </c>
      <c r="M1918" t="s">
        <v>53</v>
      </c>
      <c r="N1918" t="s">
        <v>54</v>
      </c>
      <c r="O1918" s="3">
        <v>445000</v>
      </c>
      <c r="P1918" s="4">
        <v>25</v>
      </c>
      <c r="Q1918" s="2">
        <v>45892</v>
      </c>
      <c r="R1918" s="2">
        <v>46242</v>
      </c>
      <c r="S1918" s="2">
        <v>45820</v>
      </c>
      <c r="T1918" s="2"/>
      <c r="U1918" t="str">
        <f t="shared" si="203"/>
        <v>No</v>
      </c>
      <c r="W191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8" t="str">
        <f t="shared" ca="1" si="204"/>
        <v>Due/Open</v>
      </c>
      <c r="Y1918" t="str">
        <f t="shared" si="205"/>
        <v>Open</v>
      </c>
      <c r="Z1918" t="str">
        <f t="shared" si="206"/>
        <v>May-2025</v>
      </c>
      <c r="AA1918" t="str">
        <f t="shared" si="207"/>
        <v>Q2 2025</v>
      </c>
      <c r="AB1918" s="4">
        <f t="shared" ca="1" si="208"/>
        <v>399</v>
      </c>
      <c r="AC1918" t="str">
        <f t="shared" si="209"/>
        <v>High</v>
      </c>
    </row>
    <row r="1919" spans="1:29">
      <c r="A1919" t="s">
        <v>6589</v>
      </c>
      <c r="B1919" s="2">
        <v>45878</v>
      </c>
      <c r="C1919" t="s">
        <v>4436</v>
      </c>
      <c r="D1919" t="s">
        <v>517</v>
      </c>
      <c r="E1919" t="s">
        <v>6590</v>
      </c>
      <c r="F1919" t="s">
        <v>6591</v>
      </c>
      <c r="G1919" t="s">
        <v>69</v>
      </c>
      <c r="H1919" t="s">
        <v>200</v>
      </c>
      <c r="I1919" t="s">
        <v>98</v>
      </c>
      <c r="J1919" t="s">
        <v>37</v>
      </c>
      <c r="K1919" t="s">
        <v>100</v>
      </c>
      <c r="L1919" t="s">
        <v>239</v>
      </c>
      <c r="M1919" t="s">
        <v>53</v>
      </c>
      <c r="N1919" t="s">
        <v>54</v>
      </c>
      <c r="O1919" s="3">
        <v>45000</v>
      </c>
      <c r="P1919" s="4">
        <v>30</v>
      </c>
      <c r="Q1919" s="2">
        <v>45965</v>
      </c>
      <c r="R1919" s="2">
        <v>46208</v>
      </c>
      <c r="S1919" s="2">
        <v>45905</v>
      </c>
      <c r="T1919" s="2"/>
      <c r="U1919" t="str">
        <f t="shared" si="203"/>
        <v>No</v>
      </c>
      <c r="W191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19" t="str">
        <f t="shared" ca="1" si="204"/>
        <v>Due/Open</v>
      </c>
      <c r="Y1919" t="str">
        <f t="shared" si="205"/>
        <v>Open</v>
      </c>
      <c r="Z1919" t="str">
        <f t="shared" si="206"/>
        <v>Aug-2025</v>
      </c>
      <c r="AA1919" t="str">
        <f t="shared" si="207"/>
        <v>Q3 2025</v>
      </c>
      <c r="AB1919" s="4">
        <f t="shared" ca="1" si="208"/>
        <v>321</v>
      </c>
      <c r="AC1919" t="str">
        <f t="shared" si="209"/>
        <v>Low</v>
      </c>
    </row>
    <row r="1920" spans="1:29">
      <c r="A1920" t="s">
        <v>6592</v>
      </c>
      <c r="B1920" s="2">
        <v>45862</v>
      </c>
      <c r="C1920" t="s">
        <v>314</v>
      </c>
      <c r="D1920" t="s">
        <v>2179</v>
      </c>
      <c r="E1920" t="s">
        <v>6593</v>
      </c>
      <c r="F1920" t="s">
        <v>6594</v>
      </c>
      <c r="G1920" t="s">
        <v>34</v>
      </c>
      <c r="H1920" t="s">
        <v>446</v>
      </c>
      <c r="I1920" t="s">
        <v>123</v>
      </c>
      <c r="J1920" t="s">
        <v>131</v>
      </c>
      <c r="K1920" t="s">
        <v>114</v>
      </c>
      <c r="L1920" t="s">
        <v>142</v>
      </c>
      <c r="M1920" t="s">
        <v>40</v>
      </c>
      <c r="N1920" t="s">
        <v>41</v>
      </c>
      <c r="O1920" s="3">
        <v>95000</v>
      </c>
      <c r="P1920" s="4">
        <v>100</v>
      </c>
      <c r="Q1920" s="2">
        <v>45942</v>
      </c>
      <c r="R1920" s="2"/>
      <c r="S1920" s="2">
        <v>45866</v>
      </c>
      <c r="T1920" s="2">
        <v>45942</v>
      </c>
      <c r="U1920" t="str">
        <f t="shared" si="203"/>
        <v>Yes</v>
      </c>
      <c r="W192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80</v>
      </c>
      <c r="X1920" t="str">
        <f t="shared" ca="1" si="204"/>
        <v>Closed</v>
      </c>
      <c r="Y1920" t="str">
        <f t="shared" si="205"/>
        <v>Closed</v>
      </c>
      <c r="Z1920" t="str">
        <f t="shared" si="206"/>
        <v>Jul-2025</v>
      </c>
      <c r="AA1920" t="str">
        <f t="shared" si="207"/>
        <v>Q3 2025</v>
      </c>
      <c r="AB1920" s="4">
        <f t="shared" ca="1" si="208"/>
        <v>337</v>
      </c>
      <c r="AC1920" t="str">
        <f t="shared" si="209"/>
        <v>Low</v>
      </c>
    </row>
    <row r="1921" spans="1:29">
      <c r="A1921" t="s">
        <v>6595</v>
      </c>
      <c r="B1921" s="2">
        <v>46059</v>
      </c>
      <c r="C1921" t="s">
        <v>872</v>
      </c>
      <c r="D1921" t="s">
        <v>590</v>
      </c>
      <c r="E1921" t="s">
        <v>6596</v>
      </c>
      <c r="F1921" t="s">
        <v>6597</v>
      </c>
      <c r="G1921" t="s">
        <v>79</v>
      </c>
      <c r="H1921" t="s">
        <v>217</v>
      </c>
      <c r="I1921" t="s">
        <v>141</v>
      </c>
      <c r="J1921" t="s">
        <v>50</v>
      </c>
      <c r="K1921" t="s">
        <v>38</v>
      </c>
      <c r="L1921" t="s">
        <v>81</v>
      </c>
      <c r="M1921" t="s">
        <v>82</v>
      </c>
      <c r="N1921" t="s">
        <v>83</v>
      </c>
      <c r="O1921" s="3">
        <v>265000</v>
      </c>
      <c r="P1921" s="4">
        <v>5</v>
      </c>
      <c r="Q1921" s="2">
        <v>46132</v>
      </c>
      <c r="R1921" s="2">
        <v>46192</v>
      </c>
      <c r="S1921" s="2">
        <v>46080</v>
      </c>
      <c r="T1921" s="2"/>
      <c r="U1921" t="str">
        <f t="shared" si="203"/>
        <v>No</v>
      </c>
      <c r="W192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1" t="str">
        <f t="shared" ca="1" si="204"/>
        <v>Overdue</v>
      </c>
      <c r="Y1921" t="str">
        <f t="shared" si="205"/>
        <v>Open</v>
      </c>
      <c r="Z1921" t="str">
        <f t="shared" si="206"/>
        <v>Feb-2026</v>
      </c>
      <c r="AA1921" t="str">
        <f t="shared" si="207"/>
        <v>Q1 2026</v>
      </c>
      <c r="AB1921" s="4">
        <f t="shared" ca="1" si="208"/>
        <v>140</v>
      </c>
      <c r="AC1921" t="str">
        <f t="shared" si="209"/>
        <v>Medium</v>
      </c>
    </row>
    <row r="1922" spans="1:29">
      <c r="A1922" t="s">
        <v>6598</v>
      </c>
      <c r="B1922" s="2">
        <v>45713</v>
      </c>
      <c r="C1922" t="s">
        <v>1814</v>
      </c>
      <c r="D1922" t="s">
        <v>273</v>
      </c>
      <c r="E1922" t="s">
        <v>6599</v>
      </c>
      <c r="F1922" t="s">
        <v>6600</v>
      </c>
      <c r="G1922" t="s">
        <v>179</v>
      </c>
      <c r="H1922" t="s">
        <v>487</v>
      </c>
      <c r="I1922" t="s">
        <v>141</v>
      </c>
      <c r="J1922" t="s">
        <v>131</v>
      </c>
      <c r="K1922" t="s">
        <v>51</v>
      </c>
      <c r="L1922" t="s">
        <v>132</v>
      </c>
      <c r="M1922" t="s">
        <v>166</v>
      </c>
      <c r="N1922" t="s">
        <v>167</v>
      </c>
      <c r="O1922" s="3">
        <v>255000</v>
      </c>
      <c r="P1922" s="4">
        <v>70</v>
      </c>
      <c r="Q1922" s="2">
        <v>45804</v>
      </c>
      <c r="R1922" s="2">
        <v>46234</v>
      </c>
      <c r="S1922" s="2">
        <v>45743</v>
      </c>
      <c r="T1922" s="2"/>
      <c r="U1922" t="str">
        <f t="shared" ref="U1922:U1985" si="210">IF(M1922="Converted","Yes","No")</f>
        <v>No</v>
      </c>
      <c r="W192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2" t="str">
        <f t="shared" ref="X1922:X1985" ca="1" si="211">IF(OR(M1922="Converted",M1922="Lost",M1922="Not Interested"),"Closed",IF(R1922&lt;TODAY(),"Overdue","Due/Open"))</f>
        <v>Due/Open</v>
      </c>
      <c r="Y1922" t="str">
        <f t="shared" ref="Y1922:Y1985" si="212">IF(OR(M1922="Converted",M1922="Lost",M1922="Not Interested"),"Closed","Open")</f>
        <v>Open</v>
      </c>
      <c r="Z1922" t="str">
        <f t="shared" ref="Z1922:Z1985" si="213">TEXT(B1922,"mmm-yyyy")</f>
        <v>Feb-2025</v>
      </c>
      <c r="AA1922" t="str">
        <f t="shared" ref="AA1922:AA1985" si="214">"Q"&amp;ROUNDUP(MONTH(B1922)/3,0)&amp;" "&amp;YEAR(B1922)</f>
        <v>Q1 2025</v>
      </c>
      <c r="AB1922" s="4">
        <f t="shared" ref="AB1922:AB1985" ca="1" si="215">TODAY()-B1922</f>
        <v>486</v>
      </c>
      <c r="AC1922" t="str">
        <f t="shared" ref="AC1922:AC1985" si="216">IF(O1922&gt;=300000,"High",IF(O1922&gt;=120000,"Medium","Low"))</f>
        <v>Medium</v>
      </c>
    </row>
    <row r="1923" spans="1:29">
      <c r="A1923" t="s">
        <v>6601</v>
      </c>
      <c r="B1923" s="2">
        <v>45805</v>
      </c>
      <c r="C1923" t="s">
        <v>5759</v>
      </c>
      <c r="D1923" t="s">
        <v>981</v>
      </c>
      <c r="E1923" t="s">
        <v>6602</v>
      </c>
      <c r="F1923" t="s">
        <v>6603</v>
      </c>
      <c r="G1923" t="s">
        <v>79</v>
      </c>
      <c r="H1923" t="s">
        <v>80</v>
      </c>
      <c r="I1923" t="s">
        <v>49</v>
      </c>
      <c r="J1923" t="s">
        <v>50</v>
      </c>
      <c r="K1923" t="s">
        <v>51</v>
      </c>
      <c r="L1923" t="s">
        <v>132</v>
      </c>
      <c r="M1923" t="s">
        <v>73</v>
      </c>
      <c r="N1923" t="s">
        <v>73</v>
      </c>
      <c r="O1923" s="3">
        <v>495000</v>
      </c>
      <c r="P1923" s="4">
        <v>75</v>
      </c>
      <c r="Q1923" s="2">
        <v>45895</v>
      </c>
      <c r="R1923" s="2">
        <v>46180</v>
      </c>
      <c r="S1923" s="2">
        <v>45809</v>
      </c>
      <c r="T1923" s="2"/>
      <c r="U1923" t="str">
        <f t="shared" si="210"/>
        <v>No</v>
      </c>
      <c r="W192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3" t="str">
        <f t="shared" ca="1" si="211"/>
        <v>Overdue</v>
      </c>
      <c r="Y1923" t="str">
        <f t="shared" si="212"/>
        <v>Open</v>
      </c>
      <c r="Z1923" t="str">
        <f t="shared" si="213"/>
        <v>May-2025</v>
      </c>
      <c r="AA1923" t="str">
        <f t="shared" si="214"/>
        <v>Q2 2025</v>
      </c>
      <c r="AB1923" s="4">
        <f t="shared" ca="1" si="215"/>
        <v>394</v>
      </c>
      <c r="AC1923" t="str">
        <f t="shared" si="216"/>
        <v>High</v>
      </c>
    </row>
    <row r="1924" spans="1:29">
      <c r="A1924" t="s">
        <v>6604</v>
      </c>
      <c r="B1924" s="2">
        <v>46041</v>
      </c>
      <c r="C1924" t="s">
        <v>503</v>
      </c>
      <c r="D1924" t="s">
        <v>332</v>
      </c>
      <c r="E1924" t="s">
        <v>6605</v>
      </c>
      <c r="F1924" t="s">
        <v>6606</v>
      </c>
      <c r="G1924" t="s">
        <v>34</v>
      </c>
      <c r="H1924" t="s">
        <v>446</v>
      </c>
      <c r="I1924" t="s">
        <v>187</v>
      </c>
      <c r="J1924" t="s">
        <v>50</v>
      </c>
      <c r="K1924" t="s">
        <v>51</v>
      </c>
      <c r="L1924" t="s">
        <v>39</v>
      </c>
      <c r="M1924" t="s">
        <v>133</v>
      </c>
      <c r="N1924" t="s">
        <v>134</v>
      </c>
      <c r="O1924" s="3">
        <v>525000</v>
      </c>
      <c r="P1924" s="4">
        <v>0</v>
      </c>
      <c r="Q1924" s="2">
        <v>46102</v>
      </c>
      <c r="R1924" s="2"/>
      <c r="S1924" s="2">
        <v>46068</v>
      </c>
      <c r="T1924" s="2">
        <v>46102</v>
      </c>
      <c r="U1924" t="str">
        <f t="shared" si="210"/>
        <v>No</v>
      </c>
      <c r="V1924" t="s">
        <v>452</v>
      </c>
      <c r="W1924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61</v>
      </c>
      <c r="X1924" t="str">
        <f t="shared" ca="1" si="211"/>
        <v>Closed</v>
      </c>
      <c r="Y1924" t="str">
        <f t="shared" si="212"/>
        <v>Closed</v>
      </c>
      <c r="Z1924" t="str">
        <f t="shared" si="213"/>
        <v>Jan-2026</v>
      </c>
      <c r="AA1924" t="str">
        <f t="shared" si="214"/>
        <v>Q1 2026</v>
      </c>
      <c r="AB1924" s="4">
        <f t="shared" ca="1" si="215"/>
        <v>158</v>
      </c>
      <c r="AC1924" t="str">
        <f t="shared" si="216"/>
        <v>High</v>
      </c>
    </row>
    <row r="1925" spans="1:29">
      <c r="A1925" t="s">
        <v>6607</v>
      </c>
      <c r="B1925" s="2">
        <v>45673</v>
      </c>
      <c r="C1925" t="s">
        <v>6608</v>
      </c>
      <c r="D1925" t="s">
        <v>986</v>
      </c>
      <c r="E1925" t="s">
        <v>6609</v>
      </c>
      <c r="F1925" t="s">
        <v>6610</v>
      </c>
      <c r="G1925" t="s">
        <v>47</v>
      </c>
      <c r="H1925" t="s">
        <v>113</v>
      </c>
      <c r="I1925" t="s">
        <v>61</v>
      </c>
      <c r="J1925" t="s">
        <v>62</v>
      </c>
      <c r="K1925" t="s">
        <v>100</v>
      </c>
      <c r="L1925" t="s">
        <v>132</v>
      </c>
      <c r="M1925" t="s">
        <v>90</v>
      </c>
      <c r="N1925" t="s">
        <v>91</v>
      </c>
      <c r="O1925" s="3">
        <v>290000</v>
      </c>
      <c r="P1925" s="4">
        <v>40</v>
      </c>
      <c r="Q1925" s="2">
        <v>45700</v>
      </c>
      <c r="R1925" s="2">
        <v>46240</v>
      </c>
      <c r="S1925" s="2">
        <v>45701</v>
      </c>
      <c r="T1925" s="2"/>
      <c r="U1925" t="str">
        <f t="shared" si="210"/>
        <v>No</v>
      </c>
      <c r="W192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5" t="str">
        <f t="shared" ca="1" si="211"/>
        <v>Due/Open</v>
      </c>
      <c r="Y1925" t="str">
        <f t="shared" si="212"/>
        <v>Open</v>
      </c>
      <c r="Z1925" t="str">
        <f t="shared" si="213"/>
        <v>Jan-2025</v>
      </c>
      <c r="AA1925" t="str">
        <f t="shared" si="214"/>
        <v>Q1 2025</v>
      </c>
      <c r="AB1925" s="4">
        <f t="shared" ca="1" si="215"/>
        <v>526</v>
      </c>
      <c r="AC1925" t="str">
        <f t="shared" si="216"/>
        <v>Medium</v>
      </c>
    </row>
    <row r="1926" spans="1:29">
      <c r="A1926" t="s">
        <v>6611</v>
      </c>
      <c r="B1926" s="2">
        <v>45715</v>
      </c>
      <c r="C1926" t="s">
        <v>3758</v>
      </c>
      <c r="D1926" t="s">
        <v>242</v>
      </c>
      <c r="E1926" t="s">
        <v>6612</v>
      </c>
      <c r="F1926" t="s">
        <v>6613</v>
      </c>
      <c r="G1926" t="s">
        <v>69</v>
      </c>
      <c r="H1926" t="s">
        <v>312</v>
      </c>
      <c r="I1926" t="s">
        <v>61</v>
      </c>
      <c r="J1926" t="s">
        <v>62</v>
      </c>
      <c r="K1926" t="s">
        <v>51</v>
      </c>
      <c r="L1926" t="s">
        <v>142</v>
      </c>
      <c r="M1926" t="s">
        <v>116</v>
      </c>
      <c r="N1926" t="s">
        <v>54</v>
      </c>
      <c r="O1926" s="3">
        <v>365000</v>
      </c>
      <c r="P1926" s="4">
        <v>25</v>
      </c>
      <c r="Q1926" s="2">
        <v>45774</v>
      </c>
      <c r="R1926" s="2">
        <v>46182</v>
      </c>
      <c r="S1926" s="2">
        <v>45721</v>
      </c>
      <c r="T1926" s="2"/>
      <c r="U1926" t="str">
        <f t="shared" si="210"/>
        <v>No</v>
      </c>
      <c r="W192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6" t="str">
        <f t="shared" ca="1" si="211"/>
        <v>Overdue</v>
      </c>
      <c r="Y1926" t="str">
        <f t="shared" si="212"/>
        <v>Open</v>
      </c>
      <c r="Z1926" t="str">
        <f t="shared" si="213"/>
        <v>Feb-2025</v>
      </c>
      <c r="AA1926" t="str">
        <f t="shared" si="214"/>
        <v>Q1 2025</v>
      </c>
      <c r="AB1926" s="4">
        <f t="shared" ca="1" si="215"/>
        <v>484</v>
      </c>
      <c r="AC1926" t="str">
        <f t="shared" si="216"/>
        <v>High</v>
      </c>
    </row>
    <row r="1927" spans="1:29">
      <c r="A1927" t="s">
        <v>6614</v>
      </c>
      <c r="B1927" s="2">
        <v>46112</v>
      </c>
      <c r="C1927" t="s">
        <v>2261</v>
      </c>
      <c r="D1927" t="s">
        <v>231</v>
      </c>
      <c r="E1927" t="s">
        <v>6615</v>
      </c>
      <c r="F1927" t="s">
        <v>6616</v>
      </c>
      <c r="G1927" t="s">
        <v>34</v>
      </c>
      <c r="H1927" t="s">
        <v>160</v>
      </c>
      <c r="I1927" t="s">
        <v>98</v>
      </c>
      <c r="J1927" t="s">
        <v>124</v>
      </c>
      <c r="K1927" t="s">
        <v>51</v>
      </c>
      <c r="L1927" t="s">
        <v>239</v>
      </c>
      <c r="M1927" t="s">
        <v>166</v>
      </c>
      <c r="N1927" t="s">
        <v>167</v>
      </c>
      <c r="O1927" s="3">
        <v>290000</v>
      </c>
      <c r="P1927" s="4">
        <v>60</v>
      </c>
      <c r="Q1927" s="2">
        <v>46165</v>
      </c>
      <c r="R1927" s="2">
        <v>46232</v>
      </c>
      <c r="S1927" s="2">
        <v>46138</v>
      </c>
      <c r="T1927" s="2"/>
      <c r="U1927" t="str">
        <f t="shared" si="210"/>
        <v>No</v>
      </c>
      <c r="W192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7" t="str">
        <f t="shared" ca="1" si="211"/>
        <v>Due/Open</v>
      </c>
      <c r="Y1927" t="str">
        <f t="shared" si="212"/>
        <v>Open</v>
      </c>
      <c r="Z1927" t="str">
        <f t="shared" si="213"/>
        <v>Mar-2026</v>
      </c>
      <c r="AA1927" t="str">
        <f t="shared" si="214"/>
        <v>Q1 2026</v>
      </c>
      <c r="AB1927" s="4">
        <f t="shared" ca="1" si="215"/>
        <v>87</v>
      </c>
      <c r="AC1927" t="str">
        <f t="shared" si="216"/>
        <v>Medium</v>
      </c>
    </row>
    <row r="1928" spans="1:29">
      <c r="A1928" t="s">
        <v>6617</v>
      </c>
      <c r="B1928" s="2">
        <v>45786</v>
      </c>
      <c r="C1928" t="s">
        <v>5386</v>
      </c>
      <c r="D1928" t="s">
        <v>2897</v>
      </c>
      <c r="E1928" t="s">
        <v>6618</v>
      </c>
      <c r="F1928" t="s">
        <v>6619</v>
      </c>
      <c r="G1928" t="s">
        <v>79</v>
      </c>
      <c r="H1928" t="s">
        <v>80</v>
      </c>
      <c r="I1928" t="s">
        <v>123</v>
      </c>
      <c r="J1928" t="s">
        <v>99</v>
      </c>
      <c r="K1928" t="s">
        <v>194</v>
      </c>
      <c r="L1928" t="s">
        <v>115</v>
      </c>
      <c r="M1928" t="s">
        <v>116</v>
      </c>
      <c r="N1928" t="s">
        <v>54</v>
      </c>
      <c r="O1928" s="3">
        <v>175000</v>
      </c>
      <c r="P1928" s="4">
        <v>25</v>
      </c>
      <c r="Q1928" s="2">
        <v>45868</v>
      </c>
      <c r="R1928" s="2">
        <v>46172</v>
      </c>
      <c r="S1928" s="2">
        <v>45807</v>
      </c>
      <c r="T1928" s="2"/>
      <c r="U1928" t="str">
        <f t="shared" si="210"/>
        <v>No</v>
      </c>
      <c r="W192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28" t="str">
        <f t="shared" ca="1" si="211"/>
        <v>Overdue</v>
      </c>
      <c r="Y1928" t="str">
        <f t="shared" si="212"/>
        <v>Open</v>
      </c>
      <c r="Z1928" t="str">
        <f t="shared" si="213"/>
        <v>May-2025</v>
      </c>
      <c r="AA1928" t="str">
        <f t="shared" si="214"/>
        <v>Q2 2025</v>
      </c>
      <c r="AB1928" s="4">
        <f t="shared" ca="1" si="215"/>
        <v>413</v>
      </c>
      <c r="AC1928" t="str">
        <f t="shared" si="216"/>
        <v>Medium</v>
      </c>
    </row>
    <row r="1929" spans="1:29">
      <c r="A1929" t="s">
        <v>6620</v>
      </c>
      <c r="B1929" s="2">
        <v>46168</v>
      </c>
      <c r="C1929" t="s">
        <v>5325</v>
      </c>
      <c r="D1929" t="s">
        <v>1132</v>
      </c>
      <c r="E1929" t="s">
        <v>6621</v>
      </c>
      <c r="F1929" t="s">
        <v>6622</v>
      </c>
      <c r="G1929" t="s">
        <v>79</v>
      </c>
      <c r="H1929" t="s">
        <v>260</v>
      </c>
      <c r="I1929" t="s">
        <v>148</v>
      </c>
      <c r="J1929" t="s">
        <v>37</v>
      </c>
      <c r="K1929" t="s">
        <v>38</v>
      </c>
      <c r="L1929" t="s">
        <v>239</v>
      </c>
      <c r="M1929" t="s">
        <v>133</v>
      </c>
      <c r="N1929" t="s">
        <v>134</v>
      </c>
      <c r="O1929" s="3">
        <v>30000</v>
      </c>
      <c r="P1929" s="4">
        <v>0</v>
      </c>
      <c r="Q1929" s="2">
        <v>46178</v>
      </c>
      <c r="R1929" s="2"/>
      <c r="S1929" s="2">
        <v>46170</v>
      </c>
      <c r="T1929" s="2">
        <v>46178</v>
      </c>
      <c r="U1929" t="str">
        <f t="shared" si="210"/>
        <v>No</v>
      </c>
      <c r="V1929" t="s">
        <v>319</v>
      </c>
      <c r="W192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10</v>
      </c>
      <c r="X1929" t="str">
        <f t="shared" ca="1" si="211"/>
        <v>Closed</v>
      </c>
      <c r="Y1929" t="str">
        <f t="shared" si="212"/>
        <v>Closed</v>
      </c>
      <c r="Z1929" t="str">
        <f t="shared" si="213"/>
        <v>May-2026</v>
      </c>
      <c r="AA1929" t="str">
        <f t="shared" si="214"/>
        <v>Q2 2026</v>
      </c>
      <c r="AB1929" s="4">
        <f t="shared" ca="1" si="215"/>
        <v>31</v>
      </c>
      <c r="AC1929" t="str">
        <f t="shared" si="216"/>
        <v>Low</v>
      </c>
    </row>
    <row r="1930" spans="1:29">
      <c r="A1930" t="s">
        <v>6623</v>
      </c>
      <c r="B1930" s="2">
        <v>45749</v>
      </c>
      <c r="C1930" t="s">
        <v>1700</v>
      </c>
      <c r="D1930" t="s">
        <v>887</v>
      </c>
      <c r="E1930" t="s">
        <v>6624</v>
      </c>
      <c r="F1930" t="s">
        <v>6625</v>
      </c>
      <c r="G1930" t="s">
        <v>34</v>
      </c>
      <c r="H1930" t="s">
        <v>173</v>
      </c>
      <c r="I1930" t="s">
        <v>187</v>
      </c>
      <c r="J1930" t="s">
        <v>62</v>
      </c>
      <c r="K1930" t="s">
        <v>114</v>
      </c>
      <c r="L1930" t="s">
        <v>72</v>
      </c>
      <c r="M1930" t="s">
        <v>90</v>
      </c>
      <c r="N1930" t="s">
        <v>91</v>
      </c>
      <c r="O1930" s="3">
        <v>395000</v>
      </c>
      <c r="P1930" s="4">
        <v>40</v>
      </c>
      <c r="Q1930" s="2">
        <v>45779</v>
      </c>
      <c r="R1930" s="2">
        <v>46158</v>
      </c>
      <c r="S1930" s="2">
        <v>45777</v>
      </c>
      <c r="T1930" s="2"/>
      <c r="U1930" t="str">
        <f t="shared" si="210"/>
        <v>No</v>
      </c>
      <c r="W193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0" t="str">
        <f t="shared" ca="1" si="211"/>
        <v>Overdue</v>
      </c>
      <c r="Y1930" t="str">
        <f t="shared" si="212"/>
        <v>Open</v>
      </c>
      <c r="Z1930" t="str">
        <f t="shared" si="213"/>
        <v>Apr-2025</v>
      </c>
      <c r="AA1930" t="str">
        <f t="shared" si="214"/>
        <v>Q2 2025</v>
      </c>
      <c r="AB1930" s="4">
        <f t="shared" ca="1" si="215"/>
        <v>450</v>
      </c>
      <c r="AC1930" t="str">
        <f t="shared" si="216"/>
        <v>High</v>
      </c>
    </row>
    <row r="1931" spans="1:29">
      <c r="A1931" t="s">
        <v>6626</v>
      </c>
      <c r="B1931" s="2">
        <v>46025</v>
      </c>
      <c r="C1931" t="s">
        <v>4949</v>
      </c>
      <c r="D1931" t="s">
        <v>309</v>
      </c>
      <c r="E1931" t="s">
        <v>6627</v>
      </c>
      <c r="F1931" t="s">
        <v>6628</v>
      </c>
      <c r="G1931" t="s">
        <v>69</v>
      </c>
      <c r="H1931" t="s">
        <v>193</v>
      </c>
      <c r="I1931" t="s">
        <v>123</v>
      </c>
      <c r="J1931" t="s">
        <v>99</v>
      </c>
      <c r="K1931" t="s">
        <v>38</v>
      </c>
      <c r="L1931" t="s">
        <v>52</v>
      </c>
      <c r="M1931" t="s">
        <v>82</v>
      </c>
      <c r="N1931" t="s">
        <v>83</v>
      </c>
      <c r="O1931" s="3">
        <v>415000</v>
      </c>
      <c r="P1931" s="4">
        <v>5</v>
      </c>
      <c r="Q1931" s="2">
        <v>46053</v>
      </c>
      <c r="R1931" s="2">
        <v>46236</v>
      </c>
      <c r="S1931" s="2">
        <v>46026</v>
      </c>
      <c r="T1931" s="2"/>
      <c r="U1931" t="str">
        <f t="shared" si="210"/>
        <v>No</v>
      </c>
      <c r="W193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1" t="str">
        <f t="shared" ca="1" si="211"/>
        <v>Due/Open</v>
      </c>
      <c r="Y1931" t="str">
        <f t="shared" si="212"/>
        <v>Open</v>
      </c>
      <c r="Z1931" t="str">
        <f t="shared" si="213"/>
        <v>Jan-2026</v>
      </c>
      <c r="AA1931" t="str">
        <f t="shared" si="214"/>
        <v>Q1 2026</v>
      </c>
      <c r="AB1931" s="4">
        <f t="shared" ca="1" si="215"/>
        <v>174</v>
      </c>
      <c r="AC1931" t="str">
        <f t="shared" si="216"/>
        <v>High</v>
      </c>
    </row>
    <row r="1932" spans="1:29">
      <c r="A1932" t="s">
        <v>6629</v>
      </c>
      <c r="B1932" s="2">
        <v>45767</v>
      </c>
      <c r="C1932" t="s">
        <v>610</v>
      </c>
      <c r="D1932" t="s">
        <v>484</v>
      </c>
      <c r="E1932" t="s">
        <v>6630</v>
      </c>
      <c r="F1932" t="s">
        <v>6631</v>
      </c>
      <c r="G1932" t="s">
        <v>47</v>
      </c>
      <c r="H1932" t="s">
        <v>122</v>
      </c>
      <c r="I1932" t="s">
        <v>141</v>
      </c>
      <c r="J1932" t="s">
        <v>131</v>
      </c>
      <c r="K1932" t="s">
        <v>100</v>
      </c>
      <c r="L1932" t="s">
        <v>107</v>
      </c>
      <c r="M1932" t="s">
        <v>40</v>
      </c>
      <c r="N1932" t="s">
        <v>41</v>
      </c>
      <c r="O1932" s="3">
        <v>335000</v>
      </c>
      <c r="P1932" s="4">
        <v>100</v>
      </c>
      <c r="Q1932" s="2">
        <v>45813</v>
      </c>
      <c r="R1932" s="2"/>
      <c r="S1932" s="2">
        <v>45781</v>
      </c>
      <c r="T1932" s="2">
        <v>45813</v>
      </c>
      <c r="U1932" t="str">
        <f t="shared" si="210"/>
        <v>Yes</v>
      </c>
      <c r="W193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46</v>
      </c>
      <c r="X1932" t="str">
        <f t="shared" ca="1" si="211"/>
        <v>Closed</v>
      </c>
      <c r="Y1932" t="str">
        <f t="shared" si="212"/>
        <v>Closed</v>
      </c>
      <c r="Z1932" t="str">
        <f t="shared" si="213"/>
        <v>Apr-2025</v>
      </c>
      <c r="AA1932" t="str">
        <f t="shared" si="214"/>
        <v>Q2 2025</v>
      </c>
      <c r="AB1932" s="4">
        <f t="shared" ca="1" si="215"/>
        <v>432</v>
      </c>
      <c r="AC1932" t="str">
        <f t="shared" si="216"/>
        <v>High</v>
      </c>
    </row>
    <row r="1933" spans="1:29">
      <c r="A1933" t="s">
        <v>6632</v>
      </c>
      <c r="B1933" s="2">
        <v>45736</v>
      </c>
      <c r="C1933" t="s">
        <v>4918</v>
      </c>
      <c r="D1933" t="s">
        <v>512</v>
      </c>
      <c r="E1933" t="s">
        <v>6633</v>
      </c>
      <c r="F1933" t="s">
        <v>6634</v>
      </c>
      <c r="G1933" t="s">
        <v>179</v>
      </c>
      <c r="H1933" t="s">
        <v>180</v>
      </c>
      <c r="I1933" t="s">
        <v>36</v>
      </c>
      <c r="J1933" t="s">
        <v>37</v>
      </c>
      <c r="K1933" t="s">
        <v>100</v>
      </c>
      <c r="L1933" t="s">
        <v>154</v>
      </c>
      <c r="M1933" t="s">
        <v>40</v>
      </c>
      <c r="N1933" t="s">
        <v>41</v>
      </c>
      <c r="O1933" s="3">
        <v>65000</v>
      </c>
      <c r="P1933" s="4">
        <v>100</v>
      </c>
      <c r="Q1933" s="2">
        <v>45813</v>
      </c>
      <c r="R1933" s="2"/>
      <c r="S1933" s="2">
        <v>45751</v>
      </c>
      <c r="T1933" s="2">
        <v>45813</v>
      </c>
      <c r="U1933" t="str">
        <f t="shared" si="210"/>
        <v>Yes</v>
      </c>
      <c r="W193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77</v>
      </c>
      <c r="X1933" t="str">
        <f t="shared" ca="1" si="211"/>
        <v>Closed</v>
      </c>
      <c r="Y1933" t="str">
        <f t="shared" si="212"/>
        <v>Closed</v>
      </c>
      <c r="Z1933" t="str">
        <f t="shared" si="213"/>
        <v>Mar-2025</v>
      </c>
      <c r="AA1933" t="str">
        <f t="shared" si="214"/>
        <v>Q1 2025</v>
      </c>
      <c r="AB1933" s="4">
        <f t="shared" ca="1" si="215"/>
        <v>463</v>
      </c>
      <c r="AC1933" t="str">
        <f t="shared" si="216"/>
        <v>Low</v>
      </c>
    </row>
    <row r="1934" spans="1:29">
      <c r="A1934" t="s">
        <v>6635</v>
      </c>
      <c r="B1934" s="2">
        <v>46102</v>
      </c>
      <c r="C1934" t="s">
        <v>4822</v>
      </c>
      <c r="D1934" t="s">
        <v>1072</v>
      </c>
      <c r="E1934" t="s">
        <v>6636</v>
      </c>
      <c r="F1934" t="s">
        <v>6637</v>
      </c>
      <c r="G1934" t="s">
        <v>34</v>
      </c>
      <c r="H1934" t="s">
        <v>446</v>
      </c>
      <c r="I1934" t="s">
        <v>141</v>
      </c>
      <c r="J1934" t="s">
        <v>37</v>
      </c>
      <c r="K1934" t="s">
        <v>51</v>
      </c>
      <c r="L1934" t="s">
        <v>239</v>
      </c>
      <c r="M1934" t="s">
        <v>166</v>
      </c>
      <c r="N1934" t="s">
        <v>167</v>
      </c>
      <c r="O1934" s="3">
        <v>165000</v>
      </c>
      <c r="P1934" s="4">
        <v>60</v>
      </c>
      <c r="Q1934" s="2">
        <v>46176</v>
      </c>
      <c r="R1934" s="2">
        <v>46211</v>
      </c>
      <c r="S1934" s="2">
        <v>46108</v>
      </c>
      <c r="T1934" s="2"/>
      <c r="U1934" t="str">
        <f t="shared" si="210"/>
        <v>No</v>
      </c>
      <c r="W193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4" t="str">
        <f t="shared" ca="1" si="211"/>
        <v>Due/Open</v>
      </c>
      <c r="Y1934" t="str">
        <f t="shared" si="212"/>
        <v>Open</v>
      </c>
      <c r="Z1934" t="str">
        <f t="shared" si="213"/>
        <v>Mar-2026</v>
      </c>
      <c r="AA1934" t="str">
        <f t="shared" si="214"/>
        <v>Q1 2026</v>
      </c>
      <c r="AB1934" s="4">
        <f t="shared" ca="1" si="215"/>
        <v>97</v>
      </c>
      <c r="AC1934" t="str">
        <f t="shared" si="216"/>
        <v>Medium</v>
      </c>
    </row>
    <row r="1935" spans="1:29">
      <c r="A1935" t="s">
        <v>6638</v>
      </c>
      <c r="B1935" s="2">
        <v>45794</v>
      </c>
      <c r="C1935" t="s">
        <v>1182</v>
      </c>
      <c r="D1935" t="s">
        <v>969</v>
      </c>
      <c r="E1935" t="s">
        <v>6639</v>
      </c>
      <c r="F1935" t="s">
        <v>6640</v>
      </c>
      <c r="G1935" t="s">
        <v>79</v>
      </c>
      <c r="H1935" t="s">
        <v>260</v>
      </c>
      <c r="I1935" t="s">
        <v>98</v>
      </c>
      <c r="J1935" t="s">
        <v>37</v>
      </c>
      <c r="K1935" t="s">
        <v>100</v>
      </c>
      <c r="L1935" t="s">
        <v>142</v>
      </c>
      <c r="M1935" t="s">
        <v>90</v>
      </c>
      <c r="N1935" t="s">
        <v>91</v>
      </c>
      <c r="O1935" s="3">
        <v>45000</v>
      </c>
      <c r="P1935" s="4">
        <v>55</v>
      </c>
      <c r="Q1935" s="2">
        <v>45865</v>
      </c>
      <c r="R1935" s="2">
        <v>46212</v>
      </c>
      <c r="S1935" s="2">
        <v>45819</v>
      </c>
      <c r="T1935" s="2"/>
      <c r="U1935" t="str">
        <f t="shared" si="210"/>
        <v>No</v>
      </c>
      <c r="W193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5" t="str">
        <f t="shared" ca="1" si="211"/>
        <v>Due/Open</v>
      </c>
      <c r="Y1935" t="str">
        <f t="shared" si="212"/>
        <v>Open</v>
      </c>
      <c r="Z1935" t="str">
        <f t="shared" si="213"/>
        <v>May-2025</v>
      </c>
      <c r="AA1935" t="str">
        <f t="shared" si="214"/>
        <v>Q2 2025</v>
      </c>
      <c r="AB1935" s="4">
        <f t="shared" ca="1" si="215"/>
        <v>405</v>
      </c>
      <c r="AC1935" t="str">
        <f t="shared" si="216"/>
        <v>Low</v>
      </c>
    </row>
    <row r="1936" spans="1:29">
      <c r="A1936" t="s">
        <v>6641</v>
      </c>
      <c r="B1936" s="2">
        <v>45904</v>
      </c>
      <c r="C1936" t="s">
        <v>1850</v>
      </c>
      <c r="D1936" t="s">
        <v>581</v>
      </c>
      <c r="E1936" t="s">
        <v>6642</v>
      </c>
      <c r="F1936" t="s">
        <v>6643</v>
      </c>
      <c r="G1936" t="s">
        <v>179</v>
      </c>
      <c r="H1936" t="s">
        <v>318</v>
      </c>
      <c r="I1936" t="s">
        <v>141</v>
      </c>
      <c r="J1936" t="s">
        <v>99</v>
      </c>
      <c r="K1936" t="s">
        <v>114</v>
      </c>
      <c r="L1936" t="s">
        <v>72</v>
      </c>
      <c r="M1936" t="s">
        <v>82</v>
      </c>
      <c r="N1936" t="s">
        <v>83</v>
      </c>
      <c r="O1936" s="3">
        <v>205000</v>
      </c>
      <c r="P1936" s="4">
        <v>10</v>
      </c>
      <c r="Q1936" s="2">
        <v>45924</v>
      </c>
      <c r="R1936" s="2">
        <v>46233</v>
      </c>
      <c r="S1936" s="2">
        <v>45926</v>
      </c>
      <c r="T1936" s="2"/>
      <c r="U1936" t="str">
        <f t="shared" si="210"/>
        <v>No</v>
      </c>
      <c r="W193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6" t="str">
        <f t="shared" ca="1" si="211"/>
        <v>Due/Open</v>
      </c>
      <c r="Y1936" t="str">
        <f t="shared" si="212"/>
        <v>Open</v>
      </c>
      <c r="Z1936" t="str">
        <f t="shared" si="213"/>
        <v>Sep-2025</v>
      </c>
      <c r="AA1936" t="str">
        <f t="shared" si="214"/>
        <v>Q3 2025</v>
      </c>
      <c r="AB1936" s="4">
        <f t="shared" ca="1" si="215"/>
        <v>295</v>
      </c>
      <c r="AC1936" t="str">
        <f t="shared" si="216"/>
        <v>Medium</v>
      </c>
    </row>
    <row r="1937" spans="1:29">
      <c r="A1937" t="s">
        <v>6644</v>
      </c>
      <c r="B1937" s="2">
        <v>46024</v>
      </c>
      <c r="C1937" t="s">
        <v>4081</v>
      </c>
      <c r="D1937" t="s">
        <v>684</v>
      </c>
      <c r="E1937" t="s">
        <v>6645</v>
      </c>
      <c r="F1937" t="s">
        <v>6646</v>
      </c>
      <c r="G1937" t="s">
        <v>34</v>
      </c>
      <c r="H1937" t="s">
        <v>173</v>
      </c>
      <c r="I1937" t="s">
        <v>36</v>
      </c>
      <c r="J1937" t="s">
        <v>50</v>
      </c>
      <c r="K1937" t="s">
        <v>38</v>
      </c>
      <c r="L1937" t="s">
        <v>125</v>
      </c>
      <c r="M1937" t="s">
        <v>82</v>
      </c>
      <c r="N1937" t="s">
        <v>83</v>
      </c>
      <c r="O1937" s="3">
        <v>275000</v>
      </c>
      <c r="P1937" s="4">
        <v>5</v>
      </c>
      <c r="Q1937" s="2">
        <v>46095</v>
      </c>
      <c r="R1937" s="2">
        <v>46234</v>
      </c>
      <c r="S1937" s="2">
        <v>46035</v>
      </c>
      <c r="T1937" s="2"/>
      <c r="U1937" t="str">
        <f t="shared" si="210"/>
        <v>No</v>
      </c>
      <c r="W193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7" t="str">
        <f t="shared" ca="1" si="211"/>
        <v>Due/Open</v>
      </c>
      <c r="Y1937" t="str">
        <f t="shared" si="212"/>
        <v>Open</v>
      </c>
      <c r="Z1937" t="str">
        <f t="shared" si="213"/>
        <v>Jan-2026</v>
      </c>
      <c r="AA1937" t="str">
        <f t="shared" si="214"/>
        <v>Q1 2026</v>
      </c>
      <c r="AB1937" s="4">
        <f t="shared" ca="1" si="215"/>
        <v>175</v>
      </c>
      <c r="AC1937" t="str">
        <f t="shared" si="216"/>
        <v>Medium</v>
      </c>
    </row>
    <row r="1938" spans="1:29">
      <c r="A1938" t="s">
        <v>6647</v>
      </c>
      <c r="B1938" s="2">
        <v>45877</v>
      </c>
      <c r="C1938" t="s">
        <v>1608</v>
      </c>
      <c r="D1938" t="s">
        <v>384</v>
      </c>
      <c r="E1938" t="s">
        <v>6648</v>
      </c>
      <c r="F1938" t="s">
        <v>6649</v>
      </c>
      <c r="G1938" t="s">
        <v>69</v>
      </c>
      <c r="H1938" t="s">
        <v>193</v>
      </c>
      <c r="I1938" t="s">
        <v>61</v>
      </c>
      <c r="J1938" t="s">
        <v>62</v>
      </c>
      <c r="K1938" t="s">
        <v>38</v>
      </c>
      <c r="L1938" t="s">
        <v>142</v>
      </c>
      <c r="M1938" t="s">
        <v>53</v>
      </c>
      <c r="N1938" t="s">
        <v>54</v>
      </c>
      <c r="O1938" s="3">
        <v>350000</v>
      </c>
      <c r="P1938" s="4">
        <v>30</v>
      </c>
      <c r="Q1938" s="2">
        <v>45914</v>
      </c>
      <c r="R1938" s="2">
        <v>46190</v>
      </c>
      <c r="S1938" s="2">
        <v>45905</v>
      </c>
      <c r="T1938" s="2"/>
      <c r="U1938" t="str">
        <f t="shared" si="210"/>
        <v>No</v>
      </c>
      <c r="W193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8" t="str">
        <f t="shared" ca="1" si="211"/>
        <v>Overdue</v>
      </c>
      <c r="Y1938" t="str">
        <f t="shared" si="212"/>
        <v>Open</v>
      </c>
      <c r="Z1938" t="str">
        <f t="shared" si="213"/>
        <v>Aug-2025</v>
      </c>
      <c r="AA1938" t="str">
        <f t="shared" si="214"/>
        <v>Q3 2025</v>
      </c>
      <c r="AB1938" s="4">
        <f t="shared" ca="1" si="215"/>
        <v>322</v>
      </c>
      <c r="AC1938" t="str">
        <f t="shared" si="216"/>
        <v>High</v>
      </c>
    </row>
    <row r="1939" spans="1:29">
      <c r="A1939" t="s">
        <v>6650</v>
      </c>
      <c r="B1939" s="2">
        <v>46039</v>
      </c>
      <c r="C1939" t="s">
        <v>1038</v>
      </c>
      <c r="D1939" t="s">
        <v>755</v>
      </c>
      <c r="E1939" t="s">
        <v>6651</v>
      </c>
      <c r="F1939" t="s">
        <v>6652</v>
      </c>
      <c r="G1939" t="s">
        <v>47</v>
      </c>
      <c r="H1939" t="s">
        <v>122</v>
      </c>
      <c r="I1939" t="s">
        <v>49</v>
      </c>
      <c r="J1939" t="s">
        <v>131</v>
      </c>
      <c r="K1939" t="s">
        <v>194</v>
      </c>
      <c r="L1939" t="s">
        <v>63</v>
      </c>
      <c r="M1939" t="s">
        <v>90</v>
      </c>
      <c r="N1939" t="s">
        <v>91</v>
      </c>
      <c r="O1939" s="3">
        <v>290000</v>
      </c>
      <c r="P1939" s="4">
        <v>50</v>
      </c>
      <c r="Q1939" s="2">
        <v>46071</v>
      </c>
      <c r="R1939" s="2">
        <v>46219</v>
      </c>
      <c r="S1939" s="2">
        <v>46045</v>
      </c>
      <c r="T1939" s="2"/>
      <c r="U1939" t="str">
        <f t="shared" si="210"/>
        <v>No</v>
      </c>
      <c r="W193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39" t="str">
        <f t="shared" ca="1" si="211"/>
        <v>Due/Open</v>
      </c>
      <c r="Y1939" t="str">
        <f t="shared" si="212"/>
        <v>Open</v>
      </c>
      <c r="Z1939" t="str">
        <f t="shared" si="213"/>
        <v>Jan-2026</v>
      </c>
      <c r="AA1939" t="str">
        <f t="shared" si="214"/>
        <v>Q1 2026</v>
      </c>
      <c r="AB1939" s="4">
        <f t="shared" ca="1" si="215"/>
        <v>160</v>
      </c>
      <c r="AC1939" t="str">
        <f t="shared" si="216"/>
        <v>Medium</v>
      </c>
    </row>
    <row r="1940" spans="1:29">
      <c r="A1940" t="s">
        <v>6653</v>
      </c>
      <c r="B1940" s="2">
        <v>46125</v>
      </c>
      <c r="C1940" t="s">
        <v>3226</v>
      </c>
      <c r="D1940" t="s">
        <v>464</v>
      </c>
      <c r="E1940" t="s">
        <v>6654</v>
      </c>
      <c r="F1940" t="s">
        <v>6655</v>
      </c>
      <c r="G1940" t="s">
        <v>34</v>
      </c>
      <c r="H1940" t="s">
        <v>238</v>
      </c>
      <c r="I1940" t="s">
        <v>61</v>
      </c>
      <c r="J1940" t="s">
        <v>37</v>
      </c>
      <c r="K1940" t="s">
        <v>51</v>
      </c>
      <c r="L1940" t="s">
        <v>142</v>
      </c>
      <c r="M1940" t="s">
        <v>210</v>
      </c>
      <c r="N1940" t="s">
        <v>134</v>
      </c>
      <c r="O1940" s="3">
        <v>65000</v>
      </c>
      <c r="P1940" s="4">
        <v>0</v>
      </c>
      <c r="Q1940" s="2">
        <v>46189</v>
      </c>
      <c r="R1940" s="2"/>
      <c r="S1940" s="2">
        <v>46132</v>
      </c>
      <c r="T1940" s="2">
        <v>46189</v>
      </c>
      <c r="U1940" t="str">
        <f t="shared" si="210"/>
        <v>No</v>
      </c>
      <c r="V1940" t="s">
        <v>452</v>
      </c>
      <c r="W194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64</v>
      </c>
      <c r="X1940" t="str">
        <f t="shared" ca="1" si="211"/>
        <v>Closed</v>
      </c>
      <c r="Y1940" t="str">
        <f t="shared" si="212"/>
        <v>Closed</v>
      </c>
      <c r="Z1940" t="str">
        <f t="shared" si="213"/>
        <v>Apr-2026</v>
      </c>
      <c r="AA1940" t="str">
        <f t="shared" si="214"/>
        <v>Q2 2026</v>
      </c>
      <c r="AB1940" s="4">
        <f t="shared" ca="1" si="215"/>
        <v>74</v>
      </c>
      <c r="AC1940" t="str">
        <f t="shared" si="216"/>
        <v>Low</v>
      </c>
    </row>
    <row r="1941" spans="1:29">
      <c r="A1941" t="s">
        <v>6656</v>
      </c>
      <c r="B1941" s="2">
        <v>46013</v>
      </c>
      <c r="C1941" t="s">
        <v>933</v>
      </c>
      <c r="D1941" t="s">
        <v>1319</v>
      </c>
      <c r="E1941" t="s">
        <v>6657</v>
      </c>
      <c r="F1941" t="s">
        <v>6658</v>
      </c>
      <c r="G1941" t="s">
        <v>47</v>
      </c>
      <c r="H1941" t="s">
        <v>89</v>
      </c>
      <c r="I1941" t="s">
        <v>36</v>
      </c>
      <c r="J1941" t="s">
        <v>124</v>
      </c>
      <c r="K1941" t="s">
        <v>114</v>
      </c>
      <c r="L1941" t="s">
        <v>115</v>
      </c>
      <c r="M1941" t="s">
        <v>82</v>
      </c>
      <c r="N1941" t="s">
        <v>83</v>
      </c>
      <c r="O1941" s="3">
        <v>290000</v>
      </c>
      <c r="P1941" s="4">
        <v>10</v>
      </c>
      <c r="Q1941" s="2">
        <v>46102</v>
      </c>
      <c r="R1941" s="2">
        <v>46234</v>
      </c>
      <c r="S1941" s="2">
        <v>46037</v>
      </c>
      <c r="T1941" s="2"/>
      <c r="U1941" t="str">
        <f t="shared" si="210"/>
        <v>No</v>
      </c>
      <c r="W194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1" t="str">
        <f t="shared" ca="1" si="211"/>
        <v>Due/Open</v>
      </c>
      <c r="Y1941" t="str">
        <f t="shared" si="212"/>
        <v>Open</v>
      </c>
      <c r="Z1941" t="str">
        <f t="shared" si="213"/>
        <v>Dec-2025</v>
      </c>
      <c r="AA1941" t="str">
        <f t="shared" si="214"/>
        <v>Q4 2025</v>
      </c>
      <c r="AB1941" s="4">
        <f t="shared" ca="1" si="215"/>
        <v>186</v>
      </c>
      <c r="AC1941" t="str">
        <f t="shared" si="216"/>
        <v>Medium</v>
      </c>
    </row>
    <row r="1942" spans="1:29">
      <c r="A1942" t="s">
        <v>6659</v>
      </c>
      <c r="B1942" s="2">
        <v>46015</v>
      </c>
      <c r="C1942" t="s">
        <v>1310</v>
      </c>
      <c r="D1942" t="s">
        <v>926</v>
      </c>
      <c r="E1942" t="s">
        <v>6660</v>
      </c>
      <c r="F1942" t="s">
        <v>6661</v>
      </c>
      <c r="G1942" t="s">
        <v>34</v>
      </c>
      <c r="H1942" t="s">
        <v>160</v>
      </c>
      <c r="I1942" t="s">
        <v>141</v>
      </c>
      <c r="J1942" t="s">
        <v>62</v>
      </c>
      <c r="K1942" t="s">
        <v>194</v>
      </c>
      <c r="L1942" t="s">
        <v>115</v>
      </c>
      <c r="M1942" t="s">
        <v>53</v>
      </c>
      <c r="N1942" t="s">
        <v>54</v>
      </c>
      <c r="O1942" s="3">
        <v>255000</v>
      </c>
      <c r="P1942" s="4">
        <v>35</v>
      </c>
      <c r="Q1942" s="2">
        <v>46038</v>
      </c>
      <c r="R1942" s="2">
        <v>46239</v>
      </c>
      <c r="S1942" s="2">
        <v>46024</v>
      </c>
      <c r="T1942" s="2"/>
      <c r="U1942" t="str">
        <f t="shared" si="210"/>
        <v>No</v>
      </c>
      <c r="W194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2" t="str">
        <f t="shared" ca="1" si="211"/>
        <v>Due/Open</v>
      </c>
      <c r="Y1942" t="str">
        <f t="shared" si="212"/>
        <v>Open</v>
      </c>
      <c r="Z1942" t="str">
        <f t="shared" si="213"/>
        <v>Dec-2025</v>
      </c>
      <c r="AA1942" t="str">
        <f t="shared" si="214"/>
        <v>Q4 2025</v>
      </c>
      <c r="AB1942" s="4">
        <f t="shared" ca="1" si="215"/>
        <v>184</v>
      </c>
      <c r="AC1942" t="str">
        <f t="shared" si="216"/>
        <v>Medium</v>
      </c>
    </row>
    <row r="1943" spans="1:29">
      <c r="A1943" t="s">
        <v>6662</v>
      </c>
      <c r="B1943" s="2">
        <v>46029</v>
      </c>
      <c r="C1943" t="s">
        <v>649</v>
      </c>
      <c r="D1943" t="s">
        <v>1416</v>
      </c>
      <c r="E1943" t="s">
        <v>6663</v>
      </c>
      <c r="F1943" t="s">
        <v>6664</v>
      </c>
      <c r="G1943" t="s">
        <v>79</v>
      </c>
      <c r="H1943" t="s">
        <v>217</v>
      </c>
      <c r="I1943" t="s">
        <v>141</v>
      </c>
      <c r="J1943" t="s">
        <v>50</v>
      </c>
      <c r="K1943" t="s">
        <v>71</v>
      </c>
      <c r="L1943" t="s">
        <v>81</v>
      </c>
      <c r="M1943" t="s">
        <v>40</v>
      </c>
      <c r="N1943" t="s">
        <v>41</v>
      </c>
      <c r="O1943" s="3">
        <v>455000</v>
      </c>
      <c r="P1943" s="4">
        <v>100</v>
      </c>
      <c r="Q1943" s="2">
        <v>46066</v>
      </c>
      <c r="R1943" s="2"/>
      <c r="S1943" s="2">
        <v>46037</v>
      </c>
      <c r="T1943" s="2">
        <v>46066</v>
      </c>
      <c r="U1943" t="str">
        <f t="shared" si="210"/>
        <v>Yes</v>
      </c>
      <c r="W1943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37</v>
      </c>
      <c r="X1943" t="str">
        <f t="shared" ca="1" si="211"/>
        <v>Closed</v>
      </c>
      <c r="Y1943" t="str">
        <f t="shared" si="212"/>
        <v>Closed</v>
      </c>
      <c r="Z1943" t="str">
        <f t="shared" si="213"/>
        <v>Jan-2026</v>
      </c>
      <c r="AA1943" t="str">
        <f t="shared" si="214"/>
        <v>Q1 2026</v>
      </c>
      <c r="AB1943" s="4">
        <f t="shared" ca="1" si="215"/>
        <v>170</v>
      </c>
      <c r="AC1943" t="str">
        <f t="shared" si="216"/>
        <v>High</v>
      </c>
    </row>
    <row r="1944" spans="1:29">
      <c r="A1944" t="s">
        <v>6665</v>
      </c>
      <c r="B1944" s="2">
        <v>45879</v>
      </c>
      <c r="C1944" t="s">
        <v>4081</v>
      </c>
      <c r="D1944" t="s">
        <v>1937</v>
      </c>
      <c r="E1944" t="s">
        <v>6666</v>
      </c>
      <c r="F1944" t="s">
        <v>6667</v>
      </c>
      <c r="G1944" t="s">
        <v>179</v>
      </c>
      <c r="H1944" t="s">
        <v>436</v>
      </c>
      <c r="I1944" t="s">
        <v>36</v>
      </c>
      <c r="J1944" t="s">
        <v>62</v>
      </c>
      <c r="K1944" t="s">
        <v>100</v>
      </c>
      <c r="L1944" t="s">
        <v>125</v>
      </c>
      <c r="M1944" t="s">
        <v>53</v>
      </c>
      <c r="N1944" t="s">
        <v>54</v>
      </c>
      <c r="O1944" s="3">
        <v>430000</v>
      </c>
      <c r="P1944" s="4">
        <v>30</v>
      </c>
      <c r="Q1944" s="2">
        <v>45951</v>
      </c>
      <c r="R1944" s="2">
        <v>46175</v>
      </c>
      <c r="S1944" s="2">
        <v>45880</v>
      </c>
      <c r="T1944" s="2"/>
      <c r="U1944" t="str">
        <f t="shared" si="210"/>
        <v>No</v>
      </c>
      <c r="W194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4" t="str">
        <f t="shared" ca="1" si="211"/>
        <v>Overdue</v>
      </c>
      <c r="Y1944" t="str">
        <f t="shared" si="212"/>
        <v>Open</v>
      </c>
      <c r="Z1944" t="str">
        <f t="shared" si="213"/>
        <v>Aug-2025</v>
      </c>
      <c r="AA1944" t="str">
        <f t="shared" si="214"/>
        <v>Q3 2025</v>
      </c>
      <c r="AB1944" s="4">
        <f t="shared" ca="1" si="215"/>
        <v>320</v>
      </c>
      <c r="AC1944" t="str">
        <f t="shared" si="216"/>
        <v>High</v>
      </c>
    </row>
    <row r="1945" spans="1:29">
      <c r="A1945" t="s">
        <v>6668</v>
      </c>
      <c r="B1945" s="2">
        <v>45964</v>
      </c>
      <c r="C1945" t="s">
        <v>388</v>
      </c>
      <c r="D1945" t="s">
        <v>742</v>
      </c>
      <c r="E1945" t="s">
        <v>6669</v>
      </c>
      <c r="F1945" t="s">
        <v>6670</v>
      </c>
      <c r="G1945" t="s">
        <v>34</v>
      </c>
      <c r="H1945" t="s">
        <v>35</v>
      </c>
      <c r="I1945" t="s">
        <v>98</v>
      </c>
      <c r="J1945" t="s">
        <v>99</v>
      </c>
      <c r="K1945" t="s">
        <v>71</v>
      </c>
      <c r="L1945" t="s">
        <v>239</v>
      </c>
      <c r="M1945" t="s">
        <v>53</v>
      </c>
      <c r="N1945" t="s">
        <v>54</v>
      </c>
      <c r="O1945" s="3">
        <v>605000</v>
      </c>
      <c r="P1945" s="4">
        <v>25</v>
      </c>
      <c r="Q1945" s="2">
        <v>46055</v>
      </c>
      <c r="R1945" s="2">
        <v>46153</v>
      </c>
      <c r="S1945" s="2">
        <v>45982</v>
      </c>
      <c r="T1945" s="2"/>
      <c r="U1945" t="str">
        <f t="shared" si="210"/>
        <v>No</v>
      </c>
      <c r="W194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5" t="str">
        <f t="shared" ca="1" si="211"/>
        <v>Overdue</v>
      </c>
      <c r="Y1945" t="str">
        <f t="shared" si="212"/>
        <v>Open</v>
      </c>
      <c r="Z1945" t="str">
        <f t="shared" si="213"/>
        <v>Nov-2025</v>
      </c>
      <c r="AA1945" t="str">
        <f t="shared" si="214"/>
        <v>Q4 2025</v>
      </c>
      <c r="AB1945" s="4">
        <f t="shared" ca="1" si="215"/>
        <v>235</v>
      </c>
      <c r="AC1945" t="str">
        <f t="shared" si="216"/>
        <v>High</v>
      </c>
    </row>
    <row r="1946" spans="1:29">
      <c r="A1946" t="s">
        <v>6671</v>
      </c>
      <c r="B1946" s="2">
        <v>45996</v>
      </c>
      <c r="C1946" t="s">
        <v>1529</v>
      </c>
      <c r="D1946" t="s">
        <v>522</v>
      </c>
      <c r="E1946" t="s">
        <v>6672</v>
      </c>
      <c r="F1946" t="s">
        <v>6673</v>
      </c>
      <c r="G1946" t="s">
        <v>47</v>
      </c>
      <c r="H1946" t="s">
        <v>113</v>
      </c>
      <c r="I1946" t="s">
        <v>98</v>
      </c>
      <c r="J1946" t="s">
        <v>50</v>
      </c>
      <c r="K1946" t="s">
        <v>51</v>
      </c>
      <c r="L1946" t="s">
        <v>132</v>
      </c>
      <c r="M1946" t="s">
        <v>133</v>
      </c>
      <c r="N1946" t="s">
        <v>134</v>
      </c>
      <c r="O1946" s="3">
        <v>250000</v>
      </c>
      <c r="P1946" s="4">
        <v>0</v>
      </c>
      <c r="Q1946" s="2">
        <v>46053</v>
      </c>
      <c r="R1946" s="2"/>
      <c r="S1946" s="2">
        <v>46003</v>
      </c>
      <c r="T1946" s="2">
        <v>46053</v>
      </c>
      <c r="U1946" t="str">
        <f t="shared" si="210"/>
        <v>No</v>
      </c>
      <c r="V1946" t="s">
        <v>319</v>
      </c>
      <c r="W194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57</v>
      </c>
      <c r="X1946" t="str">
        <f t="shared" ca="1" si="211"/>
        <v>Closed</v>
      </c>
      <c r="Y1946" t="str">
        <f t="shared" si="212"/>
        <v>Closed</v>
      </c>
      <c r="Z1946" t="str">
        <f t="shared" si="213"/>
        <v>Dec-2025</v>
      </c>
      <c r="AA1946" t="str">
        <f t="shared" si="214"/>
        <v>Q4 2025</v>
      </c>
      <c r="AB1946" s="4">
        <f t="shared" ca="1" si="215"/>
        <v>203</v>
      </c>
      <c r="AC1946" t="str">
        <f t="shared" si="216"/>
        <v>Medium</v>
      </c>
    </row>
    <row r="1947" spans="1:29">
      <c r="A1947" t="s">
        <v>6674</v>
      </c>
      <c r="B1947" s="2">
        <v>45940</v>
      </c>
      <c r="C1947" t="s">
        <v>5697</v>
      </c>
      <c r="D1947" t="s">
        <v>715</v>
      </c>
      <c r="E1947" t="s">
        <v>6675</v>
      </c>
      <c r="F1947" t="s">
        <v>6676</v>
      </c>
      <c r="G1947" t="s">
        <v>47</v>
      </c>
      <c r="H1947" t="s">
        <v>113</v>
      </c>
      <c r="I1947" t="s">
        <v>187</v>
      </c>
      <c r="J1947" t="s">
        <v>99</v>
      </c>
      <c r="K1947" t="s">
        <v>38</v>
      </c>
      <c r="L1947" t="s">
        <v>52</v>
      </c>
      <c r="M1947" t="s">
        <v>73</v>
      </c>
      <c r="N1947" t="s">
        <v>73</v>
      </c>
      <c r="O1947" s="3">
        <v>155000</v>
      </c>
      <c r="P1947" s="4">
        <v>85</v>
      </c>
      <c r="Q1947" s="2">
        <v>46000</v>
      </c>
      <c r="R1947" s="2">
        <v>46162</v>
      </c>
      <c r="S1947" s="2">
        <v>45945</v>
      </c>
      <c r="T1947" s="2"/>
      <c r="U1947" t="str">
        <f t="shared" si="210"/>
        <v>No</v>
      </c>
      <c r="W194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7" t="str">
        <f t="shared" ca="1" si="211"/>
        <v>Overdue</v>
      </c>
      <c r="Y1947" t="str">
        <f t="shared" si="212"/>
        <v>Open</v>
      </c>
      <c r="Z1947" t="str">
        <f t="shared" si="213"/>
        <v>Oct-2025</v>
      </c>
      <c r="AA1947" t="str">
        <f t="shared" si="214"/>
        <v>Q4 2025</v>
      </c>
      <c r="AB1947" s="4">
        <f t="shared" ca="1" si="215"/>
        <v>259</v>
      </c>
      <c r="AC1947" t="str">
        <f t="shared" si="216"/>
        <v>Medium</v>
      </c>
    </row>
    <row r="1948" spans="1:29">
      <c r="A1948" t="s">
        <v>6677</v>
      </c>
      <c r="B1948" s="2">
        <v>46133</v>
      </c>
      <c r="C1948" t="s">
        <v>606</v>
      </c>
      <c r="D1948" t="s">
        <v>322</v>
      </c>
      <c r="E1948" t="s">
        <v>6678</v>
      </c>
      <c r="F1948" t="s">
        <v>6679</v>
      </c>
      <c r="G1948" t="s">
        <v>47</v>
      </c>
      <c r="H1948" t="s">
        <v>493</v>
      </c>
      <c r="I1948" t="s">
        <v>61</v>
      </c>
      <c r="J1948" t="s">
        <v>99</v>
      </c>
      <c r="K1948" t="s">
        <v>194</v>
      </c>
      <c r="L1948" t="s">
        <v>142</v>
      </c>
      <c r="M1948" t="s">
        <v>40</v>
      </c>
      <c r="N1948" t="s">
        <v>41</v>
      </c>
      <c r="O1948" s="3">
        <v>370000</v>
      </c>
      <c r="P1948" s="4">
        <v>100</v>
      </c>
      <c r="Q1948" s="2">
        <v>46147</v>
      </c>
      <c r="R1948" s="2"/>
      <c r="S1948" s="2">
        <v>46137</v>
      </c>
      <c r="T1948" s="2">
        <v>46147</v>
      </c>
      <c r="U1948" t="str">
        <f t="shared" si="210"/>
        <v>Yes</v>
      </c>
      <c r="W194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1948" t="str">
        <f t="shared" ca="1" si="211"/>
        <v>Closed</v>
      </c>
      <c r="Y1948" t="str">
        <f t="shared" si="212"/>
        <v>Closed</v>
      </c>
      <c r="Z1948" t="str">
        <f t="shared" si="213"/>
        <v>Apr-2026</v>
      </c>
      <c r="AA1948" t="str">
        <f t="shared" si="214"/>
        <v>Q2 2026</v>
      </c>
      <c r="AB1948" s="4">
        <f t="shared" ca="1" si="215"/>
        <v>66</v>
      </c>
      <c r="AC1948" t="str">
        <f t="shared" si="216"/>
        <v>High</v>
      </c>
    </row>
    <row r="1949" spans="1:29">
      <c r="A1949" t="s">
        <v>6680</v>
      </c>
      <c r="B1949" s="2">
        <v>45673</v>
      </c>
      <c r="C1949" t="s">
        <v>4168</v>
      </c>
      <c r="D1949" t="s">
        <v>288</v>
      </c>
      <c r="E1949" t="s">
        <v>6681</v>
      </c>
      <c r="F1949" t="s">
        <v>6682</v>
      </c>
      <c r="G1949" t="s">
        <v>69</v>
      </c>
      <c r="H1949" t="s">
        <v>193</v>
      </c>
      <c r="I1949" t="s">
        <v>36</v>
      </c>
      <c r="J1949" t="s">
        <v>62</v>
      </c>
      <c r="K1949" t="s">
        <v>114</v>
      </c>
      <c r="L1949" t="s">
        <v>115</v>
      </c>
      <c r="M1949" t="s">
        <v>116</v>
      </c>
      <c r="N1949" t="s">
        <v>54</v>
      </c>
      <c r="O1949" s="3">
        <v>415000</v>
      </c>
      <c r="P1949" s="4">
        <v>25</v>
      </c>
      <c r="Q1949" s="2">
        <v>45742</v>
      </c>
      <c r="R1949" s="2">
        <v>46243</v>
      </c>
      <c r="S1949" s="2">
        <v>45700</v>
      </c>
      <c r="T1949" s="2"/>
      <c r="U1949" t="str">
        <f t="shared" si="210"/>
        <v>No</v>
      </c>
      <c r="W194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49" t="str">
        <f t="shared" ca="1" si="211"/>
        <v>Due/Open</v>
      </c>
      <c r="Y1949" t="str">
        <f t="shared" si="212"/>
        <v>Open</v>
      </c>
      <c r="Z1949" t="str">
        <f t="shared" si="213"/>
        <v>Jan-2025</v>
      </c>
      <c r="AA1949" t="str">
        <f t="shared" si="214"/>
        <v>Q1 2025</v>
      </c>
      <c r="AB1949" s="4">
        <f t="shared" ca="1" si="215"/>
        <v>526</v>
      </c>
      <c r="AC1949" t="str">
        <f t="shared" si="216"/>
        <v>High</v>
      </c>
    </row>
    <row r="1950" spans="1:29">
      <c r="A1950" t="s">
        <v>6683</v>
      </c>
      <c r="B1950" s="2">
        <v>45781</v>
      </c>
      <c r="C1950" t="s">
        <v>805</v>
      </c>
      <c r="D1950" t="s">
        <v>1249</v>
      </c>
      <c r="E1950" t="s">
        <v>6684</v>
      </c>
      <c r="F1950" t="s">
        <v>6685</v>
      </c>
      <c r="G1950" t="s">
        <v>47</v>
      </c>
      <c r="H1950" t="s">
        <v>418</v>
      </c>
      <c r="I1950" t="s">
        <v>98</v>
      </c>
      <c r="J1950" t="s">
        <v>50</v>
      </c>
      <c r="K1950" t="s">
        <v>100</v>
      </c>
      <c r="L1950" t="s">
        <v>132</v>
      </c>
      <c r="M1950" t="s">
        <v>90</v>
      </c>
      <c r="N1950" t="s">
        <v>91</v>
      </c>
      <c r="O1950" s="3">
        <v>540000</v>
      </c>
      <c r="P1950" s="4">
        <v>40</v>
      </c>
      <c r="Q1950" s="2">
        <v>45830</v>
      </c>
      <c r="R1950" s="2">
        <v>46206</v>
      </c>
      <c r="S1950" s="2">
        <v>45795</v>
      </c>
      <c r="T1950" s="2"/>
      <c r="U1950" t="str">
        <f t="shared" si="210"/>
        <v>No</v>
      </c>
      <c r="W195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0" t="str">
        <f t="shared" ca="1" si="211"/>
        <v>Due/Open</v>
      </c>
      <c r="Y1950" t="str">
        <f t="shared" si="212"/>
        <v>Open</v>
      </c>
      <c r="Z1950" t="str">
        <f t="shared" si="213"/>
        <v>May-2025</v>
      </c>
      <c r="AA1950" t="str">
        <f t="shared" si="214"/>
        <v>Q2 2025</v>
      </c>
      <c r="AB1950" s="4">
        <f t="shared" ca="1" si="215"/>
        <v>418</v>
      </c>
      <c r="AC1950" t="str">
        <f t="shared" si="216"/>
        <v>High</v>
      </c>
    </row>
    <row r="1951" spans="1:29">
      <c r="A1951" t="s">
        <v>6686</v>
      </c>
      <c r="B1951" s="2">
        <v>45833</v>
      </c>
      <c r="C1951" t="s">
        <v>1306</v>
      </c>
      <c r="D1951" t="s">
        <v>384</v>
      </c>
      <c r="E1951" t="s">
        <v>6687</v>
      </c>
      <c r="F1951" t="s">
        <v>6688</v>
      </c>
      <c r="G1951" t="s">
        <v>69</v>
      </c>
      <c r="H1951" t="s">
        <v>312</v>
      </c>
      <c r="I1951" t="s">
        <v>98</v>
      </c>
      <c r="J1951" t="s">
        <v>124</v>
      </c>
      <c r="K1951" t="s">
        <v>194</v>
      </c>
      <c r="L1951" t="s">
        <v>72</v>
      </c>
      <c r="M1951" t="s">
        <v>116</v>
      </c>
      <c r="N1951" t="s">
        <v>54</v>
      </c>
      <c r="O1951" s="3">
        <v>255000</v>
      </c>
      <c r="P1951" s="4">
        <v>25</v>
      </c>
      <c r="Q1951" s="2">
        <v>45887</v>
      </c>
      <c r="R1951" s="2">
        <v>46204</v>
      </c>
      <c r="S1951" s="2">
        <v>45854</v>
      </c>
      <c r="T1951" s="2"/>
      <c r="U1951" t="str">
        <f t="shared" si="210"/>
        <v>No</v>
      </c>
      <c r="W195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1" t="str">
        <f t="shared" ca="1" si="211"/>
        <v>Due/Open</v>
      </c>
      <c r="Y1951" t="str">
        <f t="shared" si="212"/>
        <v>Open</v>
      </c>
      <c r="Z1951" t="str">
        <f t="shared" si="213"/>
        <v>Jun-2025</v>
      </c>
      <c r="AA1951" t="str">
        <f t="shared" si="214"/>
        <v>Q2 2025</v>
      </c>
      <c r="AB1951" s="4">
        <f t="shared" ca="1" si="215"/>
        <v>366</v>
      </c>
      <c r="AC1951" t="str">
        <f t="shared" si="216"/>
        <v>Medium</v>
      </c>
    </row>
    <row r="1952" spans="1:29">
      <c r="A1952" t="s">
        <v>6689</v>
      </c>
      <c r="B1952" s="2">
        <v>45881</v>
      </c>
      <c r="C1952" t="s">
        <v>4436</v>
      </c>
      <c r="D1952" t="s">
        <v>128</v>
      </c>
      <c r="E1952" t="s">
        <v>6690</v>
      </c>
      <c r="F1952" t="s">
        <v>6691</v>
      </c>
      <c r="G1952" t="s">
        <v>47</v>
      </c>
      <c r="H1952" t="s">
        <v>493</v>
      </c>
      <c r="I1952" t="s">
        <v>49</v>
      </c>
      <c r="J1952" t="s">
        <v>124</v>
      </c>
      <c r="K1952" t="s">
        <v>38</v>
      </c>
      <c r="L1952" t="s">
        <v>125</v>
      </c>
      <c r="M1952" t="s">
        <v>133</v>
      </c>
      <c r="N1952" t="s">
        <v>134</v>
      </c>
      <c r="O1952" s="3">
        <v>250000</v>
      </c>
      <c r="P1952" s="4">
        <v>0</v>
      </c>
      <c r="Q1952" s="2">
        <v>45930</v>
      </c>
      <c r="R1952" s="2"/>
      <c r="S1952" s="2">
        <v>45908</v>
      </c>
      <c r="T1952" s="2">
        <v>45930</v>
      </c>
      <c r="U1952" t="str">
        <f t="shared" si="210"/>
        <v>No</v>
      </c>
      <c r="V1952" t="s">
        <v>452</v>
      </c>
      <c r="W195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49</v>
      </c>
      <c r="X1952" t="str">
        <f t="shared" ca="1" si="211"/>
        <v>Closed</v>
      </c>
      <c r="Y1952" t="str">
        <f t="shared" si="212"/>
        <v>Closed</v>
      </c>
      <c r="Z1952" t="str">
        <f t="shared" si="213"/>
        <v>Aug-2025</v>
      </c>
      <c r="AA1952" t="str">
        <f t="shared" si="214"/>
        <v>Q3 2025</v>
      </c>
      <c r="AB1952" s="4">
        <f t="shared" ca="1" si="215"/>
        <v>318</v>
      </c>
      <c r="AC1952" t="str">
        <f t="shared" si="216"/>
        <v>Medium</v>
      </c>
    </row>
    <row r="1953" spans="1:29">
      <c r="A1953" t="s">
        <v>6692</v>
      </c>
      <c r="B1953" s="2">
        <v>45861</v>
      </c>
      <c r="C1953" t="s">
        <v>1564</v>
      </c>
      <c r="D1953" t="s">
        <v>2493</v>
      </c>
      <c r="E1953" t="s">
        <v>6693</v>
      </c>
      <c r="F1953" t="s">
        <v>6694</v>
      </c>
      <c r="G1953" t="s">
        <v>69</v>
      </c>
      <c r="H1953" t="s">
        <v>193</v>
      </c>
      <c r="I1953" t="s">
        <v>36</v>
      </c>
      <c r="J1953" t="s">
        <v>50</v>
      </c>
      <c r="K1953" t="s">
        <v>100</v>
      </c>
      <c r="L1953" t="s">
        <v>72</v>
      </c>
      <c r="M1953" t="s">
        <v>166</v>
      </c>
      <c r="N1953" t="s">
        <v>167</v>
      </c>
      <c r="O1953" s="3">
        <v>340000</v>
      </c>
      <c r="P1953" s="4">
        <v>70</v>
      </c>
      <c r="Q1953" s="2">
        <v>45950</v>
      </c>
      <c r="R1953" s="2">
        <v>46217</v>
      </c>
      <c r="S1953" s="2">
        <v>45888</v>
      </c>
      <c r="T1953" s="2"/>
      <c r="U1953" t="str">
        <f t="shared" si="210"/>
        <v>No</v>
      </c>
      <c r="W195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3" t="str">
        <f t="shared" ca="1" si="211"/>
        <v>Due/Open</v>
      </c>
      <c r="Y1953" t="str">
        <f t="shared" si="212"/>
        <v>Open</v>
      </c>
      <c r="Z1953" t="str">
        <f t="shared" si="213"/>
        <v>Jul-2025</v>
      </c>
      <c r="AA1953" t="str">
        <f t="shared" si="214"/>
        <v>Q3 2025</v>
      </c>
      <c r="AB1953" s="4">
        <f t="shared" ca="1" si="215"/>
        <v>338</v>
      </c>
      <c r="AC1953" t="str">
        <f t="shared" si="216"/>
        <v>High</v>
      </c>
    </row>
    <row r="1954" spans="1:29">
      <c r="A1954" t="s">
        <v>6695</v>
      </c>
      <c r="B1954" s="2">
        <v>46016</v>
      </c>
      <c r="C1954" t="s">
        <v>2024</v>
      </c>
      <c r="D1954" t="s">
        <v>636</v>
      </c>
      <c r="E1954" t="s">
        <v>6696</v>
      </c>
      <c r="F1954" t="s">
        <v>6697</v>
      </c>
      <c r="G1954" t="s">
        <v>69</v>
      </c>
      <c r="H1954" t="s">
        <v>270</v>
      </c>
      <c r="I1954" t="s">
        <v>98</v>
      </c>
      <c r="J1954" t="s">
        <v>62</v>
      </c>
      <c r="K1954" t="s">
        <v>51</v>
      </c>
      <c r="L1954" t="s">
        <v>154</v>
      </c>
      <c r="M1954" t="s">
        <v>90</v>
      </c>
      <c r="N1954" t="s">
        <v>91</v>
      </c>
      <c r="O1954" s="3">
        <v>155000</v>
      </c>
      <c r="P1954" s="4">
        <v>50</v>
      </c>
      <c r="Q1954" s="2">
        <v>46078</v>
      </c>
      <c r="R1954" s="2">
        <v>46180</v>
      </c>
      <c r="S1954" s="2">
        <v>46043</v>
      </c>
      <c r="T1954" s="2"/>
      <c r="U1954" t="str">
        <f t="shared" si="210"/>
        <v>No</v>
      </c>
      <c r="W195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4" t="str">
        <f t="shared" ca="1" si="211"/>
        <v>Overdue</v>
      </c>
      <c r="Y1954" t="str">
        <f t="shared" si="212"/>
        <v>Open</v>
      </c>
      <c r="Z1954" t="str">
        <f t="shared" si="213"/>
        <v>Dec-2025</v>
      </c>
      <c r="AA1954" t="str">
        <f t="shared" si="214"/>
        <v>Q4 2025</v>
      </c>
      <c r="AB1954" s="4">
        <f t="shared" ca="1" si="215"/>
        <v>183</v>
      </c>
      <c r="AC1954" t="str">
        <f t="shared" si="216"/>
        <v>Medium</v>
      </c>
    </row>
    <row r="1955" spans="1:29">
      <c r="A1955" t="s">
        <v>6698</v>
      </c>
      <c r="B1955" s="2">
        <v>45831</v>
      </c>
      <c r="C1955" t="s">
        <v>503</v>
      </c>
      <c r="D1955" t="s">
        <v>767</v>
      </c>
      <c r="E1955" t="s">
        <v>6699</v>
      </c>
      <c r="F1955" t="s">
        <v>6700</v>
      </c>
      <c r="G1955" t="s">
        <v>47</v>
      </c>
      <c r="H1955" t="s">
        <v>89</v>
      </c>
      <c r="I1955" t="s">
        <v>148</v>
      </c>
      <c r="J1955" t="s">
        <v>37</v>
      </c>
      <c r="K1955" t="s">
        <v>194</v>
      </c>
      <c r="L1955" t="s">
        <v>154</v>
      </c>
      <c r="M1955" t="s">
        <v>90</v>
      </c>
      <c r="N1955" t="s">
        <v>91</v>
      </c>
      <c r="O1955" s="3">
        <v>140000</v>
      </c>
      <c r="P1955" s="4">
        <v>40</v>
      </c>
      <c r="Q1955" s="2">
        <v>45869</v>
      </c>
      <c r="R1955" s="2">
        <v>46228</v>
      </c>
      <c r="S1955" s="2">
        <v>45846</v>
      </c>
      <c r="T1955" s="2"/>
      <c r="U1955" t="str">
        <f t="shared" si="210"/>
        <v>No</v>
      </c>
      <c r="W195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5" t="str">
        <f t="shared" ca="1" si="211"/>
        <v>Due/Open</v>
      </c>
      <c r="Y1955" t="str">
        <f t="shared" si="212"/>
        <v>Open</v>
      </c>
      <c r="Z1955" t="str">
        <f t="shared" si="213"/>
        <v>Jun-2025</v>
      </c>
      <c r="AA1955" t="str">
        <f t="shared" si="214"/>
        <v>Q2 2025</v>
      </c>
      <c r="AB1955" s="4">
        <f t="shared" ca="1" si="215"/>
        <v>368</v>
      </c>
      <c r="AC1955" t="str">
        <f t="shared" si="216"/>
        <v>Medium</v>
      </c>
    </row>
    <row r="1956" spans="1:29">
      <c r="A1956" t="s">
        <v>6701</v>
      </c>
      <c r="B1956" s="2">
        <v>46020</v>
      </c>
      <c r="C1956" t="s">
        <v>622</v>
      </c>
      <c r="D1956" t="s">
        <v>57</v>
      </c>
      <c r="E1956" t="s">
        <v>6702</v>
      </c>
      <c r="F1956" t="s">
        <v>6703</v>
      </c>
      <c r="G1956" t="s">
        <v>79</v>
      </c>
      <c r="H1956" t="s">
        <v>80</v>
      </c>
      <c r="I1956" t="s">
        <v>36</v>
      </c>
      <c r="J1956" t="s">
        <v>62</v>
      </c>
      <c r="K1956" t="s">
        <v>71</v>
      </c>
      <c r="L1956" t="s">
        <v>107</v>
      </c>
      <c r="M1956" t="s">
        <v>53</v>
      </c>
      <c r="N1956" t="s">
        <v>54</v>
      </c>
      <c r="O1956" s="3">
        <v>285000</v>
      </c>
      <c r="P1956" s="4">
        <v>30</v>
      </c>
      <c r="Q1956" s="2">
        <v>46078</v>
      </c>
      <c r="R1956" s="2">
        <v>46212</v>
      </c>
      <c r="S1956" s="2">
        <v>46028</v>
      </c>
      <c r="T1956" s="2"/>
      <c r="U1956" t="str">
        <f t="shared" si="210"/>
        <v>No</v>
      </c>
      <c r="W195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6" t="str">
        <f t="shared" ca="1" si="211"/>
        <v>Due/Open</v>
      </c>
      <c r="Y1956" t="str">
        <f t="shared" si="212"/>
        <v>Open</v>
      </c>
      <c r="Z1956" t="str">
        <f t="shared" si="213"/>
        <v>Dec-2025</v>
      </c>
      <c r="AA1956" t="str">
        <f t="shared" si="214"/>
        <v>Q4 2025</v>
      </c>
      <c r="AB1956" s="4">
        <f t="shared" ca="1" si="215"/>
        <v>179</v>
      </c>
      <c r="AC1956" t="str">
        <f t="shared" si="216"/>
        <v>Medium</v>
      </c>
    </row>
    <row r="1957" spans="1:29">
      <c r="A1957" t="s">
        <v>6704</v>
      </c>
      <c r="B1957" s="2">
        <v>46064</v>
      </c>
      <c r="C1957" t="s">
        <v>958</v>
      </c>
      <c r="D1957" t="s">
        <v>103</v>
      </c>
      <c r="E1957" t="s">
        <v>6705</v>
      </c>
      <c r="F1957" t="s">
        <v>6706</v>
      </c>
      <c r="G1957" t="s">
        <v>34</v>
      </c>
      <c r="H1957" t="s">
        <v>238</v>
      </c>
      <c r="I1957" t="s">
        <v>148</v>
      </c>
      <c r="J1957" t="s">
        <v>99</v>
      </c>
      <c r="K1957" t="s">
        <v>194</v>
      </c>
      <c r="L1957" t="s">
        <v>125</v>
      </c>
      <c r="M1957" t="s">
        <v>210</v>
      </c>
      <c r="N1957" t="s">
        <v>134</v>
      </c>
      <c r="O1957" s="3">
        <v>610000</v>
      </c>
      <c r="P1957" s="4">
        <v>0</v>
      </c>
      <c r="Q1957" s="2">
        <v>46099</v>
      </c>
      <c r="R1957" s="2"/>
      <c r="S1957" s="2">
        <v>46087</v>
      </c>
      <c r="T1957" s="2">
        <v>46099</v>
      </c>
      <c r="U1957" t="str">
        <f t="shared" si="210"/>
        <v>No</v>
      </c>
      <c r="V1957" t="s">
        <v>319</v>
      </c>
      <c r="W1957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35</v>
      </c>
      <c r="X1957" t="str">
        <f t="shared" ca="1" si="211"/>
        <v>Closed</v>
      </c>
      <c r="Y1957" t="str">
        <f t="shared" si="212"/>
        <v>Closed</v>
      </c>
      <c r="Z1957" t="str">
        <f t="shared" si="213"/>
        <v>Feb-2026</v>
      </c>
      <c r="AA1957" t="str">
        <f t="shared" si="214"/>
        <v>Q1 2026</v>
      </c>
      <c r="AB1957" s="4">
        <f t="shared" ca="1" si="215"/>
        <v>135</v>
      </c>
      <c r="AC1957" t="str">
        <f t="shared" si="216"/>
        <v>High</v>
      </c>
    </row>
    <row r="1958" spans="1:29">
      <c r="A1958" t="s">
        <v>6707</v>
      </c>
      <c r="B1958" s="2">
        <v>45938</v>
      </c>
      <c r="C1958" t="s">
        <v>5026</v>
      </c>
      <c r="D1958" t="s">
        <v>1560</v>
      </c>
      <c r="E1958" t="s">
        <v>6708</v>
      </c>
      <c r="F1958" t="s">
        <v>6709</v>
      </c>
      <c r="G1958" t="s">
        <v>69</v>
      </c>
      <c r="H1958" t="s">
        <v>193</v>
      </c>
      <c r="I1958" t="s">
        <v>98</v>
      </c>
      <c r="J1958" t="s">
        <v>99</v>
      </c>
      <c r="K1958" t="s">
        <v>71</v>
      </c>
      <c r="L1958" t="s">
        <v>72</v>
      </c>
      <c r="M1958" t="s">
        <v>90</v>
      </c>
      <c r="N1958" t="s">
        <v>91</v>
      </c>
      <c r="O1958" s="3">
        <v>690000</v>
      </c>
      <c r="P1958" s="4">
        <v>55</v>
      </c>
      <c r="Q1958" s="2">
        <v>45974</v>
      </c>
      <c r="R1958" s="2">
        <v>46223</v>
      </c>
      <c r="S1958" s="2">
        <v>45957</v>
      </c>
      <c r="T1958" s="2"/>
      <c r="U1958" t="str">
        <f t="shared" si="210"/>
        <v>No</v>
      </c>
      <c r="W195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8" t="str">
        <f t="shared" ca="1" si="211"/>
        <v>Due/Open</v>
      </c>
      <c r="Y1958" t="str">
        <f t="shared" si="212"/>
        <v>Open</v>
      </c>
      <c r="Z1958" t="str">
        <f t="shared" si="213"/>
        <v>Oct-2025</v>
      </c>
      <c r="AA1958" t="str">
        <f t="shared" si="214"/>
        <v>Q4 2025</v>
      </c>
      <c r="AB1958" s="4">
        <f t="shared" ca="1" si="215"/>
        <v>261</v>
      </c>
      <c r="AC1958" t="str">
        <f t="shared" si="216"/>
        <v>High</v>
      </c>
    </row>
    <row r="1959" spans="1:29">
      <c r="A1959" t="s">
        <v>6710</v>
      </c>
      <c r="B1959" s="2">
        <v>46024</v>
      </c>
      <c r="C1959" t="s">
        <v>1428</v>
      </c>
      <c r="D1959" t="s">
        <v>1030</v>
      </c>
      <c r="E1959" t="s">
        <v>6711</v>
      </c>
      <c r="F1959" t="s">
        <v>6712</v>
      </c>
      <c r="G1959" t="s">
        <v>69</v>
      </c>
      <c r="H1959" t="s">
        <v>200</v>
      </c>
      <c r="I1959" t="s">
        <v>123</v>
      </c>
      <c r="J1959" t="s">
        <v>124</v>
      </c>
      <c r="K1959" t="s">
        <v>114</v>
      </c>
      <c r="L1959" t="s">
        <v>132</v>
      </c>
      <c r="M1959" t="s">
        <v>90</v>
      </c>
      <c r="N1959" t="s">
        <v>91</v>
      </c>
      <c r="O1959" s="3">
        <v>100000</v>
      </c>
      <c r="P1959" s="4">
        <v>55</v>
      </c>
      <c r="Q1959" s="2">
        <v>46119</v>
      </c>
      <c r="R1959" s="2">
        <v>46240</v>
      </c>
      <c r="S1959" s="2">
        <v>46031</v>
      </c>
      <c r="T1959" s="2"/>
      <c r="U1959" t="str">
        <f t="shared" si="210"/>
        <v>No</v>
      </c>
      <c r="W195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59" t="str">
        <f t="shared" ca="1" si="211"/>
        <v>Due/Open</v>
      </c>
      <c r="Y1959" t="str">
        <f t="shared" si="212"/>
        <v>Open</v>
      </c>
      <c r="Z1959" t="str">
        <f t="shared" si="213"/>
        <v>Jan-2026</v>
      </c>
      <c r="AA1959" t="str">
        <f t="shared" si="214"/>
        <v>Q1 2026</v>
      </c>
      <c r="AB1959" s="4">
        <f t="shared" ca="1" si="215"/>
        <v>175</v>
      </c>
      <c r="AC1959" t="str">
        <f t="shared" si="216"/>
        <v>Low</v>
      </c>
    </row>
    <row r="1960" spans="1:29">
      <c r="A1960" t="s">
        <v>6713</v>
      </c>
      <c r="B1960" s="2">
        <v>46051</v>
      </c>
      <c r="C1960" t="s">
        <v>6312</v>
      </c>
      <c r="D1960" t="s">
        <v>926</v>
      </c>
      <c r="E1960" t="s">
        <v>6714</v>
      </c>
      <c r="F1960" t="s">
        <v>6715</v>
      </c>
      <c r="G1960" t="s">
        <v>47</v>
      </c>
      <c r="H1960" t="s">
        <v>493</v>
      </c>
      <c r="I1960" t="s">
        <v>187</v>
      </c>
      <c r="J1960" t="s">
        <v>99</v>
      </c>
      <c r="K1960" t="s">
        <v>194</v>
      </c>
      <c r="L1960" t="s">
        <v>132</v>
      </c>
      <c r="M1960" t="s">
        <v>82</v>
      </c>
      <c r="N1960" t="s">
        <v>83</v>
      </c>
      <c r="O1960" s="3">
        <v>525000</v>
      </c>
      <c r="P1960" s="4">
        <v>10</v>
      </c>
      <c r="Q1960" s="2">
        <v>46114</v>
      </c>
      <c r="R1960" s="2">
        <v>46164</v>
      </c>
      <c r="S1960" s="2">
        <v>46074</v>
      </c>
      <c r="T1960" s="2"/>
      <c r="U1960" t="str">
        <f t="shared" si="210"/>
        <v>No</v>
      </c>
      <c r="W196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0" t="str">
        <f t="shared" ca="1" si="211"/>
        <v>Overdue</v>
      </c>
      <c r="Y1960" t="str">
        <f t="shared" si="212"/>
        <v>Open</v>
      </c>
      <c r="Z1960" t="str">
        <f t="shared" si="213"/>
        <v>Jan-2026</v>
      </c>
      <c r="AA1960" t="str">
        <f t="shared" si="214"/>
        <v>Q1 2026</v>
      </c>
      <c r="AB1960" s="4">
        <f t="shared" ca="1" si="215"/>
        <v>148</v>
      </c>
      <c r="AC1960" t="str">
        <f t="shared" si="216"/>
        <v>High</v>
      </c>
    </row>
    <row r="1961" spans="1:29">
      <c r="A1961" t="s">
        <v>6716</v>
      </c>
      <c r="B1961" s="2">
        <v>45978</v>
      </c>
      <c r="C1961" t="s">
        <v>860</v>
      </c>
      <c r="D1961" t="s">
        <v>636</v>
      </c>
      <c r="E1961" t="s">
        <v>6717</v>
      </c>
      <c r="F1961" t="s">
        <v>6718</v>
      </c>
      <c r="G1961" t="s">
        <v>79</v>
      </c>
      <c r="H1961" t="s">
        <v>106</v>
      </c>
      <c r="I1961" t="s">
        <v>36</v>
      </c>
      <c r="J1961" t="s">
        <v>37</v>
      </c>
      <c r="K1961" t="s">
        <v>100</v>
      </c>
      <c r="L1961" t="s">
        <v>107</v>
      </c>
      <c r="M1961" t="s">
        <v>40</v>
      </c>
      <c r="N1961" t="s">
        <v>41</v>
      </c>
      <c r="O1961" s="3">
        <v>160000</v>
      </c>
      <c r="P1961" s="4">
        <v>100</v>
      </c>
      <c r="Q1961" s="2">
        <v>46053</v>
      </c>
      <c r="R1961" s="2"/>
      <c r="S1961" s="2">
        <v>45984</v>
      </c>
      <c r="T1961" s="2">
        <v>46053</v>
      </c>
      <c r="U1961" t="str">
        <f t="shared" si="210"/>
        <v>Yes</v>
      </c>
      <c r="W1961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75</v>
      </c>
      <c r="X1961" t="str">
        <f t="shared" ca="1" si="211"/>
        <v>Closed</v>
      </c>
      <c r="Y1961" t="str">
        <f t="shared" si="212"/>
        <v>Closed</v>
      </c>
      <c r="Z1961" t="str">
        <f t="shared" si="213"/>
        <v>Nov-2025</v>
      </c>
      <c r="AA1961" t="str">
        <f t="shared" si="214"/>
        <v>Q4 2025</v>
      </c>
      <c r="AB1961" s="4">
        <f t="shared" ca="1" si="215"/>
        <v>221</v>
      </c>
      <c r="AC1961" t="str">
        <f t="shared" si="216"/>
        <v>Medium</v>
      </c>
    </row>
    <row r="1962" spans="1:29">
      <c r="A1962" t="s">
        <v>6719</v>
      </c>
      <c r="B1962" s="2">
        <v>45717</v>
      </c>
      <c r="C1962" t="s">
        <v>6608</v>
      </c>
      <c r="D1962" t="s">
        <v>1017</v>
      </c>
      <c r="E1962" t="s">
        <v>6720</v>
      </c>
      <c r="F1962" t="s">
        <v>6721</v>
      </c>
      <c r="G1962" t="s">
        <v>179</v>
      </c>
      <c r="H1962" t="s">
        <v>436</v>
      </c>
      <c r="I1962" t="s">
        <v>49</v>
      </c>
      <c r="J1962" t="s">
        <v>131</v>
      </c>
      <c r="K1962" t="s">
        <v>71</v>
      </c>
      <c r="L1962" t="s">
        <v>52</v>
      </c>
      <c r="M1962" t="s">
        <v>133</v>
      </c>
      <c r="N1962" t="s">
        <v>134</v>
      </c>
      <c r="O1962" s="3">
        <v>275000</v>
      </c>
      <c r="P1962" s="4">
        <v>0</v>
      </c>
      <c r="Q1962" s="2">
        <v>45731</v>
      </c>
      <c r="R1962" s="2"/>
      <c r="S1962" s="2">
        <v>45723</v>
      </c>
      <c r="T1962" s="2">
        <v>45731</v>
      </c>
      <c r="U1962" t="str">
        <f t="shared" si="210"/>
        <v>No</v>
      </c>
      <c r="V1962" t="s">
        <v>452</v>
      </c>
      <c r="W1962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14</v>
      </c>
      <c r="X1962" t="str">
        <f t="shared" ca="1" si="211"/>
        <v>Closed</v>
      </c>
      <c r="Y1962" t="str">
        <f t="shared" si="212"/>
        <v>Closed</v>
      </c>
      <c r="Z1962" t="str">
        <f t="shared" si="213"/>
        <v>Mar-2025</v>
      </c>
      <c r="AA1962" t="str">
        <f t="shared" si="214"/>
        <v>Q1 2025</v>
      </c>
      <c r="AB1962" s="4">
        <f t="shared" ca="1" si="215"/>
        <v>482</v>
      </c>
      <c r="AC1962" t="str">
        <f t="shared" si="216"/>
        <v>Medium</v>
      </c>
    </row>
    <row r="1963" spans="1:29">
      <c r="A1963" t="s">
        <v>6722</v>
      </c>
      <c r="B1963" s="2">
        <v>45960</v>
      </c>
      <c r="C1963" t="s">
        <v>1814</v>
      </c>
      <c r="D1963" t="s">
        <v>1093</v>
      </c>
      <c r="E1963" t="s">
        <v>6723</v>
      </c>
      <c r="F1963" t="s">
        <v>6724</v>
      </c>
      <c r="G1963" t="s">
        <v>179</v>
      </c>
      <c r="H1963" t="s">
        <v>318</v>
      </c>
      <c r="I1963" t="s">
        <v>36</v>
      </c>
      <c r="J1963" t="s">
        <v>131</v>
      </c>
      <c r="K1963" t="s">
        <v>100</v>
      </c>
      <c r="L1963" t="s">
        <v>142</v>
      </c>
      <c r="M1963" t="s">
        <v>166</v>
      </c>
      <c r="N1963" t="s">
        <v>167</v>
      </c>
      <c r="O1963" s="3">
        <v>210000</v>
      </c>
      <c r="P1963" s="4">
        <v>70</v>
      </c>
      <c r="Q1963" s="2">
        <v>46037</v>
      </c>
      <c r="R1963" s="2">
        <v>46218</v>
      </c>
      <c r="S1963" s="2">
        <v>45964</v>
      </c>
      <c r="T1963" s="2"/>
      <c r="U1963" t="str">
        <f t="shared" si="210"/>
        <v>No</v>
      </c>
      <c r="W196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3" t="str">
        <f t="shared" ca="1" si="211"/>
        <v>Due/Open</v>
      </c>
      <c r="Y1963" t="str">
        <f t="shared" si="212"/>
        <v>Open</v>
      </c>
      <c r="Z1963" t="str">
        <f t="shared" si="213"/>
        <v>Oct-2025</v>
      </c>
      <c r="AA1963" t="str">
        <f t="shared" si="214"/>
        <v>Q4 2025</v>
      </c>
      <c r="AB1963" s="4">
        <f t="shared" ca="1" si="215"/>
        <v>239</v>
      </c>
      <c r="AC1963" t="str">
        <f t="shared" si="216"/>
        <v>Medium</v>
      </c>
    </row>
    <row r="1964" spans="1:29">
      <c r="A1964" t="s">
        <v>6725</v>
      </c>
      <c r="B1964" s="2">
        <v>46122</v>
      </c>
      <c r="C1964" t="s">
        <v>6608</v>
      </c>
      <c r="D1964" t="s">
        <v>1043</v>
      </c>
      <c r="E1964" t="s">
        <v>6726</v>
      </c>
      <c r="F1964" t="s">
        <v>6727</v>
      </c>
      <c r="G1964" t="s">
        <v>34</v>
      </c>
      <c r="H1964" t="s">
        <v>238</v>
      </c>
      <c r="I1964" t="s">
        <v>187</v>
      </c>
      <c r="J1964" t="s">
        <v>131</v>
      </c>
      <c r="K1964" t="s">
        <v>38</v>
      </c>
      <c r="L1964" t="s">
        <v>132</v>
      </c>
      <c r="M1964" t="s">
        <v>82</v>
      </c>
      <c r="N1964" t="s">
        <v>83</v>
      </c>
      <c r="O1964" s="3">
        <v>380000</v>
      </c>
      <c r="P1964" s="4">
        <v>5</v>
      </c>
      <c r="Q1964" s="2">
        <v>46217</v>
      </c>
      <c r="R1964" s="2">
        <v>46213</v>
      </c>
      <c r="S1964" s="2">
        <v>46139</v>
      </c>
      <c r="T1964" s="2"/>
      <c r="U1964" t="str">
        <f t="shared" si="210"/>
        <v>No</v>
      </c>
      <c r="W196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4" t="str">
        <f t="shared" ca="1" si="211"/>
        <v>Due/Open</v>
      </c>
      <c r="Y1964" t="str">
        <f t="shared" si="212"/>
        <v>Open</v>
      </c>
      <c r="Z1964" t="str">
        <f t="shared" si="213"/>
        <v>Apr-2026</v>
      </c>
      <c r="AA1964" t="str">
        <f t="shared" si="214"/>
        <v>Q2 2026</v>
      </c>
      <c r="AB1964" s="4">
        <f t="shared" ca="1" si="215"/>
        <v>77</v>
      </c>
      <c r="AC1964" t="str">
        <f t="shared" si="216"/>
        <v>High</v>
      </c>
    </row>
    <row r="1965" spans="1:29">
      <c r="A1965" t="s">
        <v>6728</v>
      </c>
      <c r="B1965" s="2">
        <v>45890</v>
      </c>
      <c r="C1965" t="s">
        <v>2194</v>
      </c>
      <c r="D1965" t="s">
        <v>1600</v>
      </c>
      <c r="E1965" t="s">
        <v>6729</v>
      </c>
      <c r="F1965" t="s">
        <v>6730</v>
      </c>
      <c r="G1965" t="s">
        <v>47</v>
      </c>
      <c r="H1965" t="s">
        <v>113</v>
      </c>
      <c r="I1965" t="s">
        <v>141</v>
      </c>
      <c r="J1965" t="s">
        <v>124</v>
      </c>
      <c r="K1965" t="s">
        <v>51</v>
      </c>
      <c r="L1965" t="s">
        <v>115</v>
      </c>
      <c r="M1965" t="s">
        <v>210</v>
      </c>
      <c r="N1965" t="s">
        <v>134</v>
      </c>
      <c r="O1965" s="3">
        <v>200000</v>
      </c>
      <c r="P1965" s="4">
        <v>0</v>
      </c>
      <c r="Q1965" s="2">
        <v>45948</v>
      </c>
      <c r="R1965" s="2"/>
      <c r="S1965" s="2">
        <v>45913</v>
      </c>
      <c r="T1965" s="2">
        <v>45948</v>
      </c>
      <c r="U1965" t="str">
        <f t="shared" si="210"/>
        <v>No</v>
      </c>
      <c r="V1965" t="s">
        <v>319</v>
      </c>
      <c r="W1965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58</v>
      </c>
      <c r="X1965" t="str">
        <f t="shared" ca="1" si="211"/>
        <v>Closed</v>
      </c>
      <c r="Y1965" t="str">
        <f t="shared" si="212"/>
        <v>Closed</v>
      </c>
      <c r="Z1965" t="str">
        <f t="shared" si="213"/>
        <v>Aug-2025</v>
      </c>
      <c r="AA1965" t="str">
        <f t="shared" si="214"/>
        <v>Q3 2025</v>
      </c>
      <c r="AB1965" s="4">
        <f t="shared" ca="1" si="215"/>
        <v>309</v>
      </c>
      <c r="AC1965" t="str">
        <f t="shared" si="216"/>
        <v>Medium</v>
      </c>
    </row>
    <row r="1966" spans="1:29">
      <c r="A1966" t="s">
        <v>6731</v>
      </c>
      <c r="B1966" s="2">
        <v>45763</v>
      </c>
      <c r="C1966" t="s">
        <v>3410</v>
      </c>
      <c r="D1966" t="s">
        <v>375</v>
      </c>
      <c r="E1966" t="s">
        <v>6732</v>
      </c>
      <c r="F1966" t="s">
        <v>6733</v>
      </c>
      <c r="G1966" t="s">
        <v>69</v>
      </c>
      <c r="H1966" t="s">
        <v>312</v>
      </c>
      <c r="I1966" t="s">
        <v>36</v>
      </c>
      <c r="J1966" t="s">
        <v>131</v>
      </c>
      <c r="K1966" t="s">
        <v>38</v>
      </c>
      <c r="L1966" t="s">
        <v>52</v>
      </c>
      <c r="M1966" t="s">
        <v>90</v>
      </c>
      <c r="N1966" t="s">
        <v>91</v>
      </c>
      <c r="O1966" s="3">
        <v>380000</v>
      </c>
      <c r="P1966" s="4">
        <v>55</v>
      </c>
      <c r="Q1966" s="2">
        <v>45808</v>
      </c>
      <c r="R1966" s="2">
        <v>46226</v>
      </c>
      <c r="S1966" s="2">
        <v>45787</v>
      </c>
      <c r="T1966" s="2"/>
      <c r="U1966" t="str">
        <f t="shared" si="210"/>
        <v>No</v>
      </c>
      <c r="W196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6" t="str">
        <f t="shared" ca="1" si="211"/>
        <v>Due/Open</v>
      </c>
      <c r="Y1966" t="str">
        <f t="shared" si="212"/>
        <v>Open</v>
      </c>
      <c r="Z1966" t="str">
        <f t="shared" si="213"/>
        <v>Apr-2025</v>
      </c>
      <c r="AA1966" t="str">
        <f t="shared" si="214"/>
        <v>Q2 2025</v>
      </c>
      <c r="AB1966" s="4">
        <f t="shared" ca="1" si="215"/>
        <v>436</v>
      </c>
      <c r="AC1966" t="str">
        <f t="shared" si="216"/>
        <v>High</v>
      </c>
    </row>
    <row r="1967" spans="1:29">
      <c r="A1967" t="s">
        <v>6734</v>
      </c>
      <c r="B1967" s="2">
        <v>45787</v>
      </c>
      <c r="C1967" t="s">
        <v>1468</v>
      </c>
      <c r="D1967" t="s">
        <v>565</v>
      </c>
      <c r="E1967" t="s">
        <v>6735</v>
      </c>
      <c r="F1967" t="s">
        <v>6736</v>
      </c>
      <c r="G1967" t="s">
        <v>47</v>
      </c>
      <c r="H1967" t="s">
        <v>122</v>
      </c>
      <c r="I1967" t="s">
        <v>123</v>
      </c>
      <c r="J1967" t="s">
        <v>50</v>
      </c>
      <c r="K1967" t="s">
        <v>71</v>
      </c>
      <c r="L1967" t="s">
        <v>72</v>
      </c>
      <c r="M1967" t="s">
        <v>82</v>
      </c>
      <c r="N1967" t="s">
        <v>83</v>
      </c>
      <c r="O1967" s="3">
        <v>420000</v>
      </c>
      <c r="P1967" s="4">
        <v>5</v>
      </c>
      <c r="Q1967" s="2">
        <v>45872</v>
      </c>
      <c r="R1967" s="2">
        <v>46207</v>
      </c>
      <c r="S1967" s="2">
        <v>45817</v>
      </c>
      <c r="T1967" s="2"/>
      <c r="U1967" t="str">
        <f t="shared" si="210"/>
        <v>No</v>
      </c>
      <c r="W196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7" t="str">
        <f t="shared" ca="1" si="211"/>
        <v>Due/Open</v>
      </c>
      <c r="Y1967" t="str">
        <f t="shared" si="212"/>
        <v>Open</v>
      </c>
      <c r="Z1967" t="str">
        <f t="shared" si="213"/>
        <v>May-2025</v>
      </c>
      <c r="AA1967" t="str">
        <f t="shared" si="214"/>
        <v>Q2 2025</v>
      </c>
      <c r="AB1967" s="4">
        <f t="shared" ca="1" si="215"/>
        <v>412</v>
      </c>
      <c r="AC1967" t="str">
        <f t="shared" si="216"/>
        <v>High</v>
      </c>
    </row>
    <row r="1968" spans="1:29">
      <c r="A1968" t="s">
        <v>6737</v>
      </c>
      <c r="B1968" s="2">
        <v>46051</v>
      </c>
      <c r="C1968" t="s">
        <v>6193</v>
      </c>
      <c r="D1968" t="s">
        <v>943</v>
      </c>
      <c r="E1968" t="s">
        <v>6738</v>
      </c>
      <c r="F1968" t="s">
        <v>6739</v>
      </c>
      <c r="G1968" t="s">
        <v>79</v>
      </c>
      <c r="H1968" t="s">
        <v>80</v>
      </c>
      <c r="I1968" t="s">
        <v>141</v>
      </c>
      <c r="J1968" t="s">
        <v>62</v>
      </c>
      <c r="K1968" t="s">
        <v>71</v>
      </c>
      <c r="L1968" t="s">
        <v>154</v>
      </c>
      <c r="M1968" t="s">
        <v>53</v>
      </c>
      <c r="N1968" t="s">
        <v>54</v>
      </c>
      <c r="O1968" s="3">
        <v>305000</v>
      </c>
      <c r="P1968" s="4">
        <v>30</v>
      </c>
      <c r="Q1968" s="2">
        <v>46116</v>
      </c>
      <c r="R1968" s="2">
        <v>46193</v>
      </c>
      <c r="S1968" s="2">
        <v>46063</v>
      </c>
      <c r="T1968" s="2"/>
      <c r="U1968" t="str">
        <f t="shared" si="210"/>
        <v>No</v>
      </c>
      <c r="W196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68" t="str">
        <f t="shared" ca="1" si="211"/>
        <v>Overdue</v>
      </c>
      <c r="Y1968" t="str">
        <f t="shared" si="212"/>
        <v>Open</v>
      </c>
      <c r="Z1968" t="str">
        <f t="shared" si="213"/>
        <v>Jan-2026</v>
      </c>
      <c r="AA1968" t="str">
        <f t="shared" si="214"/>
        <v>Q1 2026</v>
      </c>
      <c r="AB1968" s="4">
        <f t="shared" ca="1" si="215"/>
        <v>148</v>
      </c>
      <c r="AC1968" t="str">
        <f t="shared" si="216"/>
        <v>High</v>
      </c>
    </row>
    <row r="1969" spans="1:29">
      <c r="A1969" t="s">
        <v>6740</v>
      </c>
      <c r="B1969" s="2">
        <v>45818</v>
      </c>
      <c r="C1969" t="s">
        <v>5057</v>
      </c>
      <c r="D1969" t="s">
        <v>784</v>
      </c>
      <c r="E1969" t="s">
        <v>6741</v>
      </c>
      <c r="F1969" t="s">
        <v>6742</v>
      </c>
      <c r="G1969" t="s">
        <v>69</v>
      </c>
      <c r="H1969" t="s">
        <v>200</v>
      </c>
      <c r="I1969" t="s">
        <v>36</v>
      </c>
      <c r="J1969" t="s">
        <v>50</v>
      </c>
      <c r="K1969" t="s">
        <v>194</v>
      </c>
      <c r="L1969" t="s">
        <v>107</v>
      </c>
      <c r="M1969" t="s">
        <v>133</v>
      </c>
      <c r="N1969" t="s">
        <v>134</v>
      </c>
      <c r="O1969" s="3">
        <v>370000</v>
      </c>
      <c r="P1969" s="4">
        <v>0</v>
      </c>
      <c r="Q1969" s="2">
        <v>45877</v>
      </c>
      <c r="R1969" s="2"/>
      <c r="S1969" s="2">
        <v>45833</v>
      </c>
      <c r="T1969" s="2">
        <v>45877</v>
      </c>
      <c r="U1969" t="str">
        <f t="shared" si="210"/>
        <v>No</v>
      </c>
      <c r="V1969" t="s">
        <v>319</v>
      </c>
      <c r="W1969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59</v>
      </c>
      <c r="X1969" t="str">
        <f t="shared" ca="1" si="211"/>
        <v>Closed</v>
      </c>
      <c r="Y1969" t="str">
        <f t="shared" si="212"/>
        <v>Closed</v>
      </c>
      <c r="Z1969" t="str">
        <f t="shared" si="213"/>
        <v>Jun-2025</v>
      </c>
      <c r="AA1969" t="str">
        <f t="shared" si="214"/>
        <v>Q2 2025</v>
      </c>
      <c r="AB1969" s="4">
        <f t="shared" ca="1" si="215"/>
        <v>381</v>
      </c>
      <c r="AC1969" t="str">
        <f t="shared" si="216"/>
        <v>High</v>
      </c>
    </row>
    <row r="1970" spans="1:29">
      <c r="A1970" t="s">
        <v>6743</v>
      </c>
      <c r="B1970" s="2">
        <v>46153</v>
      </c>
      <c r="C1970" t="s">
        <v>3739</v>
      </c>
      <c r="D1970" t="s">
        <v>586</v>
      </c>
      <c r="E1970" t="s">
        <v>6744</v>
      </c>
      <c r="F1970" t="s">
        <v>6745</v>
      </c>
      <c r="G1970" t="s">
        <v>69</v>
      </c>
      <c r="H1970" t="s">
        <v>200</v>
      </c>
      <c r="I1970" t="s">
        <v>98</v>
      </c>
      <c r="J1970" t="s">
        <v>62</v>
      </c>
      <c r="K1970" t="s">
        <v>71</v>
      </c>
      <c r="L1970" t="s">
        <v>39</v>
      </c>
      <c r="M1970" t="s">
        <v>133</v>
      </c>
      <c r="N1970" t="s">
        <v>134</v>
      </c>
      <c r="O1970" s="3">
        <v>410000</v>
      </c>
      <c r="P1970" s="4">
        <v>0</v>
      </c>
      <c r="Q1970" s="2">
        <v>46182</v>
      </c>
      <c r="R1970" s="2"/>
      <c r="S1970" s="2">
        <v>46180</v>
      </c>
      <c r="T1970" s="2">
        <v>46182</v>
      </c>
      <c r="U1970" t="str">
        <f t="shared" si="210"/>
        <v>No</v>
      </c>
      <c r="V1970" t="s">
        <v>276</v>
      </c>
      <c r="W197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29</v>
      </c>
      <c r="X1970" t="str">
        <f t="shared" ca="1" si="211"/>
        <v>Closed</v>
      </c>
      <c r="Y1970" t="str">
        <f t="shared" si="212"/>
        <v>Closed</v>
      </c>
      <c r="Z1970" t="str">
        <f t="shared" si="213"/>
        <v>May-2026</v>
      </c>
      <c r="AA1970" t="str">
        <f t="shared" si="214"/>
        <v>Q2 2026</v>
      </c>
      <c r="AB1970" s="4">
        <f t="shared" ca="1" si="215"/>
        <v>46</v>
      </c>
      <c r="AC1970" t="str">
        <f t="shared" si="216"/>
        <v>High</v>
      </c>
    </row>
    <row r="1971" spans="1:29">
      <c r="A1971" t="s">
        <v>6746</v>
      </c>
      <c r="B1971" s="2">
        <v>46133</v>
      </c>
      <c r="C1971" t="s">
        <v>1342</v>
      </c>
      <c r="D1971" t="s">
        <v>517</v>
      </c>
      <c r="E1971" t="s">
        <v>6747</v>
      </c>
      <c r="F1971" t="s">
        <v>6748</v>
      </c>
      <c r="G1971" t="s">
        <v>34</v>
      </c>
      <c r="H1971" t="s">
        <v>173</v>
      </c>
      <c r="I1971" t="s">
        <v>36</v>
      </c>
      <c r="J1971" t="s">
        <v>62</v>
      </c>
      <c r="K1971" t="s">
        <v>100</v>
      </c>
      <c r="L1971" t="s">
        <v>107</v>
      </c>
      <c r="M1971" t="s">
        <v>73</v>
      </c>
      <c r="N1971" t="s">
        <v>73</v>
      </c>
      <c r="O1971" s="3">
        <v>385000</v>
      </c>
      <c r="P1971" s="4">
        <v>85</v>
      </c>
      <c r="Q1971" s="2">
        <v>46163</v>
      </c>
      <c r="R1971" s="2">
        <v>46156</v>
      </c>
      <c r="S1971" s="2">
        <v>46142</v>
      </c>
      <c r="T1971" s="2"/>
      <c r="U1971" t="str">
        <f t="shared" si="210"/>
        <v>No</v>
      </c>
      <c r="W197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1" t="str">
        <f t="shared" ca="1" si="211"/>
        <v>Overdue</v>
      </c>
      <c r="Y1971" t="str">
        <f t="shared" si="212"/>
        <v>Open</v>
      </c>
      <c r="Z1971" t="str">
        <f t="shared" si="213"/>
        <v>Apr-2026</v>
      </c>
      <c r="AA1971" t="str">
        <f t="shared" si="214"/>
        <v>Q2 2026</v>
      </c>
      <c r="AB1971" s="4">
        <f t="shared" ca="1" si="215"/>
        <v>66</v>
      </c>
      <c r="AC1971" t="str">
        <f t="shared" si="216"/>
        <v>High</v>
      </c>
    </row>
    <row r="1972" spans="1:29">
      <c r="A1972" t="s">
        <v>6749</v>
      </c>
      <c r="B1972" s="2">
        <v>45762</v>
      </c>
      <c r="C1972" t="s">
        <v>4070</v>
      </c>
      <c r="D1972" t="s">
        <v>1178</v>
      </c>
      <c r="E1972" t="s">
        <v>6750</v>
      </c>
      <c r="F1972" t="s">
        <v>6751</v>
      </c>
      <c r="G1972" t="s">
        <v>34</v>
      </c>
      <c r="H1972" t="s">
        <v>35</v>
      </c>
      <c r="I1972" t="s">
        <v>49</v>
      </c>
      <c r="J1972" t="s">
        <v>99</v>
      </c>
      <c r="K1972" t="s">
        <v>51</v>
      </c>
      <c r="L1972" t="s">
        <v>142</v>
      </c>
      <c r="M1972" t="s">
        <v>53</v>
      </c>
      <c r="N1972" t="s">
        <v>54</v>
      </c>
      <c r="O1972" s="3">
        <v>180000</v>
      </c>
      <c r="P1972" s="4">
        <v>35</v>
      </c>
      <c r="Q1972" s="2">
        <v>45857</v>
      </c>
      <c r="R1972" s="2">
        <v>46243</v>
      </c>
      <c r="S1972" s="2">
        <v>45780</v>
      </c>
      <c r="T1972" s="2"/>
      <c r="U1972" t="str">
        <f t="shared" si="210"/>
        <v>No</v>
      </c>
      <c r="W197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2" t="str">
        <f t="shared" ca="1" si="211"/>
        <v>Due/Open</v>
      </c>
      <c r="Y1972" t="str">
        <f t="shared" si="212"/>
        <v>Open</v>
      </c>
      <c r="Z1972" t="str">
        <f t="shared" si="213"/>
        <v>Apr-2025</v>
      </c>
      <c r="AA1972" t="str">
        <f t="shared" si="214"/>
        <v>Q2 2025</v>
      </c>
      <c r="AB1972" s="4">
        <f t="shared" ca="1" si="215"/>
        <v>437</v>
      </c>
      <c r="AC1972" t="str">
        <f t="shared" si="216"/>
        <v>Medium</v>
      </c>
    </row>
    <row r="1973" spans="1:29">
      <c r="A1973" t="s">
        <v>6752</v>
      </c>
      <c r="B1973" s="2">
        <v>45911</v>
      </c>
      <c r="C1973" t="s">
        <v>5281</v>
      </c>
      <c r="D1973" t="s">
        <v>2827</v>
      </c>
      <c r="E1973" t="s">
        <v>6753</v>
      </c>
      <c r="F1973" t="s">
        <v>6754</v>
      </c>
      <c r="G1973" t="s">
        <v>179</v>
      </c>
      <c r="H1973" t="s">
        <v>180</v>
      </c>
      <c r="I1973" t="s">
        <v>49</v>
      </c>
      <c r="J1973" t="s">
        <v>50</v>
      </c>
      <c r="K1973" t="s">
        <v>51</v>
      </c>
      <c r="L1973" t="s">
        <v>115</v>
      </c>
      <c r="M1973" t="s">
        <v>53</v>
      </c>
      <c r="N1973" t="s">
        <v>54</v>
      </c>
      <c r="O1973" s="3">
        <v>530000</v>
      </c>
      <c r="P1973" s="4">
        <v>30</v>
      </c>
      <c r="Q1973" s="2">
        <v>45990</v>
      </c>
      <c r="R1973" s="2">
        <v>46204</v>
      </c>
      <c r="S1973" s="2">
        <v>45917</v>
      </c>
      <c r="T1973" s="2"/>
      <c r="U1973" t="str">
        <f t="shared" si="210"/>
        <v>No</v>
      </c>
      <c r="W197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3" t="str">
        <f t="shared" ca="1" si="211"/>
        <v>Due/Open</v>
      </c>
      <c r="Y1973" t="str">
        <f t="shared" si="212"/>
        <v>Open</v>
      </c>
      <c r="Z1973" t="str">
        <f t="shared" si="213"/>
        <v>Sep-2025</v>
      </c>
      <c r="AA1973" t="str">
        <f t="shared" si="214"/>
        <v>Q3 2025</v>
      </c>
      <c r="AB1973" s="4">
        <f t="shared" ca="1" si="215"/>
        <v>288</v>
      </c>
      <c r="AC1973" t="str">
        <f t="shared" si="216"/>
        <v>High</v>
      </c>
    </row>
    <row r="1974" spans="1:29">
      <c r="A1974" t="s">
        <v>6755</v>
      </c>
      <c r="B1974" s="2">
        <v>45761</v>
      </c>
      <c r="C1974" t="s">
        <v>1843</v>
      </c>
      <c r="D1974" t="s">
        <v>2179</v>
      </c>
      <c r="E1974" t="s">
        <v>6756</v>
      </c>
      <c r="F1974" t="s">
        <v>6757</v>
      </c>
      <c r="G1974" t="s">
        <v>179</v>
      </c>
      <c r="H1974" t="s">
        <v>318</v>
      </c>
      <c r="I1974" t="s">
        <v>49</v>
      </c>
      <c r="J1974" t="s">
        <v>124</v>
      </c>
      <c r="K1974" t="s">
        <v>100</v>
      </c>
      <c r="L1974" t="s">
        <v>239</v>
      </c>
      <c r="M1974" t="s">
        <v>90</v>
      </c>
      <c r="N1974" t="s">
        <v>91</v>
      </c>
      <c r="O1974" s="3">
        <v>135000</v>
      </c>
      <c r="P1974" s="4">
        <v>55</v>
      </c>
      <c r="Q1974" s="2">
        <v>45851</v>
      </c>
      <c r="R1974" s="2">
        <v>46232</v>
      </c>
      <c r="S1974" s="2">
        <v>45780</v>
      </c>
      <c r="T1974" s="2"/>
      <c r="U1974" t="str">
        <f t="shared" si="210"/>
        <v>No</v>
      </c>
      <c r="W197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4" t="str">
        <f t="shared" ca="1" si="211"/>
        <v>Due/Open</v>
      </c>
      <c r="Y1974" t="str">
        <f t="shared" si="212"/>
        <v>Open</v>
      </c>
      <c r="Z1974" t="str">
        <f t="shared" si="213"/>
        <v>Apr-2025</v>
      </c>
      <c r="AA1974" t="str">
        <f t="shared" si="214"/>
        <v>Q2 2025</v>
      </c>
      <c r="AB1974" s="4">
        <f t="shared" ca="1" si="215"/>
        <v>438</v>
      </c>
      <c r="AC1974" t="str">
        <f t="shared" si="216"/>
        <v>Medium</v>
      </c>
    </row>
    <row r="1975" spans="1:29">
      <c r="A1975" t="s">
        <v>6758</v>
      </c>
      <c r="B1975" s="2">
        <v>45688</v>
      </c>
      <c r="C1975" t="s">
        <v>819</v>
      </c>
      <c r="D1975" t="s">
        <v>361</v>
      </c>
      <c r="E1975" t="s">
        <v>6759</v>
      </c>
      <c r="F1975" t="s">
        <v>6760</v>
      </c>
      <c r="G1975" t="s">
        <v>79</v>
      </c>
      <c r="H1975" t="s">
        <v>97</v>
      </c>
      <c r="I1975" t="s">
        <v>98</v>
      </c>
      <c r="J1975" t="s">
        <v>37</v>
      </c>
      <c r="K1975" t="s">
        <v>71</v>
      </c>
      <c r="L1975" t="s">
        <v>239</v>
      </c>
      <c r="M1975" t="s">
        <v>82</v>
      </c>
      <c r="N1975" t="s">
        <v>83</v>
      </c>
      <c r="O1975" s="3">
        <v>80000</v>
      </c>
      <c r="P1975" s="4">
        <v>5</v>
      </c>
      <c r="Q1975" s="2">
        <v>45736</v>
      </c>
      <c r="R1975" s="2">
        <v>46215</v>
      </c>
      <c r="S1975" s="2">
        <v>45707</v>
      </c>
      <c r="T1975" s="2"/>
      <c r="U1975" t="str">
        <f t="shared" si="210"/>
        <v>No</v>
      </c>
      <c r="W197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5" t="str">
        <f t="shared" ca="1" si="211"/>
        <v>Due/Open</v>
      </c>
      <c r="Y1975" t="str">
        <f t="shared" si="212"/>
        <v>Open</v>
      </c>
      <c r="Z1975" t="str">
        <f t="shared" si="213"/>
        <v>Jan-2025</v>
      </c>
      <c r="AA1975" t="str">
        <f t="shared" si="214"/>
        <v>Q1 2025</v>
      </c>
      <c r="AB1975" s="4">
        <f t="shared" ca="1" si="215"/>
        <v>511</v>
      </c>
      <c r="AC1975" t="str">
        <f t="shared" si="216"/>
        <v>Low</v>
      </c>
    </row>
    <row r="1976" spans="1:29">
      <c r="A1976" t="s">
        <v>6761</v>
      </c>
      <c r="B1976" s="2">
        <v>45926</v>
      </c>
      <c r="C1976" t="s">
        <v>3198</v>
      </c>
      <c r="D1976" t="s">
        <v>2231</v>
      </c>
      <c r="E1976" t="s">
        <v>6762</v>
      </c>
      <c r="F1976" t="s">
        <v>6763</v>
      </c>
      <c r="G1976" t="s">
        <v>34</v>
      </c>
      <c r="H1976" t="s">
        <v>60</v>
      </c>
      <c r="I1976" t="s">
        <v>148</v>
      </c>
      <c r="J1976" t="s">
        <v>50</v>
      </c>
      <c r="K1976" t="s">
        <v>114</v>
      </c>
      <c r="L1976" t="s">
        <v>154</v>
      </c>
      <c r="M1976" t="s">
        <v>166</v>
      </c>
      <c r="N1976" t="s">
        <v>167</v>
      </c>
      <c r="O1976" s="3">
        <v>265000</v>
      </c>
      <c r="P1976" s="4">
        <v>60</v>
      </c>
      <c r="Q1976" s="2">
        <v>45993</v>
      </c>
      <c r="R1976" s="2">
        <v>46231</v>
      </c>
      <c r="S1976" s="2">
        <v>45943</v>
      </c>
      <c r="T1976" s="2"/>
      <c r="U1976" t="str">
        <f t="shared" si="210"/>
        <v>No</v>
      </c>
      <c r="W197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6" t="str">
        <f t="shared" ca="1" si="211"/>
        <v>Due/Open</v>
      </c>
      <c r="Y1976" t="str">
        <f t="shared" si="212"/>
        <v>Open</v>
      </c>
      <c r="Z1976" t="str">
        <f t="shared" si="213"/>
        <v>Sep-2025</v>
      </c>
      <c r="AA1976" t="str">
        <f t="shared" si="214"/>
        <v>Q3 2025</v>
      </c>
      <c r="AB1976" s="4">
        <f t="shared" ca="1" si="215"/>
        <v>273</v>
      </c>
      <c r="AC1976" t="str">
        <f t="shared" si="216"/>
        <v>Medium</v>
      </c>
    </row>
    <row r="1977" spans="1:29">
      <c r="A1977" t="s">
        <v>6764</v>
      </c>
      <c r="B1977" s="2">
        <v>45825</v>
      </c>
      <c r="C1977" t="s">
        <v>733</v>
      </c>
      <c r="D1977" t="s">
        <v>1052</v>
      </c>
      <c r="E1977" t="s">
        <v>6765</v>
      </c>
      <c r="F1977" t="s">
        <v>6766</v>
      </c>
      <c r="G1977" t="s">
        <v>47</v>
      </c>
      <c r="H1977" t="s">
        <v>89</v>
      </c>
      <c r="I1977" t="s">
        <v>123</v>
      </c>
      <c r="J1977" t="s">
        <v>131</v>
      </c>
      <c r="K1977" t="s">
        <v>100</v>
      </c>
      <c r="L1977" t="s">
        <v>239</v>
      </c>
      <c r="M1977" t="s">
        <v>166</v>
      </c>
      <c r="N1977" t="s">
        <v>167</v>
      </c>
      <c r="O1977" s="3">
        <v>300000</v>
      </c>
      <c r="P1977" s="4">
        <v>70</v>
      </c>
      <c r="Q1977" s="2">
        <v>45886</v>
      </c>
      <c r="R1977" s="2">
        <v>46199</v>
      </c>
      <c r="S1977" s="2">
        <v>45833</v>
      </c>
      <c r="T1977" s="2"/>
      <c r="U1977" t="str">
        <f t="shared" si="210"/>
        <v>No</v>
      </c>
      <c r="W197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7" t="str">
        <f t="shared" ca="1" si="211"/>
        <v>Due/Open</v>
      </c>
      <c r="Y1977" t="str">
        <f t="shared" si="212"/>
        <v>Open</v>
      </c>
      <c r="Z1977" t="str">
        <f t="shared" si="213"/>
        <v>Jun-2025</v>
      </c>
      <c r="AA1977" t="str">
        <f t="shared" si="214"/>
        <v>Q2 2025</v>
      </c>
      <c r="AB1977" s="4">
        <f t="shared" ca="1" si="215"/>
        <v>374</v>
      </c>
      <c r="AC1977" t="str">
        <f t="shared" si="216"/>
        <v>High</v>
      </c>
    </row>
    <row r="1978" spans="1:29">
      <c r="A1978" t="s">
        <v>6767</v>
      </c>
      <c r="B1978" s="2">
        <v>46181</v>
      </c>
      <c r="C1978" t="s">
        <v>3117</v>
      </c>
      <c r="D1978" t="s">
        <v>86</v>
      </c>
      <c r="E1978" t="s">
        <v>6768</v>
      </c>
      <c r="F1978" t="s">
        <v>6769</v>
      </c>
      <c r="G1978" t="s">
        <v>179</v>
      </c>
      <c r="H1978" t="s">
        <v>186</v>
      </c>
      <c r="I1978" t="s">
        <v>141</v>
      </c>
      <c r="J1978" t="s">
        <v>131</v>
      </c>
      <c r="K1978" t="s">
        <v>194</v>
      </c>
      <c r="L1978" t="s">
        <v>39</v>
      </c>
      <c r="M1978" t="s">
        <v>73</v>
      </c>
      <c r="N1978" t="s">
        <v>73</v>
      </c>
      <c r="O1978" s="3">
        <v>115000</v>
      </c>
      <c r="P1978" s="4">
        <v>85</v>
      </c>
      <c r="Q1978" s="2">
        <v>46234</v>
      </c>
      <c r="R1978" s="2">
        <v>46219</v>
      </c>
      <c r="S1978" s="2">
        <v>46189</v>
      </c>
      <c r="T1978" s="2"/>
      <c r="U1978" t="str">
        <f t="shared" si="210"/>
        <v>No</v>
      </c>
      <c r="W197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8" t="str">
        <f t="shared" ca="1" si="211"/>
        <v>Due/Open</v>
      </c>
      <c r="Y1978" t="str">
        <f t="shared" si="212"/>
        <v>Open</v>
      </c>
      <c r="Z1978" t="str">
        <f t="shared" si="213"/>
        <v>Jun-2026</v>
      </c>
      <c r="AA1978" t="str">
        <f t="shared" si="214"/>
        <v>Q2 2026</v>
      </c>
      <c r="AB1978" s="4">
        <f t="shared" ca="1" si="215"/>
        <v>18</v>
      </c>
      <c r="AC1978" t="str">
        <f t="shared" si="216"/>
        <v>Low</v>
      </c>
    </row>
    <row r="1979" spans="1:29">
      <c r="A1979" t="s">
        <v>6770</v>
      </c>
      <c r="B1979" s="2">
        <v>45747</v>
      </c>
      <c r="C1979" t="s">
        <v>2662</v>
      </c>
      <c r="D1979" t="s">
        <v>676</v>
      </c>
      <c r="E1979" t="s">
        <v>6771</v>
      </c>
      <c r="F1979" t="s">
        <v>6772</v>
      </c>
      <c r="G1979" t="s">
        <v>69</v>
      </c>
      <c r="H1979" t="s">
        <v>285</v>
      </c>
      <c r="I1979" t="s">
        <v>98</v>
      </c>
      <c r="J1979" t="s">
        <v>131</v>
      </c>
      <c r="K1979" t="s">
        <v>51</v>
      </c>
      <c r="L1979" t="s">
        <v>142</v>
      </c>
      <c r="M1979" t="s">
        <v>82</v>
      </c>
      <c r="N1979" t="s">
        <v>83</v>
      </c>
      <c r="O1979" s="3">
        <v>265000</v>
      </c>
      <c r="P1979" s="4">
        <v>5</v>
      </c>
      <c r="Q1979" s="2">
        <v>45773</v>
      </c>
      <c r="R1979" s="2">
        <v>46154</v>
      </c>
      <c r="S1979" s="2">
        <v>45761</v>
      </c>
      <c r="T1979" s="2"/>
      <c r="U1979" t="str">
        <f t="shared" si="210"/>
        <v>No</v>
      </c>
      <c r="W197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79" t="str">
        <f t="shared" ca="1" si="211"/>
        <v>Overdue</v>
      </c>
      <c r="Y1979" t="str">
        <f t="shared" si="212"/>
        <v>Open</v>
      </c>
      <c r="Z1979" t="str">
        <f t="shared" si="213"/>
        <v>Mar-2025</v>
      </c>
      <c r="AA1979" t="str">
        <f t="shared" si="214"/>
        <v>Q1 2025</v>
      </c>
      <c r="AB1979" s="4">
        <f t="shared" ca="1" si="215"/>
        <v>452</v>
      </c>
      <c r="AC1979" t="str">
        <f t="shared" si="216"/>
        <v>Medium</v>
      </c>
    </row>
    <row r="1980" spans="1:29">
      <c r="A1980" t="s">
        <v>6773</v>
      </c>
      <c r="B1980" s="2">
        <v>45796</v>
      </c>
      <c r="C1980" t="s">
        <v>1016</v>
      </c>
      <c r="D1980" t="s">
        <v>2231</v>
      </c>
      <c r="E1980" t="s">
        <v>6774</v>
      </c>
      <c r="F1980" t="s">
        <v>6775</v>
      </c>
      <c r="G1980" t="s">
        <v>47</v>
      </c>
      <c r="H1980" t="s">
        <v>493</v>
      </c>
      <c r="I1980" t="s">
        <v>36</v>
      </c>
      <c r="J1980" t="s">
        <v>50</v>
      </c>
      <c r="K1980" t="s">
        <v>100</v>
      </c>
      <c r="L1980" t="s">
        <v>132</v>
      </c>
      <c r="M1980" t="s">
        <v>53</v>
      </c>
      <c r="N1980" t="s">
        <v>54</v>
      </c>
      <c r="O1980" s="3">
        <v>245000</v>
      </c>
      <c r="P1980" s="4">
        <v>25</v>
      </c>
      <c r="Q1980" s="2">
        <v>45878</v>
      </c>
      <c r="R1980" s="2">
        <v>46158</v>
      </c>
      <c r="S1980" s="2">
        <v>45819</v>
      </c>
      <c r="T1980" s="2"/>
      <c r="U1980" t="str">
        <f t="shared" si="210"/>
        <v>No</v>
      </c>
      <c r="W198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0" t="str">
        <f t="shared" ca="1" si="211"/>
        <v>Overdue</v>
      </c>
      <c r="Y1980" t="str">
        <f t="shared" si="212"/>
        <v>Open</v>
      </c>
      <c r="Z1980" t="str">
        <f t="shared" si="213"/>
        <v>May-2025</v>
      </c>
      <c r="AA1980" t="str">
        <f t="shared" si="214"/>
        <v>Q2 2025</v>
      </c>
      <c r="AB1980" s="4">
        <f t="shared" ca="1" si="215"/>
        <v>403</v>
      </c>
      <c r="AC1980" t="str">
        <f t="shared" si="216"/>
        <v>Medium</v>
      </c>
    </row>
    <row r="1981" spans="1:29">
      <c r="A1981" t="s">
        <v>6776</v>
      </c>
      <c r="B1981" s="2">
        <v>46149</v>
      </c>
      <c r="C1981" t="s">
        <v>2956</v>
      </c>
      <c r="D1981" t="s">
        <v>394</v>
      </c>
      <c r="E1981" t="s">
        <v>6777</v>
      </c>
      <c r="F1981" t="s">
        <v>6778</v>
      </c>
      <c r="G1981" t="s">
        <v>79</v>
      </c>
      <c r="H1981" t="s">
        <v>217</v>
      </c>
      <c r="I1981" t="s">
        <v>187</v>
      </c>
      <c r="J1981" t="s">
        <v>124</v>
      </c>
      <c r="K1981" t="s">
        <v>114</v>
      </c>
      <c r="L1981" t="s">
        <v>239</v>
      </c>
      <c r="M1981" t="s">
        <v>82</v>
      </c>
      <c r="N1981" t="s">
        <v>83</v>
      </c>
      <c r="O1981" s="3">
        <v>335000</v>
      </c>
      <c r="P1981" s="4">
        <v>10</v>
      </c>
      <c r="Q1981" s="2">
        <v>46243</v>
      </c>
      <c r="R1981" s="2">
        <v>46161</v>
      </c>
      <c r="S1981" s="2">
        <v>46166</v>
      </c>
      <c r="T1981" s="2"/>
      <c r="U1981" t="str">
        <f t="shared" si="210"/>
        <v>No</v>
      </c>
      <c r="W198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1" t="str">
        <f t="shared" ca="1" si="211"/>
        <v>Overdue</v>
      </c>
      <c r="Y1981" t="str">
        <f t="shared" si="212"/>
        <v>Open</v>
      </c>
      <c r="Z1981" t="str">
        <f t="shared" si="213"/>
        <v>May-2026</v>
      </c>
      <c r="AA1981" t="str">
        <f t="shared" si="214"/>
        <v>Q2 2026</v>
      </c>
      <c r="AB1981" s="4">
        <f t="shared" ca="1" si="215"/>
        <v>50</v>
      </c>
      <c r="AC1981" t="str">
        <f t="shared" si="216"/>
        <v>High</v>
      </c>
    </row>
    <row r="1982" spans="1:29">
      <c r="A1982" t="s">
        <v>6779</v>
      </c>
      <c r="B1982" s="2">
        <v>45740</v>
      </c>
      <c r="C1982" t="s">
        <v>3343</v>
      </c>
      <c r="D1982" t="s">
        <v>1319</v>
      </c>
      <c r="E1982" t="s">
        <v>6780</v>
      </c>
      <c r="F1982" t="s">
        <v>6781</v>
      </c>
      <c r="G1982" t="s">
        <v>79</v>
      </c>
      <c r="H1982" t="s">
        <v>228</v>
      </c>
      <c r="I1982" t="s">
        <v>61</v>
      </c>
      <c r="J1982" t="s">
        <v>37</v>
      </c>
      <c r="K1982" t="s">
        <v>38</v>
      </c>
      <c r="L1982" t="s">
        <v>125</v>
      </c>
      <c r="M1982" t="s">
        <v>53</v>
      </c>
      <c r="N1982" t="s">
        <v>54</v>
      </c>
      <c r="O1982" s="3">
        <v>75000</v>
      </c>
      <c r="P1982" s="4">
        <v>30</v>
      </c>
      <c r="Q1982" s="2">
        <v>45773</v>
      </c>
      <c r="R1982" s="2">
        <v>46240</v>
      </c>
      <c r="S1982" s="2">
        <v>45750</v>
      </c>
      <c r="T1982" s="2"/>
      <c r="U1982" t="str">
        <f t="shared" si="210"/>
        <v>No</v>
      </c>
      <c r="W198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2" t="str">
        <f t="shared" ca="1" si="211"/>
        <v>Due/Open</v>
      </c>
      <c r="Y1982" t="str">
        <f t="shared" si="212"/>
        <v>Open</v>
      </c>
      <c r="Z1982" t="str">
        <f t="shared" si="213"/>
        <v>Mar-2025</v>
      </c>
      <c r="AA1982" t="str">
        <f t="shared" si="214"/>
        <v>Q1 2025</v>
      </c>
      <c r="AB1982" s="4">
        <f t="shared" ca="1" si="215"/>
        <v>459</v>
      </c>
      <c r="AC1982" t="str">
        <f t="shared" si="216"/>
        <v>Low</v>
      </c>
    </row>
    <row r="1983" spans="1:29">
      <c r="A1983" t="s">
        <v>6782</v>
      </c>
      <c r="B1983" s="2">
        <v>45913</v>
      </c>
      <c r="C1983" t="s">
        <v>2725</v>
      </c>
      <c r="D1983" t="s">
        <v>304</v>
      </c>
      <c r="E1983" t="s">
        <v>6783</v>
      </c>
      <c r="F1983" t="s">
        <v>6784</v>
      </c>
      <c r="G1983" t="s">
        <v>79</v>
      </c>
      <c r="H1983" t="s">
        <v>260</v>
      </c>
      <c r="I1983" t="s">
        <v>49</v>
      </c>
      <c r="J1983" t="s">
        <v>62</v>
      </c>
      <c r="K1983" t="s">
        <v>71</v>
      </c>
      <c r="L1983" t="s">
        <v>239</v>
      </c>
      <c r="M1983" t="s">
        <v>53</v>
      </c>
      <c r="N1983" t="s">
        <v>54</v>
      </c>
      <c r="O1983" s="3">
        <v>225000</v>
      </c>
      <c r="P1983" s="4">
        <v>25</v>
      </c>
      <c r="Q1983" s="2">
        <v>45958</v>
      </c>
      <c r="R1983" s="2">
        <v>46201</v>
      </c>
      <c r="S1983" s="2">
        <v>45933</v>
      </c>
      <c r="T1983" s="2"/>
      <c r="U1983" t="str">
        <f t="shared" si="210"/>
        <v>No</v>
      </c>
      <c r="W198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3" t="str">
        <f t="shared" ca="1" si="211"/>
        <v>Due/Open</v>
      </c>
      <c r="Y1983" t="str">
        <f t="shared" si="212"/>
        <v>Open</v>
      </c>
      <c r="Z1983" t="str">
        <f t="shared" si="213"/>
        <v>Sep-2025</v>
      </c>
      <c r="AA1983" t="str">
        <f t="shared" si="214"/>
        <v>Q3 2025</v>
      </c>
      <c r="AB1983" s="4">
        <f t="shared" ca="1" si="215"/>
        <v>286</v>
      </c>
      <c r="AC1983" t="str">
        <f t="shared" si="216"/>
        <v>Medium</v>
      </c>
    </row>
    <row r="1984" spans="1:29">
      <c r="A1984" t="s">
        <v>6785</v>
      </c>
      <c r="B1984" s="2">
        <v>45886</v>
      </c>
      <c r="C1984" t="s">
        <v>6786</v>
      </c>
      <c r="D1984" t="s">
        <v>151</v>
      </c>
      <c r="E1984" t="s">
        <v>6787</v>
      </c>
      <c r="F1984" t="s">
        <v>6788</v>
      </c>
      <c r="G1984" t="s">
        <v>79</v>
      </c>
      <c r="H1984" t="s">
        <v>97</v>
      </c>
      <c r="I1984" t="s">
        <v>98</v>
      </c>
      <c r="J1984" t="s">
        <v>131</v>
      </c>
      <c r="K1984" t="s">
        <v>194</v>
      </c>
      <c r="L1984" t="s">
        <v>115</v>
      </c>
      <c r="M1984" t="s">
        <v>73</v>
      </c>
      <c r="N1984" t="s">
        <v>73</v>
      </c>
      <c r="O1984" s="3">
        <v>250000</v>
      </c>
      <c r="P1984" s="4">
        <v>85</v>
      </c>
      <c r="Q1984" s="2">
        <v>45929</v>
      </c>
      <c r="R1984" s="2">
        <v>46234</v>
      </c>
      <c r="S1984" s="2">
        <v>45907</v>
      </c>
      <c r="T1984" s="2"/>
      <c r="U1984" t="str">
        <f t="shared" si="210"/>
        <v>No</v>
      </c>
      <c r="W198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4" t="str">
        <f t="shared" ca="1" si="211"/>
        <v>Due/Open</v>
      </c>
      <c r="Y1984" t="str">
        <f t="shared" si="212"/>
        <v>Open</v>
      </c>
      <c r="Z1984" t="str">
        <f t="shared" si="213"/>
        <v>Aug-2025</v>
      </c>
      <c r="AA1984" t="str">
        <f t="shared" si="214"/>
        <v>Q3 2025</v>
      </c>
      <c r="AB1984" s="4">
        <f t="shared" ca="1" si="215"/>
        <v>313</v>
      </c>
      <c r="AC1984" t="str">
        <f t="shared" si="216"/>
        <v>Medium</v>
      </c>
    </row>
    <row r="1985" spans="1:29">
      <c r="A1985" t="s">
        <v>6789</v>
      </c>
      <c r="B1985" s="2">
        <v>46028</v>
      </c>
      <c r="C1985" t="s">
        <v>2358</v>
      </c>
      <c r="D1985" t="s">
        <v>304</v>
      </c>
      <c r="E1985" t="s">
        <v>6790</v>
      </c>
      <c r="F1985" t="s">
        <v>6791</v>
      </c>
      <c r="G1985" t="s">
        <v>47</v>
      </c>
      <c r="H1985" t="s">
        <v>48</v>
      </c>
      <c r="I1985" t="s">
        <v>36</v>
      </c>
      <c r="J1985" t="s">
        <v>124</v>
      </c>
      <c r="K1985" t="s">
        <v>38</v>
      </c>
      <c r="L1985" t="s">
        <v>115</v>
      </c>
      <c r="M1985" t="s">
        <v>53</v>
      </c>
      <c r="N1985" t="s">
        <v>54</v>
      </c>
      <c r="O1985" s="3">
        <v>110000</v>
      </c>
      <c r="P1985" s="4">
        <v>25</v>
      </c>
      <c r="Q1985" s="2">
        <v>46110</v>
      </c>
      <c r="R1985" s="2">
        <v>46191</v>
      </c>
      <c r="S1985" s="2">
        <v>46040</v>
      </c>
      <c r="T1985" s="2"/>
      <c r="U1985" t="str">
        <f t="shared" si="210"/>
        <v>No</v>
      </c>
      <c r="W198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5" t="str">
        <f t="shared" ca="1" si="211"/>
        <v>Overdue</v>
      </c>
      <c r="Y1985" t="str">
        <f t="shared" si="212"/>
        <v>Open</v>
      </c>
      <c r="Z1985" t="str">
        <f t="shared" si="213"/>
        <v>Jan-2026</v>
      </c>
      <c r="AA1985" t="str">
        <f t="shared" si="214"/>
        <v>Q1 2026</v>
      </c>
      <c r="AB1985" s="4">
        <f t="shared" ca="1" si="215"/>
        <v>171</v>
      </c>
      <c r="AC1985" t="str">
        <f t="shared" si="216"/>
        <v>Low</v>
      </c>
    </row>
    <row r="1986" spans="1:29">
      <c r="A1986" t="s">
        <v>6792</v>
      </c>
      <c r="B1986" s="2">
        <v>45850</v>
      </c>
      <c r="C1986" t="s">
        <v>1097</v>
      </c>
      <c r="D1986" t="s">
        <v>57</v>
      </c>
      <c r="E1986" t="s">
        <v>6793</v>
      </c>
      <c r="F1986" t="s">
        <v>6794</v>
      </c>
      <c r="G1986" t="s">
        <v>47</v>
      </c>
      <c r="H1986" t="s">
        <v>89</v>
      </c>
      <c r="I1986" t="s">
        <v>98</v>
      </c>
      <c r="J1986" t="s">
        <v>37</v>
      </c>
      <c r="K1986" t="s">
        <v>114</v>
      </c>
      <c r="L1986" t="s">
        <v>154</v>
      </c>
      <c r="M1986" t="s">
        <v>133</v>
      </c>
      <c r="N1986" t="s">
        <v>134</v>
      </c>
      <c r="O1986" s="3">
        <v>30000</v>
      </c>
      <c r="P1986" s="4">
        <v>0</v>
      </c>
      <c r="Q1986" s="2">
        <v>45874</v>
      </c>
      <c r="R1986" s="2"/>
      <c r="S1986" s="2">
        <v>45875</v>
      </c>
      <c r="T1986" s="2">
        <v>45874</v>
      </c>
      <c r="U1986" t="str">
        <f t="shared" ref="U1986:U2001" si="217">IF(M1986="Converted","Yes","No")</f>
        <v>No</v>
      </c>
      <c r="V1986" t="s">
        <v>319</v>
      </c>
      <c r="W1986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24</v>
      </c>
      <c r="X1986" t="str">
        <f t="shared" ref="X1986:X2001" ca="1" si="218">IF(OR(M1986="Converted",M1986="Lost",M1986="Not Interested"),"Closed",IF(R1986&lt;TODAY(),"Overdue","Due/Open"))</f>
        <v>Closed</v>
      </c>
      <c r="Y1986" t="str">
        <f t="shared" ref="Y1986:Y2001" si="219">IF(OR(M1986="Converted",M1986="Lost",M1986="Not Interested"),"Closed","Open")</f>
        <v>Closed</v>
      </c>
      <c r="Z1986" t="str">
        <f t="shared" ref="Z1986:Z2001" si="220">TEXT(B1986,"mmm-yyyy")</f>
        <v>Jul-2025</v>
      </c>
      <c r="AA1986" t="str">
        <f t="shared" ref="AA1986:AA2001" si="221">"Q"&amp;ROUNDUP(MONTH(B1986)/3,0)&amp;" "&amp;YEAR(B1986)</f>
        <v>Q3 2025</v>
      </c>
      <c r="AB1986" s="4">
        <f t="shared" ref="AB1986:AB2001" ca="1" si="222">TODAY()-B1986</f>
        <v>349</v>
      </c>
      <c r="AC1986" t="str">
        <f t="shared" ref="AC1986:AC2001" si="223">IF(O1986&gt;=300000,"High",IF(O1986&gt;=120000,"Medium","Low"))</f>
        <v>Low</v>
      </c>
    </row>
    <row r="1987" spans="1:29">
      <c r="A1987" t="s">
        <v>6795</v>
      </c>
      <c r="B1987" s="2">
        <v>45786</v>
      </c>
      <c r="C1987" t="s">
        <v>438</v>
      </c>
      <c r="D1987" t="s">
        <v>581</v>
      </c>
      <c r="E1987" t="s">
        <v>6796</v>
      </c>
      <c r="F1987" t="s">
        <v>6797</v>
      </c>
      <c r="G1987" t="s">
        <v>34</v>
      </c>
      <c r="H1987" t="s">
        <v>35</v>
      </c>
      <c r="I1987" t="s">
        <v>49</v>
      </c>
      <c r="J1987" t="s">
        <v>124</v>
      </c>
      <c r="K1987" t="s">
        <v>100</v>
      </c>
      <c r="L1987" t="s">
        <v>63</v>
      </c>
      <c r="M1987" t="s">
        <v>166</v>
      </c>
      <c r="N1987" t="s">
        <v>167</v>
      </c>
      <c r="O1987" s="3">
        <v>335000</v>
      </c>
      <c r="P1987" s="4">
        <v>70</v>
      </c>
      <c r="Q1987" s="2">
        <v>45828</v>
      </c>
      <c r="R1987" s="2">
        <v>46161</v>
      </c>
      <c r="S1987" s="2">
        <v>45800</v>
      </c>
      <c r="T1987" s="2"/>
      <c r="U1987" t="str">
        <f t="shared" si="217"/>
        <v>No</v>
      </c>
      <c r="W198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7" t="str">
        <f t="shared" ca="1" si="218"/>
        <v>Overdue</v>
      </c>
      <c r="Y1987" t="str">
        <f t="shared" si="219"/>
        <v>Open</v>
      </c>
      <c r="Z1987" t="str">
        <f t="shared" si="220"/>
        <v>May-2025</v>
      </c>
      <c r="AA1987" t="str">
        <f t="shared" si="221"/>
        <v>Q2 2025</v>
      </c>
      <c r="AB1987" s="4">
        <f t="shared" ca="1" si="222"/>
        <v>413</v>
      </c>
      <c r="AC1987" t="str">
        <f t="shared" si="223"/>
        <v>High</v>
      </c>
    </row>
    <row r="1988" spans="1:29">
      <c r="A1988" t="s">
        <v>6798</v>
      </c>
      <c r="B1988" s="2">
        <v>45742</v>
      </c>
      <c r="C1988" t="s">
        <v>2745</v>
      </c>
      <c r="D1988" t="s">
        <v>645</v>
      </c>
      <c r="E1988" t="s">
        <v>6799</v>
      </c>
      <c r="F1988" t="s">
        <v>6800</v>
      </c>
      <c r="G1988" t="s">
        <v>179</v>
      </c>
      <c r="H1988" t="s">
        <v>180</v>
      </c>
      <c r="I1988" t="s">
        <v>36</v>
      </c>
      <c r="J1988" t="s">
        <v>99</v>
      </c>
      <c r="K1988" t="s">
        <v>194</v>
      </c>
      <c r="L1988" t="s">
        <v>107</v>
      </c>
      <c r="M1988" t="s">
        <v>40</v>
      </c>
      <c r="N1988" t="s">
        <v>41</v>
      </c>
      <c r="O1988" s="3">
        <v>645000</v>
      </c>
      <c r="P1988" s="4">
        <v>100</v>
      </c>
      <c r="Q1988" s="2">
        <v>45793</v>
      </c>
      <c r="R1988" s="2"/>
      <c r="S1988" s="2">
        <v>45767</v>
      </c>
      <c r="T1988" s="2">
        <v>45793</v>
      </c>
      <c r="U1988" t="str">
        <f t="shared" si="217"/>
        <v>Yes</v>
      </c>
      <c r="W1988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51</v>
      </c>
      <c r="X1988" t="str">
        <f t="shared" ca="1" si="218"/>
        <v>Closed</v>
      </c>
      <c r="Y1988" t="str">
        <f t="shared" si="219"/>
        <v>Closed</v>
      </c>
      <c r="Z1988" t="str">
        <f t="shared" si="220"/>
        <v>Mar-2025</v>
      </c>
      <c r="AA1988" t="str">
        <f t="shared" si="221"/>
        <v>Q1 2025</v>
      </c>
      <c r="AB1988" s="4">
        <f t="shared" ca="1" si="222"/>
        <v>457</v>
      </c>
      <c r="AC1988" t="str">
        <f t="shared" si="223"/>
        <v>High</v>
      </c>
    </row>
    <row r="1989" spans="1:29">
      <c r="A1989" t="s">
        <v>6801</v>
      </c>
      <c r="B1989" s="2">
        <v>45989</v>
      </c>
      <c r="C1989" t="s">
        <v>1789</v>
      </c>
      <c r="D1989" t="s">
        <v>157</v>
      </c>
      <c r="E1989" t="s">
        <v>6802</v>
      </c>
      <c r="F1989" t="s">
        <v>6803</v>
      </c>
      <c r="G1989" t="s">
        <v>47</v>
      </c>
      <c r="H1989" t="s">
        <v>113</v>
      </c>
      <c r="I1989" t="s">
        <v>49</v>
      </c>
      <c r="J1989" t="s">
        <v>50</v>
      </c>
      <c r="K1989" t="s">
        <v>51</v>
      </c>
      <c r="L1989" t="s">
        <v>63</v>
      </c>
      <c r="M1989" t="s">
        <v>116</v>
      </c>
      <c r="N1989" t="s">
        <v>54</v>
      </c>
      <c r="O1989" s="3">
        <v>525000</v>
      </c>
      <c r="P1989" s="4">
        <v>15</v>
      </c>
      <c r="Q1989" s="2">
        <v>46031</v>
      </c>
      <c r="R1989" s="2">
        <v>46218</v>
      </c>
      <c r="S1989" s="2">
        <v>46015</v>
      </c>
      <c r="T1989" s="2"/>
      <c r="U1989" t="str">
        <f t="shared" si="217"/>
        <v>No</v>
      </c>
      <c r="W198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89" t="str">
        <f t="shared" ca="1" si="218"/>
        <v>Due/Open</v>
      </c>
      <c r="Y1989" t="str">
        <f t="shared" si="219"/>
        <v>Open</v>
      </c>
      <c r="Z1989" t="str">
        <f t="shared" si="220"/>
        <v>Nov-2025</v>
      </c>
      <c r="AA1989" t="str">
        <f t="shared" si="221"/>
        <v>Q4 2025</v>
      </c>
      <c r="AB1989" s="4">
        <f t="shared" ca="1" si="222"/>
        <v>210</v>
      </c>
      <c r="AC1989" t="str">
        <f t="shared" si="223"/>
        <v>High</v>
      </c>
    </row>
    <row r="1990" spans="1:29">
      <c r="A1990" t="s">
        <v>6804</v>
      </c>
      <c r="B1990" s="2">
        <v>46130</v>
      </c>
      <c r="C1990" t="s">
        <v>2230</v>
      </c>
      <c r="D1990" t="s">
        <v>357</v>
      </c>
      <c r="E1990" t="s">
        <v>6805</v>
      </c>
      <c r="F1990" t="s">
        <v>6806</v>
      </c>
      <c r="G1990" t="s">
        <v>79</v>
      </c>
      <c r="H1990" t="s">
        <v>106</v>
      </c>
      <c r="I1990" t="s">
        <v>36</v>
      </c>
      <c r="J1990" t="s">
        <v>50</v>
      </c>
      <c r="K1990" t="s">
        <v>114</v>
      </c>
      <c r="L1990" t="s">
        <v>132</v>
      </c>
      <c r="M1990" t="s">
        <v>40</v>
      </c>
      <c r="N1990" t="s">
        <v>41</v>
      </c>
      <c r="O1990" s="3">
        <v>120000</v>
      </c>
      <c r="P1990" s="4">
        <v>100</v>
      </c>
      <c r="Q1990" s="2">
        <v>46190</v>
      </c>
      <c r="R1990" s="2"/>
      <c r="S1990" s="2">
        <v>46131</v>
      </c>
      <c r="T1990" s="2">
        <v>46190</v>
      </c>
      <c r="U1990" t="str">
        <f t="shared" si="217"/>
        <v>Yes</v>
      </c>
      <c r="W1990" s="4">
        <f>IF(CRMDataTable[[#This Row],[Opportunity_Status]]="Closed",IF(CRMDataTable[[#This Row],[Closed_Date]]&gt;=CRMDataTable[[#This Row],[Created_Date]],CRMDataTable[[#This Row],[Closed_Date]]-CRMDataTable[[#This Row],[Created_Date]],"Date Error"),"")</f>
        <v>60</v>
      </c>
      <c r="X1990" t="str">
        <f t="shared" ca="1" si="218"/>
        <v>Closed</v>
      </c>
      <c r="Y1990" t="str">
        <f t="shared" si="219"/>
        <v>Closed</v>
      </c>
      <c r="Z1990" t="str">
        <f t="shared" si="220"/>
        <v>Apr-2026</v>
      </c>
      <c r="AA1990" t="str">
        <f t="shared" si="221"/>
        <v>Q2 2026</v>
      </c>
      <c r="AB1990" s="4">
        <f t="shared" ca="1" si="222"/>
        <v>69</v>
      </c>
      <c r="AC1990" t="str">
        <f t="shared" si="223"/>
        <v>Medium</v>
      </c>
    </row>
    <row r="1991" spans="1:29">
      <c r="A1991" t="s">
        <v>6807</v>
      </c>
      <c r="B1991" s="2">
        <v>45691</v>
      </c>
      <c r="C1991" t="s">
        <v>2669</v>
      </c>
      <c r="D1991" t="s">
        <v>384</v>
      </c>
      <c r="E1991" t="s">
        <v>6808</v>
      </c>
      <c r="F1991" t="s">
        <v>6809</v>
      </c>
      <c r="G1991" t="s">
        <v>69</v>
      </c>
      <c r="H1991" t="s">
        <v>193</v>
      </c>
      <c r="I1991" t="s">
        <v>36</v>
      </c>
      <c r="J1991" t="s">
        <v>124</v>
      </c>
      <c r="K1991" t="s">
        <v>51</v>
      </c>
      <c r="L1991" t="s">
        <v>81</v>
      </c>
      <c r="M1991" t="s">
        <v>166</v>
      </c>
      <c r="N1991" t="s">
        <v>167</v>
      </c>
      <c r="O1991" s="3">
        <v>310000</v>
      </c>
      <c r="P1991" s="4">
        <v>70</v>
      </c>
      <c r="Q1991" s="2">
        <v>45770</v>
      </c>
      <c r="R1991" s="2">
        <v>46232</v>
      </c>
      <c r="S1991" s="2">
        <v>45698</v>
      </c>
      <c r="T1991" s="2"/>
      <c r="U1991" t="str">
        <f t="shared" si="217"/>
        <v>No</v>
      </c>
      <c r="W199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1" t="str">
        <f t="shared" ca="1" si="218"/>
        <v>Due/Open</v>
      </c>
      <c r="Y1991" t="str">
        <f t="shared" si="219"/>
        <v>Open</v>
      </c>
      <c r="Z1991" t="str">
        <f t="shared" si="220"/>
        <v>Feb-2025</v>
      </c>
      <c r="AA1991" t="str">
        <f t="shared" si="221"/>
        <v>Q1 2025</v>
      </c>
      <c r="AB1991" s="4">
        <f t="shared" ca="1" si="222"/>
        <v>508</v>
      </c>
      <c r="AC1991" t="str">
        <f t="shared" si="223"/>
        <v>High</v>
      </c>
    </row>
    <row r="1992" spans="1:29">
      <c r="A1992" t="s">
        <v>6810</v>
      </c>
      <c r="B1992" s="2">
        <v>45731</v>
      </c>
      <c r="C1992" t="s">
        <v>3697</v>
      </c>
      <c r="D1992" t="s">
        <v>1098</v>
      </c>
      <c r="E1992" t="s">
        <v>4615</v>
      </c>
      <c r="F1992" t="s">
        <v>6811</v>
      </c>
      <c r="G1992" t="s">
        <v>69</v>
      </c>
      <c r="H1992" t="s">
        <v>285</v>
      </c>
      <c r="I1992" t="s">
        <v>36</v>
      </c>
      <c r="J1992" t="s">
        <v>37</v>
      </c>
      <c r="K1992" t="s">
        <v>51</v>
      </c>
      <c r="L1992" t="s">
        <v>132</v>
      </c>
      <c r="M1992" t="s">
        <v>82</v>
      </c>
      <c r="N1992" t="s">
        <v>83</v>
      </c>
      <c r="O1992" s="3">
        <v>40000</v>
      </c>
      <c r="P1992" s="4">
        <v>5</v>
      </c>
      <c r="Q1992" s="2">
        <v>45754</v>
      </c>
      <c r="R1992" s="2">
        <v>46201</v>
      </c>
      <c r="S1992" s="2">
        <v>45746</v>
      </c>
      <c r="T1992" s="2"/>
      <c r="U1992" t="str">
        <f t="shared" si="217"/>
        <v>No</v>
      </c>
      <c r="W1992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2" t="str">
        <f t="shared" ca="1" si="218"/>
        <v>Due/Open</v>
      </c>
      <c r="Y1992" t="str">
        <f t="shared" si="219"/>
        <v>Open</v>
      </c>
      <c r="Z1992" t="str">
        <f t="shared" si="220"/>
        <v>Mar-2025</v>
      </c>
      <c r="AA1992" t="str">
        <f t="shared" si="221"/>
        <v>Q1 2025</v>
      </c>
      <c r="AB1992" s="4">
        <f t="shared" ca="1" si="222"/>
        <v>468</v>
      </c>
      <c r="AC1992" t="str">
        <f t="shared" si="223"/>
        <v>Low</v>
      </c>
    </row>
    <row r="1993" spans="1:29">
      <c r="A1993" t="s">
        <v>6812</v>
      </c>
      <c r="B1993" s="2">
        <v>45680</v>
      </c>
      <c r="C1993" t="s">
        <v>448</v>
      </c>
      <c r="D1993" t="s">
        <v>76</v>
      </c>
      <c r="E1993" t="s">
        <v>6813</v>
      </c>
      <c r="F1993" t="s">
        <v>6814</v>
      </c>
      <c r="G1993" t="s">
        <v>69</v>
      </c>
      <c r="H1993" t="s">
        <v>270</v>
      </c>
      <c r="I1993" t="s">
        <v>148</v>
      </c>
      <c r="J1993" t="s">
        <v>37</v>
      </c>
      <c r="K1993" t="s">
        <v>194</v>
      </c>
      <c r="L1993" t="s">
        <v>107</v>
      </c>
      <c r="M1993" t="s">
        <v>53</v>
      </c>
      <c r="N1993" t="s">
        <v>54</v>
      </c>
      <c r="O1993" s="3">
        <v>165000</v>
      </c>
      <c r="P1993" s="4">
        <v>30</v>
      </c>
      <c r="Q1993" s="2">
        <v>45749</v>
      </c>
      <c r="R1993" s="2">
        <v>46232</v>
      </c>
      <c r="S1993" s="2">
        <v>45698</v>
      </c>
      <c r="T1993" s="2"/>
      <c r="U1993" t="str">
        <f t="shared" si="217"/>
        <v>No</v>
      </c>
      <c r="W1993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3" t="str">
        <f t="shared" ca="1" si="218"/>
        <v>Due/Open</v>
      </c>
      <c r="Y1993" t="str">
        <f t="shared" si="219"/>
        <v>Open</v>
      </c>
      <c r="Z1993" t="str">
        <f t="shared" si="220"/>
        <v>Jan-2025</v>
      </c>
      <c r="AA1993" t="str">
        <f t="shared" si="221"/>
        <v>Q1 2025</v>
      </c>
      <c r="AB1993" s="4">
        <f t="shared" ca="1" si="222"/>
        <v>519</v>
      </c>
      <c r="AC1993" t="str">
        <f t="shared" si="223"/>
        <v>Medium</v>
      </c>
    </row>
    <row r="1994" spans="1:29">
      <c r="A1994" t="s">
        <v>6815</v>
      </c>
      <c r="B1994" s="2">
        <v>45685</v>
      </c>
      <c r="C1994" t="s">
        <v>1599</v>
      </c>
      <c r="D1994" t="s">
        <v>1017</v>
      </c>
      <c r="E1994" t="s">
        <v>6816</v>
      </c>
      <c r="F1994" t="s">
        <v>6817</v>
      </c>
      <c r="G1994" t="s">
        <v>179</v>
      </c>
      <c r="H1994" t="s">
        <v>186</v>
      </c>
      <c r="I1994" t="s">
        <v>187</v>
      </c>
      <c r="J1994" t="s">
        <v>62</v>
      </c>
      <c r="K1994" t="s">
        <v>38</v>
      </c>
      <c r="L1994" t="s">
        <v>107</v>
      </c>
      <c r="M1994" t="s">
        <v>73</v>
      </c>
      <c r="N1994" t="s">
        <v>73</v>
      </c>
      <c r="O1994" s="3">
        <v>430000</v>
      </c>
      <c r="P1994" s="4">
        <v>75</v>
      </c>
      <c r="Q1994" s="2">
        <v>45735</v>
      </c>
      <c r="R1994" s="2">
        <v>46238</v>
      </c>
      <c r="S1994" s="2">
        <v>45712</v>
      </c>
      <c r="T1994" s="2"/>
      <c r="U1994" t="str">
        <f t="shared" si="217"/>
        <v>No</v>
      </c>
      <c r="W1994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4" t="str">
        <f t="shared" ca="1" si="218"/>
        <v>Due/Open</v>
      </c>
      <c r="Y1994" t="str">
        <f t="shared" si="219"/>
        <v>Open</v>
      </c>
      <c r="Z1994" t="str">
        <f t="shared" si="220"/>
        <v>Jan-2025</v>
      </c>
      <c r="AA1994" t="str">
        <f t="shared" si="221"/>
        <v>Q1 2025</v>
      </c>
      <c r="AB1994" s="4">
        <f t="shared" ca="1" si="222"/>
        <v>514</v>
      </c>
      <c r="AC1994" t="str">
        <f t="shared" si="223"/>
        <v>High</v>
      </c>
    </row>
    <row r="1995" spans="1:29">
      <c r="A1995" t="s">
        <v>6818</v>
      </c>
      <c r="B1995" s="2">
        <v>46012</v>
      </c>
      <c r="C1995" t="s">
        <v>458</v>
      </c>
      <c r="D1995" t="s">
        <v>1319</v>
      </c>
      <c r="E1995" t="s">
        <v>6819</v>
      </c>
      <c r="F1995" t="s">
        <v>6820</v>
      </c>
      <c r="G1995" t="s">
        <v>34</v>
      </c>
      <c r="H1995" t="s">
        <v>60</v>
      </c>
      <c r="I1995" t="s">
        <v>49</v>
      </c>
      <c r="J1995" t="s">
        <v>37</v>
      </c>
      <c r="K1995" t="s">
        <v>38</v>
      </c>
      <c r="L1995" t="s">
        <v>52</v>
      </c>
      <c r="M1995" t="s">
        <v>82</v>
      </c>
      <c r="N1995" t="s">
        <v>83</v>
      </c>
      <c r="O1995" s="3">
        <v>120000</v>
      </c>
      <c r="P1995" s="4">
        <v>10</v>
      </c>
      <c r="Q1995" s="2">
        <v>46039</v>
      </c>
      <c r="R1995" s="2">
        <v>46153</v>
      </c>
      <c r="S1995" s="2">
        <v>46025</v>
      </c>
      <c r="T1995" s="2"/>
      <c r="U1995" t="str">
        <f t="shared" si="217"/>
        <v>No</v>
      </c>
      <c r="W1995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5" t="str">
        <f t="shared" ca="1" si="218"/>
        <v>Overdue</v>
      </c>
      <c r="Y1995" t="str">
        <f t="shared" si="219"/>
        <v>Open</v>
      </c>
      <c r="Z1995" t="str">
        <f t="shared" si="220"/>
        <v>Dec-2025</v>
      </c>
      <c r="AA1995" t="str">
        <f t="shared" si="221"/>
        <v>Q4 2025</v>
      </c>
      <c r="AB1995" s="4">
        <f t="shared" ca="1" si="222"/>
        <v>187</v>
      </c>
      <c r="AC1995" t="str">
        <f t="shared" si="223"/>
        <v>Medium</v>
      </c>
    </row>
    <row r="1996" spans="1:29">
      <c r="A1996" t="s">
        <v>6821</v>
      </c>
      <c r="B1996" s="2">
        <v>46180</v>
      </c>
      <c r="C1996" t="s">
        <v>388</v>
      </c>
      <c r="D1996" t="s">
        <v>676</v>
      </c>
      <c r="E1996" t="s">
        <v>6822</v>
      </c>
      <c r="F1996" t="s">
        <v>6823</v>
      </c>
      <c r="G1996" t="s">
        <v>34</v>
      </c>
      <c r="H1996" t="s">
        <v>238</v>
      </c>
      <c r="I1996" t="s">
        <v>187</v>
      </c>
      <c r="J1996" t="s">
        <v>37</v>
      </c>
      <c r="K1996" t="s">
        <v>114</v>
      </c>
      <c r="L1996" t="s">
        <v>72</v>
      </c>
      <c r="M1996" t="s">
        <v>116</v>
      </c>
      <c r="N1996" t="s">
        <v>54</v>
      </c>
      <c r="O1996" s="3">
        <v>65000</v>
      </c>
      <c r="P1996" s="4">
        <v>15</v>
      </c>
      <c r="Q1996" s="2">
        <v>46246</v>
      </c>
      <c r="R1996" s="2">
        <v>46226</v>
      </c>
      <c r="S1996" s="2">
        <v>46194</v>
      </c>
      <c r="T1996" s="2"/>
      <c r="U1996" t="str">
        <f t="shared" si="217"/>
        <v>No</v>
      </c>
      <c r="W1996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6" t="str">
        <f t="shared" ca="1" si="218"/>
        <v>Due/Open</v>
      </c>
      <c r="Y1996" t="str">
        <f t="shared" si="219"/>
        <v>Open</v>
      </c>
      <c r="Z1996" t="str">
        <f t="shared" si="220"/>
        <v>Jun-2026</v>
      </c>
      <c r="AA1996" t="str">
        <f t="shared" si="221"/>
        <v>Q2 2026</v>
      </c>
      <c r="AB1996" s="4">
        <f t="shared" ca="1" si="222"/>
        <v>19</v>
      </c>
      <c r="AC1996" t="str">
        <f t="shared" si="223"/>
        <v>Low</v>
      </c>
    </row>
    <row r="1997" spans="1:29">
      <c r="A1997" t="s">
        <v>6824</v>
      </c>
      <c r="B1997" s="2">
        <v>45748</v>
      </c>
      <c r="C1997" t="s">
        <v>3032</v>
      </c>
      <c r="D1997" t="s">
        <v>423</v>
      </c>
      <c r="E1997" t="s">
        <v>6825</v>
      </c>
      <c r="F1997" t="s">
        <v>6826</v>
      </c>
      <c r="G1997" t="s">
        <v>69</v>
      </c>
      <c r="H1997" t="s">
        <v>200</v>
      </c>
      <c r="I1997" t="s">
        <v>98</v>
      </c>
      <c r="J1997" t="s">
        <v>50</v>
      </c>
      <c r="K1997" t="s">
        <v>38</v>
      </c>
      <c r="L1997" t="s">
        <v>52</v>
      </c>
      <c r="M1997" t="s">
        <v>73</v>
      </c>
      <c r="N1997" t="s">
        <v>73</v>
      </c>
      <c r="O1997" s="3">
        <v>460000</v>
      </c>
      <c r="P1997" s="4">
        <v>85</v>
      </c>
      <c r="Q1997" s="2">
        <v>45823</v>
      </c>
      <c r="R1997" s="2">
        <v>46183</v>
      </c>
      <c r="S1997" s="2">
        <v>45775</v>
      </c>
      <c r="T1997" s="2"/>
      <c r="U1997" t="str">
        <f t="shared" si="217"/>
        <v>No</v>
      </c>
      <c r="W1997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7" t="str">
        <f t="shared" ca="1" si="218"/>
        <v>Overdue</v>
      </c>
      <c r="Y1997" t="str">
        <f t="shared" si="219"/>
        <v>Open</v>
      </c>
      <c r="Z1997" t="str">
        <f t="shared" si="220"/>
        <v>Apr-2025</v>
      </c>
      <c r="AA1997" t="str">
        <f t="shared" si="221"/>
        <v>Q2 2025</v>
      </c>
      <c r="AB1997" s="4">
        <f t="shared" ca="1" si="222"/>
        <v>451</v>
      </c>
      <c r="AC1997" t="str">
        <f t="shared" si="223"/>
        <v>High</v>
      </c>
    </row>
    <row r="1998" spans="1:29">
      <c r="A1998" t="s">
        <v>6827</v>
      </c>
      <c r="B1998" s="2">
        <v>46151</v>
      </c>
      <c r="C1998" t="s">
        <v>2963</v>
      </c>
      <c r="D1998" t="s">
        <v>273</v>
      </c>
      <c r="E1998" t="s">
        <v>6828</v>
      </c>
      <c r="F1998" t="s">
        <v>6829</v>
      </c>
      <c r="G1998" t="s">
        <v>47</v>
      </c>
      <c r="H1998" t="s">
        <v>122</v>
      </c>
      <c r="I1998" t="s">
        <v>49</v>
      </c>
      <c r="J1998" t="s">
        <v>37</v>
      </c>
      <c r="K1998" t="s">
        <v>38</v>
      </c>
      <c r="L1998" t="s">
        <v>81</v>
      </c>
      <c r="M1998" t="s">
        <v>166</v>
      </c>
      <c r="N1998" t="s">
        <v>167</v>
      </c>
      <c r="O1998" s="3">
        <v>150000</v>
      </c>
      <c r="P1998" s="4">
        <v>70</v>
      </c>
      <c r="Q1998" s="2">
        <v>46236</v>
      </c>
      <c r="R1998" s="2">
        <v>46159</v>
      </c>
      <c r="S1998" s="2">
        <v>46163</v>
      </c>
      <c r="T1998" s="2"/>
      <c r="U1998" t="str">
        <f t="shared" si="217"/>
        <v>No</v>
      </c>
      <c r="W1998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8" t="str">
        <f t="shared" ca="1" si="218"/>
        <v>Overdue</v>
      </c>
      <c r="Y1998" t="str">
        <f t="shared" si="219"/>
        <v>Open</v>
      </c>
      <c r="Z1998" t="str">
        <f t="shared" si="220"/>
        <v>May-2026</v>
      </c>
      <c r="AA1998" t="str">
        <f t="shared" si="221"/>
        <v>Q2 2026</v>
      </c>
      <c r="AB1998" s="4">
        <f t="shared" ca="1" si="222"/>
        <v>48</v>
      </c>
      <c r="AC1998" t="str">
        <f t="shared" si="223"/>
        <v>Medium</v>
      </c>
    </row>
    <row r="1999" spans="1:29">
      <c r="A1999" t="s">
        <v>6830</v>
      </c>
      <c r="B1999" s="2">
        <v>45853</v>
      </c>
      <c r="C1999" t="s">
        <v>835</v>
      </c>
      <c r="D1999" t="s">
        <v>1683</v>
      </c>
      <c r="E1999" t="s">
        <v>6831</v>
      </c>
      <c r="F1999" t="s">
        <v>6832</v>
      </c>
      <c r="G1999" t="s">
        <v>179</v>
      </c>
      <c r="H1999" t="s">
        <v>186</v>
      </c>
      <c r="I1999" t="s">
        <v>49</v>
      </c>
      <c r="J1999" t="s">
        <v>99</v>
      </c>
      <c r="K1999" t="s">
        <v>114</v>
      </c>
      <c r="L1999" t="s">
        <v>72</v>
      </c>
      <c r="M1999" t="s">
        <v>116</v>
      </c>
      <c r="N1999" t="s">
        <v>54</v>
      </c>
      <c r="O1999" s="3">
        <v>320000</v>
      </c>
      <c r="P1999" s="4">
        <v>20</v>
      </c>
      <c r="Q1999" s="2">
        <v>45895</v>
      </c>
      <c r="R1999" s="2">
        <v>46206</v>
      </c>
      <c r="S1999" s="2">
        <v>45861</v>
      </c>
      <c r="T1999" s="2"/>
      <c r="U1999" t="str">
        <f t="shared" si="217"/>
        <v>No</v>
      </c>
      <c r="W1999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1999" t="str">
        <f t="shared" ca="1" si="218"/>
        <v>Due/Open</v>
      </c>
      <c r="Y1999" t="str">
        <f t="shared" si="219"/>
        <v>Open</v>
      </c>
      <c r="Z1999" t="str">
        <f t="shared" si="220"/>
        <v>Jul-2025</v>
      </c>
      <c r="AA1999" t="str">
        <f t="shared" si="221"/>
        <v>Q3 2025</v>
      </c>
      <c r="AB1999" s="4">
        <f t="shared" ca="1" si="222"/>
        <v>346</v>
      </c>
      <c r="AC1999" t="str">
        <f t="shared" si="223"/>
        <v>High</v>
      </c>
    </row>
    <row r="2000" spans="1:29">
      <c r="A2000" t="s">
        <v>6833</v>
      </c>
      <c r="B2000" s="2">
        <v>46072</v>
      </c>
      <c r="C2000" t="s">
        <v>406</v>
      </c>
      <c r="D2000" t="s">
        <v>767</v>
      </c>
      <c r="E2000" t="s">
        <v>6834</v>
      </c>
      <c r="F2000" t="s">
        <v>6835</v>
      </c>
      <c r="G2000" t="s">
        <v>47</v>
      </c>
      <c r="H2000" t="s">
        <v>113</v>
      </c>
      <c r="I2000" t="s">
        <v>123</v>
      </c>
      <c r="J2000" t="s">
        <v>131</v>
      </c>
      <c r="K2000" t="s">
        <v>114</v>
      </c>
      <c r="L2000" t="s">
        <v>115</v>
      </c>
      <c r="M2000" t="s">
        <v>166</v>
      </c>
      <c r="N2000" t="s">
        <v>167</v>
      </c>
      <c r="O2000" s="3">
        <v>245000</v>
      </c>
      <c r="P2000" s="4">
        <v>65</v>
      </c>
      <c r="Q2000" s="2">
        <v>46115</v>
      </c>
      <c r="R2000" s="2">
        <v>46181</v>
      </c>
      <c r="S2000" s="2">
        <v>46081</v>
      </c>
      <c r="T2000" s="2"/>
      <c r="U2000" t="str">
        <f t="shared" si="217"/>
        <v>No</v>
      </c>
      <c r="W2000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00" t="str">
        <f t="shared" ca="1" si="218"/>
        <v>Overdue</v>
      </c>
      <c r="Y2000" t="str">
        <f t="shared" si="219"/>
        <v>Open</v>
      </c>
      <c r="Z2000" t="str">
        <f t="shared" si="220"/>
        <v>Feb-2026</v>
      </c>
      <c r="AA2000" t="str">
        <f t="shared" si="221"/>
        <v>Q1 2026</v>
      </c>
      <c r="AB2000" s="4">
        <f t="shared" ca="1" si="222"/>
        <v>127</v>
      </c>
      <c r="AC2000" t="str">
        <f t="shared" si="223"/>
        <v>Medium</v>
      </c>
    </row>
    <row r="2001" spans="1:29">
      <c r="A2001" t="s">
        <v>6836</v>
      </c>
      <c r="B2001" s="2">
        <v>45659</v>
      </c>
      <c r="C2001" t="s">
        <v>5214</v>
      </c>
      <c r="D2001" t="s">
        <v>1933</v>
      </c>
      <c r="E2001" t="s">
        <v>6837</v>
      </c>
      <c r="F2001" t="s">
        <v>6838</v>
      </c>
      <c r="G2001" t="s">
        <v>69</v>
      </c>
      <c r="H2001" t="s">
        <v>312</v>
      </c>
      <c r="I2001" t="s">
        <v>98</v>
      </c>
      <c r="J2001" t="s">
        <v>37</v>
      </c>
      <c r="K2001" t="s">
        <v>38</v>
      </c>
      <c r="L2001" t="s">
        <v>132</v>
      </c>
      <c r="M2001" t="s">
        <v>166</v>
      </c>
      <c r="N2001" t="s">
        <v>167</v>
      </c>
      <c r="O2001" s="3">
        <v>70000</v>
      </c>
      <c r="P2001" s="4">
        <v>65</v>
      </c>
      <c r="Q2001" s="2">
        <v>45707</v>
      </c>
      <c r="R2001" s="2">
        <v>46208</v>
      </c>
      <c r="S2001" s="2">
        <v>45688</v>
      </c>
      <c r="T2001" s="2"/>
      <c r="U2001" t="str">
        <f t="shared" si="217"/>
        <v>No</v>
      </c>
      <c r="W2001" s="4" t="str">
        <f>IF(CRMDataTable[[#This Row],[Opportunity_Status]]="Closed",IF(CRMDataTable[[#This Row],[Closed_Date]]&gt;=CRMDataTable[[#This Row],[Created_Date]],CRMDataTable[[#This Row],[Closed_Date]]-CRMDataTable[[#This Row],[Created_Date]],"Date Error"),"")</f>
        <v/>
      </c>
      <c r="X2001" t="str">
        <f t="shared" ca="1" si="218"/>
        <v>Due/Open</v>
      </c>
      <c r="Y2001" t="str">
        <f t="shared" si="219"/>
        <v>Open</v>
      </c>
      <c r="Z2001" t="str">
        <f t="shared" si="220"/>
        <v>Jan-2025</v>
      </c>
      <c r="AA2001" t="str">
        <f t="shared" si="221"/>
        <v>Q1 2025</v>
      </c>
      <c r="AB2001" s="4">
        <f t="shared" ca="1" si="222"/>
        <v>540</v>
      </c>
      <c r="AC2001" t="str">
        <f t="shared" si="223"/>
        <v>Low</v>
      </c>
    </row>
  </sheetData>
  <conditionalFormatting sqref="X2:X2001">
    <cfRule type="expression" dxfId="1" priority="1">
      <formula>$X2="Overdue"</formula>
    </cfRule>
  </conditionalFormatting>
  <conditionalFormatting sqref="AC2:AC2001">
    <cfRule type="expression" dxfId="0" priority="2">
      <formula>$AC2="High"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0000000}">
          <x14:formula1>
            <xm:f>Category_Lists!$C$2:$C$6</xm:f>
          </x14:formula1>
          <xm:sqref>G2:G2001</xm:sqref>
        </x14:dataValidation>
        <x14:dataValidation type="list" xr:uid="{00000000-0002-0000-0000-000001000000}">
          <x14:formula1>
            <xm:f>Category_Lists!$B$2:$B$9</xm:f>
          </x14:formula1>
          <xm:sqref>I2:I2001</xm:sqref>
        </x14:dataValidation>
        <x14:dataValidation type="list" xr:uid="{00000000-0002-0000-0000-000002000000}">
          <x14:formula1>
            <xm:f>Category_Lists!$D$2:$D$7</xm:f>
          </x14:formula1>
          <xm:sqref>J2:J2001</xm:sqref>
        </x14:dataValidation>
        <x14:dataValidation type="list" xr:uid="{00000000-0002-0000-0000-000003000000}">
          <x14:formula1>
            <xm:f>Category_Lists!$E$2:$E$7</xm:f>
          </x14:formula1>
          <xm:sqref>K2:K2001</xm:sqref>
        </x14:dataValidation>
        <x14:dataValidation type="list" xr:uid="{00000000-0002-0000-0000-000004000000}">
          <x14:formula1>
            <xm:f>Category_Lists!$F$2:$F$13</xm:f>
          </x14:formula1>
          <xm:sqref>L2:L2001</xm:sqref>
        </x14:dataValidation>
        <x14:dataValidation type="list" xr:uid="{00000000-0002-0000-0000-000005000000}">
          <x14:formula1>
            <xm:f>Category_Lists!$A$2:$A$10</xm:f>
          </x14:formula1>
          <xm:sqref>M2:M2001</xm:sqref>
        </x14:dataValidation>
        <x14:dataValidation type="list" xr:uid="{00000000-0002-0000-0000-000006000000}">
          <x14:formula1>
            <xm:f>Category_Lists!$G$2:$G$8</xm:f>
          </x14:formula1>
          <xm:sqref>V2:V2001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opLeftCell="A7" workbookViewId="0">
      <selection activeCell="B30" sqref="B30"/>
    </sheetView>
  </sheetViews>
  <sheetFormatPr defaultRowHeight="13.8"/>
  <cols>
    <col min="1" max="1" width="18.8984375" bestFit="1" customWidth="1"/>
    <col min="2" max="2" width="49.09765625" bestFit="1" customWidth="1"/>
    <col min="3" max="3" width="30.19921875" bestFit="1" customWidth="1"/>
    <col min="4" max="4" width="27.796875" bestFit="1" customWidth="1"/>
  </cols>
  <sheetData>
    <row r="1" spans="1:4" ht="24" customHeight="1">
      <c r="A1" s="1" t="s">
        <v>6839</v>
      </c>
      <c r="B1" s="1" t="s">
        <v>6840</v>
      </c>
      <c r="C1" s="1" t="s">
        <v>6841</v>
      </c>
      <c r="D1" s="1" t="s">
        <v>6842</v>
      </c>
    </row>
    <row r="2" spans="1:4" ht="24" customHeight="1">
      <c r="A2" s="6" t="s">
        <v>0</v>
      </c>
      <c r="B2" s="6" t="s">
        <v>6843</v>
      </c>
      <c r="C2" s="6" t="s">
        <v>29</v>
      </c>
      <c r="D2" s="6" t="s">
        <v>6844</v>
      </c>
    </row>
    <row r="3" spans="1:4" ht="24" customHeight="1">
      <c r="A3" s="6" t="s">
        <v>1</v>
      </c>
      <c r="B3" s="6" t="s">
        <v>6845</v>
      </c>
      <c r="C3" s="6" t="s">
        <v>6846</v>
      </c>
      <c r="D3" s="6" t="s">
        <v>6847</v>
      </c>
    </row>
    <row r="4" spans="1:4" ht="24" customHeight="1">
      <c r="A4" s="6" t="s">
        <v>2</v>
      </c>
      <c r="B4" s="6" t="s">
        <v>6848</v>
      </c>
      <c r="C4" s="6" t="s">
        <v>635</v>
      </c>
      <c r="D4" s="6" t="s">
        <v>6849</v>
      </c>
    </row>
    <row r="5" spans="1:4" ht="24" customHeight="1">
      <c r="A5" s="6" t="s">
        <v>3</v>
      </c>
      <c r="B5" s="6" t="s">
        <v>6850</v>
      </c>
      <c r="C5" s="6" t="s">
        <v>389</v>
      </c>
      <c r="D5" s="6" t="s">
        <v>6851</v>
      </c>
    </row>
    <row r="6" spans="1:4" ht="24" customHeight="1">
      <c r="A6" s="6" t="s">
        <v>4</v>
      </c>
      <c r="B6" s="6" t="s">
        <v>6852</v>
      </c>
      <c r="C6" s="6" t="s">
        <v>6853</v>
      </c>
      <c r="D6" s="6" t="s">
        <v>6854</v>
      </c>
    </row>
    <row r="7" spans="1:4" ht="24" customHeight="1">
      <c r="A7" s="6" t="s">
        <v>5</v>
      </c>
      <c r="B7" s="6" t="s">
        <v>6855</v>
      </c>
      <c r="C7" s="6" t="s">
        <v>6856</v>
      </c>
      <c r="D7" s="6" t="s">
        <v>6854</v>
      </c>
    </row>
    <row r="8" spans="1:4" ht="24" customHeight="1">
      <c r="A8" s="6" t="s">
        <v>6</v>
      </c>
      <c r="B8" s="6" t="s">
        <v>6857</v>
      </c>
      <c r="C8" s="6" t="s">
        <v>6858</v>
      </c>
      <c r="D8" s="6" t="s">
        <v>6859</v>
      </c>
    </row>
    <row r="9" spans="1:4" ht="24" customHeight="1">
      <c r="A9" s="6" t="s">
        <v>7</v>
      </c>
      <c r="B9" s="6" t="s">
        <v>6860</v>
      </c>
      <c r="C9" s="6" t="s">
        <v>6861</v>
      </c>
      <c r="D9" s="6" t="s">
        <v>6862</v>
      </c>
    </row>
    <row r="10" spans="1:4" ht="24" customHeight="1">
      <c r="A10" s="6" t="s">
        <v>8</v>
      </c>
      <c r="B10" s="6" t="s">
        <v>6863</v>
      </c>
      <c r="C10" s="6" t="s">
        <v>6864</v>
      </c>
      <c r="D10" s="6" t="s">
        <v>6865</v>
      </c>
    </row>
    <row r="11" spans="1:4" ht="24" customHeight="1">
      <c r="A11" s="6" t="s">
        <v>9</v>
      </c>
      <c r="B11" s="6" t="s">
        <v>6866</v>
      </c>
      <c r="C11" s="6" t="s">
        <v>99</v>
      </c>
      <c r="D11" s="6" t="s">
        <v>6867</v>
      </c>
    </row>
    <row r="12" spans="1:4" ht="24" customHeight="1">
      <c r="A12" s="6" t="s">
        <v>10</v>
      </c>
      <c r="B12" s="6" t="s">
        <v>6868</v>
      </c>
      <c r="C12" s="6" t="s">
        <v>6869</v>
      </c>
      <c r="D12" s="6" t="s">
        <v>6870</v>
      </c>
    </row>
    <row r="13" spans="1:4" ht="24" customHeight="1">
      <c r="A13" s="6" t="s">
        <v>11</v>
      </c>
      <c r="B13" s="6" t="s">
        <v>6871</v>
      </c>
      <c r="C13" s="6" t="s">
        <v>239</v>
      </c>
      <c r="D13" s="6" t="s">
        <v>6872</v>
      </c>
    </row>
    <row r="14" spans="1:4" ht="24" customHeight="1">
      <c r="A14" s="6" t="s">
        <v>12</v>
      </c>
      <c r="B14" s="6" t="s">
        <v>6873</v>
      </c>
      <c r="C14" s="6" t="s">
        <v>6874</v>
      </c>
      <c r="D14" s="6" t="s">
        <v>6875</v>
      </c>
    </row>
    <row r="15" spans="1:4" ht="24" customHeight="1">
      <c r="A15" s="6" t="s">
        <v>13</v>
      </c>
      <c r="B15" s="6" t="s">
        <v>6876</v>
      </c>
      <c r="C15" s="6" t="s">
        <v>6877</v>
      </c>
      <c r="D15" s="6" t="s">
        <v>6878</v>
      </c>
    </row>
    <row r="16" spans="1:4" ht="24" customHeight="1">
      <c r="A16" s="6" t="s">
        <v>14</v>
      </c>
      <c r="B16" s="6" t="s">
        <v>6879</v>
      </c>
      <c r="C16" s="6" t="s">
        <v>6880</v>
      </c>
      <c r="D16" s="6" t="s">
        <v>6881</v>
      </c>
    </row>
    <row r="17" spans="1:4" ht="24" customHeight="1">
      <c r="A17" s="6" t="s">
        <v>15</v>
      </c>
      <c r="B17" s="6" t="s">
        <v>6882</v>
      </c>
      <c r="C17" s="6" t="s">
        <v>6883</v>
      </c>
      <c r="D17" s="6" t="s">
        <v>6884</v>
      </c>
    </row>
    <row r="18" spans="1:4" ht="24" customHeight="1">
      <c r="A18" s="6" t="s">
        <v>16</v>
      </c>
      <c r="B18" s="6" t="s">
        <v>6885</v>
      </c>
      <c r="C18" s="6" t="s">
        <v>6886</v>
      </c>
      <c r="D18" s="6" t="s">
        <v>6887</v>
      </c>
    </row>
    <row r="19" spans="1:4" ht="24" customHeight="1">
      <c r="A19" s="6" t="s">
        <v>17</v>
      </c>
      <c r="B19" s="6" t="s">
        <v>6888</v>
      </c>
      <c r="C19" s="6" t="s">
        <v>6889</v>
      </c>
      <c r="D19" s="6" t="s">
        <v>6890</v>
      </c>
    </row>
    <row r="20" spans="1:4" ht="24" customHeight="1">
      <c r="A20" s="6" t="s">
        <v>18</v>
      </c>
      <c r="B20" s="6" t="s">
        <v>6891</v>
      </c>
      <c r="C20" s="6" t="s">
        <v>6892</v>
      </c>
      <c r="D20" s="6" t="s">
        <v>6893</v>
      </c>
    </row>
    <row r="21" spans="1:4" ht="24" customHeight="1">
      <c r="A21" s="6" t="s">
        <v>19</v>
      </c>
      <c r="B21" s="6" t="s">
        <v>6894</v>
      </c>
      <c r="C21" s="6" t="s">
        <v>6895</v>
      </c>
      <c r="D21" s="6" t="s">
        <v>6896</v>
      </c>
    </row>
    <row r="22" spans="1:4" ht="24" customHeight="1">
      <c r="A22" s="6" t="s">
        <v>20</v>
      </c>
      <c r="B22" s="6" t="s">
        <v>6897</v>
      </c>
      <c r="C22" s="6" t="s">
        <v>6898</v>
      </c>
      <c r="D22" s="6" t="s">
        <v>6899</v>
      </c>
    </row>
    <row r="23" spans="1:4" ht="24" customHeight="1">
      <c r="A23" s="6" t="s">
        <v>21</v>
      </c>
      <c r="B23" s="6" t="s">
        <v>6900</v>
      </c>
      <c r="C23" s="6" t="s">
        <v>211</v>
      </c>
      <c r="D23" s="6" t="s">
        <v>6901</v>
      </c>
    </row>
    <row r="24" spans="1:4" ht="24" customHeight="1">
      <c r="A24" s="6" t="s">
        <v>22</v>
      </c>
      <c r="B24" s="6" t="s">
        <v>6902</v>
      </c>
      <c r="C24" s="6" t="s">
        <v>6903</v>
      </c>
      <c r="D24" s="6" t="s">
        <v>6904</v>
      </c>
    </row>
    <row r="25" spans="1:4" ht="24" customHeight="1">
      <c r="A25" s="6" t="s">
        <v>23</v>
      </c>
      <c r="B25" s="6" t="s">
        <v>6905</v>
      </c>
      <c r="C25" s="6" t="s">
        <v>6906</v>
      </c>
      <c r="D25" s="6" t="s">
        <v>6907</v>
      </c>
    </row>
    <row r="26" spans="1:4" ht="24" customHeight="1">
      <c r="A26" s="6" t="s">
        <v>24</v>
      </c>
      <c r="B26" s="6" t="s">
        <v>6908</v>
      </c>
      <c r="C26" s="6" t="s">
        <v>6909</v>
      </c>
      <c r="D26" s="6" t="s">
        <v>6910</v>
      </c>
    </row>
    <row r="27" spans="1:4" ht="24" customHeight="1">
      <c r="A27" s="6" t="s">
        <v>25</v>
      </c>
      <c r="B27" s="6" t="s">
        <v>6911</v>
      </c>
      <c r="C27" s="6" t="s">
        <v>6912</v>
      </c>
      <c r="D27" s="6" t="s">
        <v>6913</v>
      </c>
    </row>
    <row r="28" spans="1:4" ht="24" customHeight="1">
      <c r="A28" s="6" t="s">
        <v>26</v>
      </c>
      <c r="B28" s="6" t="s">
        <v>6914</v>
      </c>
      <c r="C28" s="6" t="s">
        <v>6915</v>
      </c>
      <c r="D28" s="6" t="s">
        <v>6916</v>
      </c>
    </row>
    <row r="29" spans="1:4" ht="24" customHeight="1">
      <c r="A29" s="6" t="s">
        <v>27</v>
      </c>
      <c r="B29" s="6" t="s">
        <v>6917</v>
      </c>
      <c r="C29" s="6" t="s">
        <v>6918</v>
      </c>
      <c r="D29" s="6" t="s">
        <v>6919</v>
      </c>
    </row>
    <row r="30" spans="1:4" ht="24" customHeight="1">
      <c r="A30" s="6" t="s">
        <v>28</v>
      </c>
      <c r="B30" s="6" t="s">
        <v>6920</v>
      </c>
      <c r="C30" s="6" t="s">
        <v>6921</v>
      </c>
      <c r="D30" s="6" t="s">
        <v>6922</v>
      </c>
    </row>
    <row r="31" spans="1:4" ht="24" customHeight="1"/>
    <row r="32" spans="1:4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F13" sqref="F13"/>
    </sheetView>
  </sheetViews>
  <sheetFormatPr defaultRowHeight="13.8"/>
  <cols>
    <col min="1" max="1" width="12.19921875" bestFit="1" customWidth="1"/>
    <col min="2" max="2" width="14" bestFit="1" customWidth="1"/>
    <col min="3" max="3" width="7.09765625" bestFit="1" customWidth="1"/>
    <col min="4" max="4" width="21.59765625" bestFit="1" customWidth="1"/>
    <col min="5" max="5" width="18.59765625" bestFit="1" customWidth="1"/>
    <col min="6" max="6" width="20.296875" bestFit="1" customWidth="1"/>
    <col min="7" max="7" width="16.3984375" bestFit="1" customWidth="1"/>
    <col min="8" max="8" width="15.5" bestFit="1" customWidth="1"/>
    <col min="9" max="9" width="18" bestFit="1" customWidth="1"/>
    <col min="10" max="10" width="7.296875" bestFit="1" customWidth="1"/>
  </cols>
  <sheetData>
    <row r="1" spans="1:10">
      <c r="A1" s="1" t="s">
        <v>12</v>
      </c>
      <c r="B1" s="1" t="s">
        <v>8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21</v>
      </c>
      <c r="H1" s="1" t="s">
        <v>23</v>
      </c>
      <c r="I1" s="1" t="s">
        <v>24</v>
      </c>
      <c r="J1" s="1" t="s">
        <v>28</v>
      </c>
    </row>
    <row r="2" spans="1:10">
      <c r="A2" t="s">
        <v>82</v>
      </c>
      <c r="B2" t="s">
        <v>36</v>
      </c>
      <c r="C2" t="s">
        <v>47</v>
      </c>
      <c r="D2" t="s">
        <v>124</v>
      </c>
      <c r="E2" t="s">
        <v>114</v>
      </c>
      <c r="F2" t="s">
        <v>125</v>
      </c>
      <c r="G2" t="s">
        <v>211</v>
      </c>
      <c r="H2" t="s">
        <v>6923</v>
      </c>
      <c r="I2" t="s">
        <v>6924</v>
      </c>
      <c r="J2" t="s">
        <v>6925</v>
      </c>
    </row>
    <row r="3" spans="1:10">
      <c r="A3" t="s">
        <v>116</v>
      </c>
      <c r="B3" t="s">
        <v>98</v>
      </c>
      <c r="C3" t="s">
        <v>79</v>
      </c>
      <c r="D3" t="s">
        <v>99</v>
      </c>
      <c r="E3" t="s">
        <v>194</v>
      </c>
      <c r="F3" t="s">
        <v>239</v>
      </c>
      <c r="G3" t="s">
        <v>452</v>
      </c>
      <c r="H3" t="s">
        <v>6926</v>
      </c>
      <c r="I3" t="s">
        <v>6927</v>
      </c>
      <c r="J3" t="s">
        <v>6928</v>
      </c>
    </row>
    <row r="4" spans="1:10">
      <c r="A4" t="s">
        <v>53</v>
      </c>
      <c r="B4" t="s">
        <v>141</v>
      </c>
      <c r="C4" t="s">
        <v>34</v>
      </c>
      <c r="D4" t="s">
        <v>50</v>
      </c>
      <c r="E4" t="s">
        <v>71</v>
      </c>
      <c r="F4" t="s">
        <v>81</v>
      </c>
      <c r="G4" t="s">
        <v>276</v>
      </c>
      <c r="H4" t="s">
        <v>6927</v>
      </c>
      <c r="J4" t="s">
        <v>6929</v>
      </c>
    </row>
    <row r="5" spans="1:10">
      <c r="A5" t="s">
        <v>90</v>
      </c>
      <c r="B5" t="s">
        <v>49</v>
      </c>
      <c r="C5" t="s">
        <v>179</v>
      </c>
      <c r="D5" t="s">
        <v>62</v>
      </c>
      <c r="E5" t="s">
        <v>100</v>
      </c>
      <c r="F5" t="s">
        <v>39</v>
      </c>
      <c r="G5" t="s">
        <v>1105</v>
      </c>
    </row>
    <row r="6" spans="1:10">
      <c r="A6" t="s">
        <v>166</v>
      </c>
      <c r="B6" t="s">
        <v>187</v>
      </c>
      <c r="C6" t="s">
        <v>69</v>
      </c>
      <c r="D6" t="s">
        <v>37</v>
      </c>
      <c r="E6" t="s">
        <v>51</v>
      </c>
      <c r="F6" t="s">
        <v>52</v>
      </c>
      <c r="G6" t="s">
        <v>319</v>
      </c>
    </row>
    <row r="7" spans="1:10">
      <c r="A7" t="s">
        <v>73</v>
      </c>
      <c r="B7" t="s">
        <v>148</v>
      </c>
      <c r="D7" t="s">
        <v>131</v>
      </c>
      <c r="E7" t="s">
        <v>38</v>
      </c>
      <c r="F7" t="s">
        <v>132</v>
      </c>
      <c r="G7" t="s">
        <v>135</v>
      </c>
    </row>
    <row r="8" spans="1:10">
      <c r="A8" t="s">
        <v>40</v>
      </c>
      <c r="B8" t="s">
        <v>123</v>
      </c>
      <c r="F8" t="s">
        <v>115</v>
      </c>
      <c r="G8" t="s">
        <v>6930</v>
      </c>
    </row>
    <row r="9" spans="1:10">
      <c r="A9" t="s">
        <v>133</v>
      </c>
      <c r="B9" t="s">
        <v>61</v>
      </c>
      <c r="F9" t="s">
        <v>107</v>
      </c>
    </row>
    <row r="10" spans="1:10">
      <c r="A10" t="s">
        <v>210</v>
      </c>
      <c r="F10" t="s">
        <v>63</v>
      </c>
    </row>
    <row r="11" spans="1:10">
      <c r="F11" t="s">
        <v>142</v>
      </c>
    </row>
    <row r="12" spans="1:10">
      <c r="F12" t="s">
        <v>154</v>
      </c>
    </row>
    <row r="13" spans="1:10">
      <c r="F1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CRM_Sales_Dataset</vt:lpstr>
      <vt:lpstr>Data_Dictionary</vt:lpstr>
      <vt:lpstr>Category_Lists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kashish agrawal</cp:lastModifiedBy>
  <dcterms:created xsi:type="dcterms:W3CDTF">2026-06-26T06:12:51Z</dcterms:created>
  <dcterms:modified xsi:type="dcterms:W3CDTF">2026-06-26T11:12:01Z</dcterms:modified>
</cp:coreProperties>
</file>